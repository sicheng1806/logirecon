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eslie工作文件夹\物流账单\"/>
    </mc:Choice>
  </mc:AlternateContent>
  <xr:revisionPtr revIDLastSave="0" documentId="13_ncr:1_{75CC544A-0D11-4501-B6AE-D8F3A4BD7CE8}" xr6:coauthVersionLast="47" xr6:coauthVersionMax="47" xr10:uidLastSave="{00000000-0000-0000-0000-000000000000}"/>
  <bookViews>
    <workbookView xWindow="-110" yWindow="-110" windowWidth="19420" windowHeight="11500" xr2:uid="{E98E0870-61F2-43AD-B3AC-7EBE6B59DB5C}"/>
  </bookViews>
  <sheets>
    <sheet name="万邦2604" sheetId="4" r:id="rId1"/>
    <sheet name="国润通2604" sheetId="5" r:id="rId2"/>
    <sheet name="天盛运费2604" sheetId="6" r:id="rId3"/>
    <sheet name="天盛报关费2604" sheetId="7" r:id="rId4"/>
    <sheet name="嘀嗒嘀4月账单" sheetId="8" r:id="rId5"/>
  </sheets>
  <definedNames>
    <definedName name="_xlnm._FilterDatabase" localSheetId="3" hidden="1">天盛报关费2604!$A$7:$Q$28</definedName>
    <definedName name="_xlnm._FilterDatabase" localSheetId="2" hidden="1">天盛运费2604!$A$7:$Q$35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9" i="8" l="1"/>
  <c r="T19" i="8" s="1"/>
  <c r="P18" i="8"/>
  <c r="T18" i="8" s="1"/>
  <c r="P17" i="8"/>
  <c r="T17" i="8" s="1"/>
  <c r="P16" i="8"/>
  <c r="T16" i="8" s="1"/>
  <c r="P15" i="8"/>
  <c r="T15" i="8" s="1"/>
  <c r="T14" i="8"/>
  <c r="P14" i="8"/>
  <c r="T13" i="8"/>
  <c r="T12" i="8"/>
  <c r="T11" i="8"/>
  <c r="T10" i="8"/>
  <c r="T9" i="8"/>
  <c r="T8" i="8"/>
  <c r="T7" i="8"/>
  <c r="T6" i="8"/>
  <c r="T5" i="8"/>
  <c r="P15" i="7"/>
  <c r="P24" i="6"/>
  <c r="P31" i="5"/>
  <c r="P33" i="5" s="1"/>
  <c r="O36" i="5" s="1"/>
  <c r="O37" i="5" s="1"/>
  <c r="T20" i="8" l="1"/>
  <c r="P16" i="7"/>
  <c r="P17" i="7" s="1"/>
</calcChain>
</file>

<file path=xl/sharedStrings.xml><?xml version="1.0" encoding="utf-8"?>
<sst xmlns="http://schemas.openxmlformats.org/spreadsheetml/2006/main" count="1083" uniqueCount="400">
  <si>
    <t>天盛供应链（广州）有限公司</t>
  </si>
  <si>
    <t>应收款对账单</t>
  </si>
  <si>
    <t>账单编号</t>
  </si>
  <si>
    <t>财务代表</t>
  </si>
  <si>
    <t>黄蓝漫</t>
  </si>
  <si>
    <t>客户名称</t>
  </si>
  <si>
    <t>103267-gzszrd-深圳润点</t>
  </si>
  <si>
    <t>账单日期</t>
  </si>
  <si>
    <t>结算方式</t>
  </si>
  <si>
    <t>月结30号</t>
  </si>
  <si>
    <t>到期日期</t>
  </si>
  <si>
    <t>销售代表</t>
  </si>
  <si>
    <t>序号</t>
  </si>
  <si>
    <t>日期</t>
  </si>
  <si>
    <t>客户运单号</t>
  </si>
  <si>
    <t>运单号</t>
  </si>
  <si>
    <t>转单号</t>
  </si>
  <si>
    <t>邮编</t>
  </si>
  <si>
    <t>地址编码</t>
  </si>
  <si>
    <t>件数</t>
  </si>
  <si>
    <t>收费重</t>
  </si>
  <si>
    <t>实重</t>
  </si>
  <si>
    <t>材重</t>
  </si>
  <si>
    <t>服务类型</t>
  </si>
  <si>
    <t>费用类型</t>
  </si>
  <si>
    <t>单位</t>
  </si>
  <si>
    <t>单价</t>
  </si>
  <si>
    <t>金额</t>
  </si>
  <si>
    <t>描述</t>
  </si>
  <si>
    <t>1</t>
  </si>
  <si>
    <t/>
  </si>
  <si>
    <t>海运盛稳达按方包税</t>
  </si>
  <si>
    <t>标准价</t>
  </si>
  <si>
    <t>立方</t>
  </si>
  <si>
    <t>2</t>
  </si>
  <si>
    <t>产品附加费</t>
  </si>
  <si>
    <t>3</t>
  </si>
  <si>
    <t>85396</t>
  </si>
  <si>
    <t>GEU3</t>
  </si>
  <si>
    <t>海运盛稳达</t>
  </si>
  <si>
    <t>KG</t>
  </si>
  <si>
    <t>5</t>
  </si>
  <si>
    <t>6</t>
  </si>
  <si>
    <t>7</t>
  </si>
  <si>
    <t>9</t>
  </si>
  <si>
    <t>POC2</t>
  </si>
  <si>
    <t>海运盛森达Pro按方包税</t>
  </si>
  <si>
    <t>11</t>
  </si>
  <si>
    <t>92509</t>
  </si>
  <si>
    <t>POC3</t>
  </si>
  <si>
    <t>13</t>
  </si>
  <si>
    <t>14</t>
  </si>
  <si>
    <t>TCY2</t>
  </si>
  <si>
    <t>15</t>
  </si>
  <si>
    <t>17</t>
  </si>
  <si>
    <t>20</t>
  </si>
  <si>
    <t>液体附加费200/方</t>
  </si>
  <si>
    <t>人民币</t>
  </si>
  <si>
    <t>本期账单</t>
  </si>
  <si>
    <t>请尽快核对账单，谢谢！</t>
  </si>
  <si>
    <t>收款账户:（如需开发票，请按照合同抬头公对公付款）</t>
  </si>
  <si>
    <t>收款二维码：接受微信、支付宝等扫码支付，收款码请查收以下二维码图片（注意：付款时单笔不要超过5万元）</t>
  </si>
  <si>
    <t>人民币对公户：  户名：天盛供应链（广州）有限公司  开户行：中国工商银行广州设计之都支行  账号：3602 0740 1920 0374 777</t>
  </si>
  <si>
    <t>备注:</t>
  </si>
  <si>
    <t>1.请对应币种付款到我司指定账户，付款后请提供银行水单。</t>
  </si>
  <si>
    <t>4.我司禁止业务员直接向客户收取款项，如客户将款项付给我司业务员，我司不承担由此产生的一切责任和后果。</t>
  </si>
  <si>
    <t>5.绿色填充的流水代表已核销</t>
  </si>
  <si>
    <t>广州天泽跨境供应链有限公司</t>
  </si>
  <si>
    <t>4</t>
  </si>
  <si>
    <t>单独报关费</t>
  </si>
  <si>
    <t>票</t>
  </si>
  <si>
    <t>8</t>
  </si>
  <si>
    <t>10</t>
  </si>
  <si>
    <t>12</t>
  </si>
  <si>
    <t>16</t>
  </si>
  <si>
    <t>税金</t>
  </si>
  <si>
    <t>本期合计</t>
  </si>
  <si>
    <t>人民币对公户： 户名：广州天泽跨境供应链有限公司  开户行:中国工商银行股份有限公司广州设计之都支行  账号：3602 0740 0920 0451 166</t>
  </si>
  <si>
    <t>深圳市万邦科技物流有限公司</t>
  </si>
  <si>
    <t>Shenzhen Wanbang Technology Logistics Co., Ltd</t>
  </si>
  <si>
    <t xml:space="preserve">202605120010 </t>
  </si>
  <si>
    <t>N/A</t>
  </si>
  <si>
    <t>100004-润点</t>
  </si>
  <si>
    <t>订单号</t>
  </si>
  <si>
    <t>渠道</t>
  </si>
  <si>
    <t>发往国家</t>
  </si>
  <si>
    <t>仓库编码</t>
  </si>
  <si>
    <t>2026/04/04</t>
  </si>
  <si>
    <t>WB2604024559</t>
  </si>
  <si>
    <t>FBA199JBH82C,FBA199JCMDW7,FBA199KNT8RY</t>
  </si>
  <si>
    <t>美西拆柜专线-普船</t>
  </si>
  <si>
    <t>美国</t>
  </si>
  <si>
    <t>GEU2</t>
  </si>
  <si>
    <t>3.60/KG</t>
  </si>
  <si>
    <t>运费</t>
  </si>
  <si>
    <t>200.00/票</t>
  </si>
  <si>
    <t>报关费</t>
  </si>
  <si>
    <t>50.00/票</t>
  </si>
  <si>
    <t>续页费</t>
  </si>
  <si>
    <t>2026/04/11</t>
  </si>
  <si>
    <t>WB2604097960</t>
  </si>
  <si>
    <t>FBA15LMGRQ7F</t>
  </si>
  <si>
    <t>欧洲卡派专线-海运</t>
  </si>
  <si>
    <t>德国</t>
  </si>
  <si>
    <t>BER8-12529</t>
  </si>
  <si>
    <t>7.40/KG</t>
  </si>
  <si>
    <t>250.00/票</t>
  </si>
  <si>
    <t>WB2604097672</t>
  </si>
  <si>
    <t>FBA199V9G06K,FBA199WX2PW7</t>
  </si>
  <si>
    <t>4.00/KG</t>
  </si>
  <si>
    <t>WB2604098776</t>
  </si>
  <si>
    <t>FBA199WGX66P</t>
  </si>
  <si>
    <t>4.80/KG</t>
  </si>
  <si>
    <t>WB2604093264</t>
  </si>
  <si>
    <t>FBA199WVYDVD</t>
  </si>
  <si>
    <t>美西拆柜专线-快线</t>
  </si>
  <si>
    <t>5.20/KG</t>
  </si>
  <si>
    <t>WB2604097869</t>
  </si>
  <si>
    <t>FBA19B7DZGDV</t>
  </si>
  <si>
    <t>2026/04/18</t>
  </si>
  <si>
    <t>WB2604165143</t>
  </si>
  <si>
    <t>FBA19BCGVYN1</t>
  </si>
  <si>
    <t>WB2604165337</t>
  </si>
  <si>
    <t>FBA19B9HSTHR</t>
  </si>
  <si>
    <t>加拿大海运专线-包税</t>
  </si>
  <si>
    <t>加拿大</t>
  </si>
  <si>
    <t>YYZ7</t>
  </si>
  <si>
    <t>5.40/KG</t>
  </si>
  <si>
    <t>WB2604168020</t>
  </si>
  <si>
    <t>FBA19B9NXYNH</t>
  </si>
  <si>
    <t>2026/04/20</t>
  </si>
  <si>
    <t>WB2604167138</t>
  </si>
  <si>
    <t>FBA19BBRVKSC</t>
  </si>
  <si>
    <t>4.20/KG</t>
  </si>
  <si>
    <t>2026/04/24</t>
  </si>
  <si>
    <t>WB2604231959</t>
  </si>
  <si>
    <t>FBA15LP65LXZ</t>
  </si>
  <si>
    <t>7.20/KG</t>
  </si>
  <si>
    <t>2026/04/25</t>
  </si>
  <si>
    <t>WB2604234467</t>
  </si>
  <si>
    <t>FBA19BRVKMS2,FBA19BRWKFV5</t>
  </si>
  <si>
    <t>TCY1</t>
  </si>
  <si>
    <t>2026/04/27</t>
  </si>
  <si>
    <t>WB2604231067</t>
  </si>
  <si>
    <t>FBA19BRTCW8K</t>
  </si>
  <si>
    <t>WB2604238759</t>
  </si>
  <si>
    <t>FBA19BS18QGQ</t>
  </si>
  <si>
    <t>HLI2</t>
  </si>
  <si>
    <t>4.40/KG</t>
  </si>
  <si>
    <t>WB2604235923</t>
  </si>
  <si>
    <t>FBA19C2Q5YYR</t>
  </si>
  <si>
    <t>WB2604234393</t>
  </si>
  <si>
    <t>FBA19BRN46FT</t>
  </si>
  <si>
    <t>4.90/KG</t>
  </si>
  <si>
    <t>WB2604237012</t>
  </si>
  <si>
    <t>FBA19BS9WBMQ</t>
  </si>
  <si>
    <t>YXU1</t>
  </si>
  <si>
    <t>6.00/KG</t>
  </si>
  <si>
    <t>人民币总计</t>
  </si>
  <si>
    <t xml:space="preserve"> 50934.30</t>
  </si>
  <si>
    <t>账单无误请转以下账号付款：</t>
  </si>
  <si>
    <t>对公账户：中国工商银行股份有限公司深圳百花支行</t>
  </si>
  <si>
    <t>Account Name账户名：深圳市万邦科技物流有限公司</t>
  </si>
  <si>
    <t>Account No. 账号：4000028409200355913</t>
  </si>
  <si>
    <t>请及时核对！请在三个工作日内确认此费用，如有疑问请联系业务员，转款后麻烦将转款水单给业务员或财务，谢谢合作！</t>
  </si>
  <si>
    <t>深圳市国润通物流有限公司</t>
  </si>
  <si>
    <t>Shenzhen Guoruntong Logistics Co., Ltd.</t>
  </si>
  <si>
    <t>地址：深圳市宝安区福海街道展城社区展景路 83 号会展湾中港广场 6 栋 A 座 806                         财务部电话:0755-23005958/36534879</t>
  </si>
  <si>
    <t>26年04月</t>
  </si>
  <si>
    <t>600984 深圳市润点创新科技有限公司</t>
  </si>
  <si>
    <t>扩展单号</t>
  </si>
  <si>
    <t>主品名</t>
  </si>
  <si>
    <t>2026/04/03</t>
  </si>
  <si>
    <t>GRT07461276</t>
  </si>
  <si>
    <t>FBA199JBCYRR</t>
  </si>
  <si>
    <t>加拿大普船卡派-包税</t>
  </si>
  <si>
    <t>L7E 4L8</t>
  </si>
  <si>
    <t>H2-G 电子指纹球形把手锁-灰色,K1-B 电子球形把手锁-黑色,K1-S + S 电子球形把手锁-镍镍</t>
  </si>
  <si>
    <t>5.00/KG</t>
  </si>
  <si>
    <t>出口(国内)报关费</t>
  </si>
  <si>
    <t>350.00/票</t>
  </si>
  <si>
    <t>GRT07460648</t>
  </si>
  <si>
    <t>FBA199J9FWBW</t>
  </si>
  <si>
    <t>美西OA卡派-包税KG</t>
  </si>
  <si>
    <t>92336-1123</t>
  </si>
  <si>
    <t>POC1</t>
  </si>
  <si>
    <t>G1-B 电子球形把手锁 黑色</t>
  </si>
  <si>
    <t>3.20/KG</t>
  </si>
  <si>
    <t>GRT07536459</t>
  </si>
  <si>
    <t>FBA199TTG21T,FBA199V32GNW</t>
  </si>
  <si>
    <t>ES1-W  电动泡沫喷机（202602新） 白色,ES1-B 电动泡沫喷机 黑色,ES1-Bkit 电动泡沫喷机黑色 托架 硅胶刷 套装,ES1KIT-W_W 电动泡沫喷机 白色 两个装</t>
  </si>
  <si>
    <t>4.30/KG</t>
  </si>
  <si>
    <t>GRT07623011</t>
  </si>
  <si>
    <t>FBA19BCK42Y8</t>
  </si>
  <si>
    <t>一起拼-包税KG</t>
  </si>
  <si>
    <t>ANW-B 智能扩香仪 黑色,ANW-W 智能扩香仪 白色,ANP-B_US 墙插式智能扩香仪 黑色</t>
  </si>
  <si>
    <t>4.10/KG</t>
  </si>
  <si>
    <t>GRT07621677</t>
  </si>
  <si>
    <t>FBA19B9DLDTH</t>
  </si>
  <si>
    <t>DEN8</t>
  </si>
  <si>
    <t>AP2US-H14 内置H14滤网桌面式空气净化器2-美规</t>
  </si>
  <si>
    <t>5.80/KG</t>
  </si>
  <si>
    <t>GRT07621586</t>
  </si>
  <si>
    <t>FBA19B9DKZG9</t>
  </si>
  <si>
    <t>美东萨凡纳卡派-包税KG</t>
  </si>
  <si>
    <t>TPA2</t>
  </si>
  <si>
    <t>GRT07621480</t>
  </si>
  <si>
    <t>FBA19B9HCF21</t>
  </si>
  <si>
    <t>美东纽约卡派-包税KG</t>
  </si>
  <si>
    <t>08512</t>
  </si>
  <si>
    <t>TEB6</t>
  </si>
  <si>
    <t>4.70/KG</t>
  </si>
  <si>
    <t>GRT07621353</t>
  </si>
  <si>
    <t>FBA19B9HCN3R</t>
  </si>
  <si>
    <t>MGE3</t>
  </si>
  <si>
    <t>2026/04/19</t>
  </si>
  <si>
    <t>GRT07629798</t>
  </si>
  <si>
    <t>FBA19B9C8RDL</t>
  </si>
  <si>
    <t>MIT2</t>
  </si>
  <si>
    <t>ADXKIT-B_DT ADX便携式扩香仪两个装套装 黑 + 沙漠钛,AN6-B 便携式扩香仪 黑色,AN6-GL 便携式扩香仪 翠百合色,AN6-W 便携式扩香仪 白色,RD1-B 便携式扩香仪 黑色,RD1-DT 便携式扩香仪 沙漠钛色</t>
  </si>
  <si>
    <t>3.80/KG</t>
  </si>
  <si>
    <t>GRT07714961</t>
  </si>
  <si>
    <t>FBA19BRVNNYF</t>
  </si>
  <si>
    <t>T2C 5X1</t>
  </si>
  <si>
    <t>H2-B 电子指纹球形把手锁-黑色,H2-G 电子指纹球形把手锁-灰色,K1-B 电子球形把手锁-黑色</t>
  </si>
  <si>
    <t>5.30/KG</t>
  </si>
  <si>
    <t>GRT07713560</t>
  </si>
  <si>
    <t>FBA19BRK5DWK</t>
  </si>
  <si>
    <t>G1-B 电子球形把手锁 黑色,G1-SILV 电子球形把手锁 银色,MD1-B 电子球形把手锁 指纹 黑色,MD1-SILV 电子球形把手锁 指纹 银色,MK1-B 智能球形把手锁 黑色</t>
  </si>
  <si>
    <t>GRT07723542</t>
  </si>
  <si>
    <t>FBA19BRD7JZ3</t>
  </si>
  <si>
    <t>RDX-B_US 智能扩香仪 黑色,RDX-SILV_US 智能扩香仪 银色</t>
  </si>
  <si>
    <t>GRT07715742</t>
  </si>
  <si>
    <t>FBA19BS5LVP7,FBA19BY3VMYT</t>
  </si>
  <si>
    <t>AN6B-NZB 便携式扩香仪套装 黑机器 + 黑喷嘴,AN6-B 便携式扩香仪 黑色,AN6-YG 便携式扩香仪 乳酪色,RD1-DT 便携式扩香仪 沙漠钛色,ANZ-B 便携式扩香仪 黑色,ANZ-WH 便携式扩香仪 白色</t>
  </si>
  <si>
    <t>已付金额</t>
  </si>
  <si>
    <t>待支付金额</t>
  </si>
  <si>
    <t>期初余额</t>
  </si>
  <si>
    <t>本期发生</t>
  </si>
  <si>
    <t>本月未付款</t>
  </si>
  <si>
    <t>期末余额</t>
  </si>
  <si>
    <t>请尽快核对好账单结款，谢谢！</t>
  </si>
  <si>
    <t>公司收款银行账号</t>
  </si>
  <si>
    <t>1、对公收款账户</t>
  </si>
  <si>
    <t>2、对私收款账户</t>
  </si>
  <si>
    <t>账户名：深圳市国润通物流有限公司</t>
  </si>
  <si>
    <t>账户名：杨斌</t>
  </si>
  <si>
    <t>账号：7559 7677 3610 001</t>
  </si>
  <si>
    <t>账号：6213 4710 1100 3242 526</t>
  </si>
  <si>
    <t>开户银行：招商银行深圳沙井支行</t>
  </si>
  <si>
    <t>开户银行：深圳福田银座村镇银行营业部</t>
  </si>
  <si>
    <t>特别提示：我司仅接受公对公，私对私的付款方式，不接受私人款项转入我司对公账户，否则加收10%手续费</t>
  </si>
  <si>
    <t>1、如对账单有疑问请在3个工作日内与我司财务联系（现金客户请当天确认），或与对接销售人员确认！如超过3天未收到贵司的任何回复，我司将按账单收款！</t>
  </si>
  <si>
    <t>2、贵公司如发现账单中有错误之处(少单多单等),请及时和我公司财务部联系.</t>
  </si>
  <si>
    <t>3、如收款账单我司有输漏单或帐单有误，我司保留补收权!</t>
  </si>
  <si>
    <t>4、请付款至账单上收款账号，或付款前请与我司财务核实收款账号，如付款至其他账号造成的损失我司概不负责！</t>
  </si>
  <si>
    <t>103267202604070074</t>
  </si>
  <si>
    <t>2026/04/01--2026/04/30</t>
  </si>
  <si>
    <t>2026/05/30</t>
  </si>
  <si>
    <t>杨颖怡</t>
  </si>
  <si>
    <t>2026-04-02</t>
  </si>
  <si>
    <t>FBA199J7KYFZ,FBA199JB9GX5，FBA199J506NT</t>
  </si>
  <si>
    <t>TS26040260245</t>
  </si>
  <si>
    <t>2026-04-03</t>
  </si>
  <si>
    <t>FBA199JC2QFL</t>
  </si>
  <si>
    <t>TS26040217129</t>
  </si>
  <si>
    <t>92336</t>
  </si>
  <si>
    <t>2026-04-10</t>
  </si>
  <si>
    <t>FBA199WTFJB1</t>
  </si>
  <si>
    <t>TS26040942713</t>
  </si>
  <si>
    <t>95206</t>
  </si>
  <si>
    <t>液体附加费+1</t>
  </si>
  <si>
    <t>2026-04-11</t>
  </si>
  <si>
    <t>FBA199WG4JL3,FBA199TT251G</t>
  </si>
  <si>
    <t>TS26040990077</t>
  </si>
  <si>
    <t>85307</t>
  </si>
  <si>
    <t>2026-04-17</t>
  </si>
  <si>
    <t>FBA19B7N189J,FBA19B7J1BX9</t>
  </si>
  <si>
    <t>TS26041629647</t>
  </si>
  <si>
    <t>液体附加费+200</t>
  </si>
  <si>
    <t>FBA19BCDLF7B</t>
  </si>
  <si>
    <t>TS26041653228</t>
  </si>
  <si>
    <t>2026-04-18</t>
  </si>
  <si>
    <t>FBA19B7B1PZ2,FBA19B79W7D9</t>
  </si>
  <si>
    <t>TS26041658594</t>
  </si>
  <si>
    <t>2026-04-29</t>
  </si>
  <si>
    <t>FBA19C53HQWX</t>
  </si>
  <si>
    <t>TS26042983098</t>
  </si>
  <si>
    <t>95023</t>
  </si>
  <si>
    <t>FBA19C12XM4V</t>
  </si>
  <si>
    <t>TS26042978168</t>
  </si>
  <si>
    <t>2.如需发票，请公对公转账付款，并在付款后30天内确认开票，逾期未确认概不后补。</t>
  </si>
  <si>
    <t>3.成交方式决定了买卖双方的责任和义务，留意按照单证资料对应付款。</t>
  </si>
  <si>
    <t>深圳市嘀嗒嘀物流科技有限公司</t>
  </si>
  <si>
    <t>应收费用单</t>
  </si>
  <si>
    <t>TO:</t>
  </si>
  <si>
    <t>签入日期</t>
  </si>
  <si>
    <t>服务商单号</t>
  </si>
  <si>
    <t>FBA单号</t>
  </si>
  <si>
    <t>客服</t>
  </si>
  <si>
    <t>销售产品</t>
  </si>
  <si>
    <t>目的国</t>
  </si>
  <si>
    <t>目的仓</t>
  </si>
  <si>
    <t>品名</t>
  </si>
  <si>
    <t>材积重</t>
  </si>
  <si>
    <t>其他费用</t>
  </si>
  <si>
    <t>币别</t>
  </si>
  <si>
    <t>计算公式</t>
  </si>
  <si>
    <t>合计应收（RMB)</t>
  </si>
  <si>
    <t>备注</t>
  </si>
  <si>
    <t>2026-02-03</t>
  </si>
  <si>
    <t>D260200725</t>
  </si>
  <si>
    <t>FBA1976NHDF8</t>
  </si>
  <si>
    <t>Alyssa</t>
  </si>
  <si>
    <t>美国海运-美东纽约卡派特惠线(BS)-华南</t>
  </si>
  <si>
    <t>AKR1</t>
  </si>
  <si>
    <t>CNY</t>
  </si>
  <si>
    <t>应收运费:&lt;474*6&gt;;应收报关费:&lt;200&gt;;</t>
  </si>
  <si>
    <t>单独报关</t>
  </si>
  <si>
    <t>2026-03-06</t>
  </si>
  <si>
    <t>D260301786</t>
  </si>
  <si>
    <t>FBA198354HLL</t>
  </si>
  <si>
    <t>加拿大海运-直航经济线卡派(BS)-华南</t>
  </si>
  <si>
    <t>YVR4</t>
  </si>
  <si>
    <t>AN6NZ-W AN6喷嘴配件套装 白色;AN6-W 便携式扩香仪 白色;AN6NZ-B AN6喷嘴配件套装 黑色;AN6-B 便携式扩香仪 黑色</t>
  </si>
  <si>
    <t>应收运费:&lt;137*6&gt;;应收报关费:&lt;200&gt;;</t>
  </si>
  <si>
    <t>2026-03-14</t>
  </si>
  <si>
    <t>D260305733</t>
  </si>
  <si>
    <t>FBA198K5X4YB</t>
  </si>
  <si>
    <t>美国海运-钢牛普运特惠线卡派(BS)-华南</t>
  </si>
  <si>
    <t>ANX-SG 便携式扩香仪 太空灰色;ANZ-B 便携式扩香仪 黑色</t>
  </si>
  <si>
    <t>应收运费:&lt;212*3.1&gt;;应收报关费:&lt;200&gt;;</t>
  </si>
  <si>
    <t>2026-03-28</t>
  </si>
  <si>
    <t>D260313250</t>
  </si>
  <si>
    <t>FBA1990KKRQ3</t>
  </si>
  <si>
    <t>ANZKIT-B_B 便携式扩香仪 黑色 两个装</t>
  </si>
  <si>
    <t>应收运费:&lt;104*4.1&gt;;</t>
  </si>
  <si>
    <t>D260313250
D260313254
D260313262
合并报关</t>
  </si>
  <si>
    <t>D260313254</t>
  </si>
  <si>
    <t>FBA1997ZZGG7</t>
  </si>
  <si>
    <t>ANZKIT-W_4X10K04_TZ ANZ白色机器+4x10mL酒店（天竺）香氛油 机油套装;ANZKIT-B_4X10K04_TZ ANZ黑色机器+4x10mL酒店（天竺）香氛油 机油套装</t>
  </si>
  <si>
    <t>应收运费:&lt;353*4.3&gt;;应收报关费:&lt;200.00&gt;;</t>
  </si>
  <si>
    <t>D260313262</t>
  </si>
  <si>
    <t>FBA1998DXN77,FBA199C7XWBM</t>
  </si>
  <si>
    <t>AN6KIT-B_4X10K04_TZ AN6黑色机器+4x10mL酒店（天竺）香氛油 机油套装;AN8KIT-WH_4X10K05_TZ AN8白色机器+4x10mL（天竺）酒店香氛油 机油套装;AN8KIT-B_4X10K05_TZ AN8黑色机器+4x10mL（天竺）酒店香氛油 机油套装;AN8KIT-B_4X10K01 AN8黑色机器+4x10mL酒店香氛油 机油套装;ANZKIT-W_</t>
  </si>
  <si>
    <t>应收运费:&lt;1715*4.2&gt;;</t>
  </si>
  <si>
    <t>D260305727</t>
  </si>
  <si>
    <t>FBA15LHXTKQ1</t>
  </si>
  <si>
    <t>英国海运-卡派(ZS)-KG-华南</t>
  </si>
  <si>
    <t>英国</t>
  </si>
  <si>
    <t>BHX4</t>
  </si>
  <si>
    <t>AN6-GL 便携式扩香仪 翠百合色;ANX-SG 便携式扩香仪 太空灰色;AN6-LB 便携式扩香仪 浅钢蓝色</t>
  </si>
  <si>
    <t>应收运费:&lt;134*4.1&gt;;应收报关费:&lt;200&gt;;清关费:&lt;300&gt;;</t>
  </si>
  <si>
    <t>D260305727-B1</t>
  </si>
  <si>
    <t>税金:&lt;428.10&gt;;</t>
  </si>
  <si>
    <t>46.8*9.1475=428.103</t>
  </si>
  <si>
    <t>D260313093</t>
  </si>
  <si>
    <t>FBA15LKVV9JS</t>
  </si>
  <si>
    <t>ANX-DT 便携式扩香仪 沙漠钛色;ANX-SG 便携式扩香仪 太空灰色;ANX-B 便携式扩香仪 黑色;AN6-G 便携式扩香仪 灰色;ANX-SILV 便携式扩香仪 银色</t>
  </si>
  <si>
    <t>应收运费:&lt;196*4.6&gt;;应收报关费:&lt;200&gt;;税金:&lt;635.94&gt;;清关费:&lt;350&gt;;</t>
  </si>
  <si>
    <t>68.4*9.2973=635.93532;</t>
  </si>
  <si>
    <t>D260402011</t>
  </si>
  <si>
    <t>FBA199J8WL2C,FBA199JBK252</t>
  </si>
  <si>
    <t>ANW-B 智能扩香仪 黑色;ANW-W 智能扩香仪 白色;ANP-W_US 墙插式智能扩香仪 白色</t>
  </si>
  <si>
    <t>应收运费:&lt;902*4.5&gt;;</t>
  </si>
  <si>
    <t>D260402011
D260402013
合并报关</t>
  </si>
  <si>
    <t>2026-04-04</t>
  </si>
  <si>
    <t>D260402013</t>
  </si>
  <si>
    <t>FBA199J9RQ5K,FBA199KPSFXM</t>
  </si>
  <si>
    <t>AN6KIT-B_4X10K04_TZ AN6黑色机器+4x10mL酒店（天竺）香氛油 机油套装(带精油）;AN8KIT-B_4X10K05_TZ AN8黑色机器+4x10mL（天竺）酒店香氛油 机油套装(带精油）;ANZKIT-W_4X10K04_TZ ANZ白色机器+4x10mL酒店（天竺）香氛油 机油套装(带精油）;ANZKIT-B_4X10K04_TZ ANZ黑色机器+4x10mL酒店（</t>
  </si>
  <si>
    <t>应收运费:&lt;2573*3.7&gt;;应收报关费:&lt;200.00&gt;;</t>
  </si>
  <si>
    <t>D260402014</t>
  </si>
  <si>
    <t>FBA199ND5Y2G</t>
  </si>
  <si>
    <t>RDXKIT-B_US_2X100K04 RDX黑色机器+2X100mL酒店香氛油（天竺） 机油套装（带精油）;RDX-B_US 智能扩香仪 黑色</t>
  </si>
  <si>
    <t>应收运费:&lt;759*4.8&gt;;</t>
  </si>
  <si>
    <t>D260402366</t>
  </si>
  <si>
    <t>FBA199KWXBZZ</t>
  </si>
  <si>
    <t>ANPKIT-WH_US_3X20K01_TZ ANP白色机器+3X20mL酒店香氛油（天竺） 机油套装（带精油）</t>
  </si>
  <si>
    <t>应收运费:&lt;84*4.5&gt;;应收报关费:&lt;200.00&gt;;</t>
  </si>
  <si>
    <t>D260402014
D260402366
合并报关</t>
  </si>
  <si>
    <t>D260409617</t>
  </si>
  <si>
    <t>FBA19B9HK18P</t>
  </si>
  <si>
    <t>美国海运-钻龙特运卡派(BS)-华南</t>
  </si>
  <si>
    <t>RD1-DT 便携式扩香仪 沙漠钛色;ADXKIT-DT_4X10K04_TZ AD钛色机器+4x10mL酒店（天竺）香氛油 机油套装（带精油）</t>
  </si>
  <si>
    <t>应收运费:&lt;329*7.9&gt;;</t>
  </si>
  <si>
    <t>D260409663</t>
  </si>
  <si>
    <t>FBA19B9LM3JV</t>
  </si>
  <si>
    <t>ANZKIT-B_4X10K04_TZ ANZ黑色机器+4x10mL酒店（天竺）香氛油 机油套装（带精油）</t>
  </si>
  <si>
    <t>应收运费:&lt;253*8.9&gt;;应收报关费:&lt;200&gt;;</t>
  </si>
  <si>
    <t>D260409617
D260409663
合并报关</t>
  </si>
  <si>
    <t>合计</t>
  </si>
  <si>
    <t>附我司帐户：</t>
  </si>
  <si>
    <t>公司名称： 深圳市嘀嗒嘀物流科技有限公司</t>
  </si>
  <si>
    <t>开户行名称:   中国银行深圳国贸支行</t>
  </si>
  <si>
    <t>公司账户:    758874458973  （RMB）</t>
  </si>
  <si>
    <t>我司开具的发票项目统一填写为：经济代理服务*代理国际运费，不开具其他项目明细；</t>
  </si>
  <si>
    <t>如贵司对开票项目有特殊要求的，请确认费用时特别说明，发票一经开出，不轻易更改；如需更改，需加收200元操作费；</t>
  </si>
  <si>
    <t>1.尊敬的客户，收到我司账单后请尽快核对，如有疑问请联系发账单同事。三天内不回复，则当默认无误。</t>
  </si>
  <si>
    <t>2.请及时付款并提供水单，汇款时，请注明我司工作单号，并请确保我司实际到账金额与对账金额一致！</t>
  </si>
  <si>
    <t>2026-05-07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</si>
</sst>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 "/>
    <numFmt numFmtId="177" formatCode="0.00_);[Red]\(0.00\)"/>
    <numFmt numFmtId="178" formatCode="0.00_);\(0.00\)"/>
    <numFmt numFmtId="179" formatCode="m&quot;月&quot;d&quot;日&quot;;@"/>
    <numFmt numFmtId="180" formatCode="m/d;@"/>
    <numFmt numFmtId="181" formatCode="[$-409]d/mmm;@"/>
  </numFmts>
  <fonts count="47">
    <font>
      <sz val="11"/>
      <color theme="1"/>
      <name val="等线"/>
      <family val="2"/>
      <charset val="134"/>
      <scheme val="minor"/>
    </font>
    <font>
      <sz val="11"/>
      <color indexed="8"/>
      <name val="等线"/>
      <family val="3"/>
      <charset val="134"/>
      <scheme val="minor"/>
    </font>
    <font>
      <b/>
      <sz val="26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20"/>
      <name val="宋体"/>
      <family val="3"/>
      <charset val="134"/>
    </font>
    <font>
      <b/>
      <sz val="13"/>
      <name val="宋体"/>
      <family val="3"/>
      <charset val="134"/>
    </font>
    <font>
      <b/>
      <sz val="12"/>
      <name val="宋体"/>
      <family val="3"/>
      <charset val="134"/>
    </font>
    <font>
      <sz val="11"/>
      <name val="宋体"/>
      <family val="3"/>
      <charset val="134"/>
    </font>
    <font>
      <b/>
      <sz val="11"/>
      <color rgb="FFFF0000"/>
      <name val="等线"/>
      <family val="3"/>
      <charset val="134"/>
      <scheme val="minor"/>
    </font>
    <font>
      <b/>
      <sz val="12"/>
      <color rgb="FFFF0000"/>
      <name val="宋体"/>
      <family val="3"/>
      <charset val="134"/>
    </font>
    <font>
      <sz val="12"/>
      <color indexed="8"/>
      <name val="等线"/>
      <family val="3"/>
      <charset val="134"/>
      <scheme val="minor"/>
    </font>
    <font>
      <sz val="9"/>
      <color rgb="FF000000"/>
      <name val="微软雅黑"/>
      <family val="2"/>
      <charset val="134"/>
    </font>
    <font>
      <sz val="36"/>
      <color rgb="FF3366FF"/>
      <name val="微软雅黑"/>
      <family val="2"/>
      <charset val="134"/>
    </font>
    <font>
      <sz val="36"/>
      <color rgb="FF000000"/>
      <name val="微软雅黑"/>
      <family val="2"/>
      <charset val="134"/>
    </font>
    <font>
      <b/>
      <sz val="22"/>
      <color rgb="FF000000"/>
      <name val="微软雅黑"/>
      <family val="2"/>
      <charset val="134"/>
    </font>
    <font>
      <b/>
      <sz val="18"/>
      <color rgb="FF000000"/>
      <name val="微软雅黑"/>
      <family val="2"/>
      <charset val="134"/>
    </font>
    <font>
      <b/>
      <sz val="24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color rgb="FFFF0000"/>
      <name val="微软雅黑"/>
      <family val="2"/>
      <charset val="134"/>
    </font>
    <font>
      <sz val="20"/>
      <color rgb="FF000000"/>
      <name val="微软雅黑"/>
      <family val="2"/>
      <charset val="134"/>
    </font>
    <font>
      <b/>
      <sz val="18"/>
      <color rgb="FFFF0000"/>
      <name val="宋体"/>
      <family val="3"/>
      <charset val="134"/>
    </font>
    <font>
      <sz val="16"/>
      <color rgb="FFDD0806"/>
      <name val="微软雅黑"/>
      <family val="2"/>
      <charset val="134"/>
    </font>
    <font>
      <sz val="12"/>
      <color rgb="FF000000"/>
      <name val="宋体"/>
      <family val="3"/>
      <charset val="134"/>
    </font>
    <font>
      <b/>
      <sz val="28"/>
      <color rgb="FF00B0F0"/>
      <name val="方正公文小标宋"/>
      <charset val="134"/>
    </font>
    <font>
      <b/>
      <sz val="11"/>
      <color rgb="FF000000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b/>
      <sz val="12"/>
      <color rgb="FF00B0F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22"/>
      <color indexed="8"/>
      <name val="宋体"/>
      <family val="3"/>
      <charset val="134"/>
    </font>
    <font>
      <b/>
      <sz val="11"/>
      <color indexed="8"/>
      <name val="Calibri"/>
      <family val="2"/>
    </font>
    <font>
      <b/>
      <sz val="9"/>
      <color indexed="10"/>
      <name val="微软雅黑"/>
      <family val="2"/>
      <charset val="134"/>
    </font>
    <font>
      <sz val="9"/>
      <color indexed="8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26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/>
  </cellStyleXfs>
  <cellXfs count="205">
    <xf numFmtId="0" fontId="0" fillId="0" borderId="0" xfId="0">
      <alignment vertical="center"/>
    </xf>
    <xf numFmtId="0" fontId="1" fillId="0" borderId="0" xfId="1">
      <alignment vertical="center"/>
    </xf>
    <xf numFmtId="0" fontId="5" fillId="0" borderId="4" xfId="1" applyFont="1" applyBorder="1" applyAlignment="1">
      <alignment horizontal="center" vertical="center"/>
    </xf>
    <xf numFmtId="14" fontId="5" fillId="0" borderId="0" xfId="1" applyNumberFormat="1" applyFont="1">
      <alignment vertical="center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14" fontId="5" fillId="0" borderId="5" xfId="1" applyNumberFormat="1" applyFont="1" applyBorder="1">
      <alignment vertical="center"/>
    </xf>
    <xf numFmtId="14" fontId="5" fillId="0" borderId="6" xfId="1" applyNumberFormat="1" applyFont="1" applyBorder="1">
      <alignment vertical="center"/>
    </xf>
    <xf numFmtId="14" fontId="5" fillId="0" borderId="7" xfId="1" applyNumberFormat="1" applyFont="1" applyBorder="1">
      <alignment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>
      <alignment vertical="center"/>
    </xf>
    <xf numFmtId="0" fontId="7" fillId="2" borderId="11" xfId="1" applyFont="1" applyFill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176" fontId="1" fillId="0" borderId="11" xfId="1" applyNumberFormat="1" applyBorder="1" applyAlignment="1">
      <alignment horizontal="center" vertical="center"/>
    </xf>
    <xf numFmtId="0" fontId="1" fillId="0" borderId="13" xfId="1" applyBorder="1">
      <alignment vertical="center"/>
    </xf>
    <xf numFmtId="0" fontId="10" fillId="0" borderId="0" xfId="1" applyFont="1">
      <alignment vertical="center"/>
    </xf>
    <xf numFmtId="0" fontId="10" fillId="0" borderId="5" xfId="1" applyFont="1" applyBorder="1">
      <alignment vertical="center"/>
    </xf>
    <xf numFmtId="0" fontId="6" fillId="0" borderId="5" xfId="1" applyFont="1" applyBorder="1">
      <alignment vertical="center"/>
    </xf>
    <xf numFmtId="0" fontId="9" fillId="0" borderId="5" xfId="1" applyFont="1" applyBorder="1">
      <alignment vertical="center"/>
    </xf>
    <xf numFmtId="0" fontId="9" fillId="0" borderId="0" xfId="1" applyFont="1">
      <alignment vertical="center"/>
    </xf>
    <xf numFmtId="0" fontId="10" fillId="0" borderId="6" xfId="1" applyFont="1" applyBorder="1">
      <alignment vertical="center"/>
    </xf>
    <xf numFmtId="0" fontId="9" fillId="0" borderId="6" xfId="1" applyFont="1" applyBorder="1">
      <alignment vertical="center"/>
    </xf>
    <xf numFmtId="0" fontId="9" fillId="0" borderId="7" xfId="1" applyFont="1" applyBorder="1">
      <alignment vertical="center"/>
    </xf>
    <xf numFmtId="0" fontId="9" fillId="0" borderId="11" xfId="1" applyFont="1" applyBorder="1" applyAlignment="1">
      <alignment horizontal="left" vertical="center"/>
    </xf>
    <xf numFmtId="0" fontId="6" fillId="3" borderId="17" xfId="1" applyFont="1" applyFill="1" applyBorder="1" applyAlignment="1">
      <alignment horizontal="left" vertical="center"/>
    </xf>
    <xf numFmtId="0" fontId="6" fillId="3" borderId="6" xfId="1" applyFont="1" applyFill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9" fillId="0" borderId="4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17" xfId="1" applyFont="1" applyBorder="1" applyAlignment="1">
      <alignment horizontal="left" vertical="center"/>
    </xf>
    <xf numFmtId="0" fontId="9" fillId="0" borderId="6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9" fillId="0" borderId="14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0" fontId="10" fillId="0" borderId="4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49" fontId="12" fillId="4" borderId="0" xfId="2" applyNumberFormat="1" applyFont="1" applyFill="1" applyAlignment="1">
      <alignment horizontal="center" vertical="top" wrapText="1"/>
    </xf>
    <xf numFmtId="49" fontId="13" fillId="4" borderId="0" xfId="2" applyNumberFormat="1" applyFont="1" applyFill="1" applyAlignment="1">
      <alignment vertical="center" wrapText="1"/>
    </xf>
    <xf numFmtId="49" fontId="14" fillId="4" borderId="0" xfId="2" applyNumberFormat="1" applyFont="1" applyFill="1" applyAlignment="1">
      <alignment horizontal="center" vertical="center" wrapText="1"/>
    </xf>
    <xf numFmtId="49" fontId="15" fillId="4" borderId="0" xfId="2" applyNumberFormat="1" applyFont="1" applyFill="1" applyAlignment="1">
      <alignment vertical="center" wrapText="1"/>
    </xf>
    <xf numFmtId="0" fontId="11" fillId="0" borderId="0" xfId="2"/>
    <xf numFmtId="49" fontId="12" fillId="4" borderId="0" xfId="2" applyNumberFormat="1" applyFont="1" applyFill="1" applyAlignment="1">
      <alignment horizontal="center" vertical="top" wrapText="1"/>
    </xf>
    <xf numFmtId="49" fontId="14" fillId="4" borderId="0" xfId="2" applyNumberFormat="1" applyFont="1" applyFill="1" applyAlignment="1">
      <alignment horizontal="center" vertical="top" wrapText="1"/>
    </xf>
    <xf numFmtId="49" fontId="15" fillId="4" borderId="0" xfId="2" applyNumberFormat="1" applyFont="1" applyFill="1" applyAlignment="1">
      <alignment horizontal="left" vertical="center" wrapText="1"/>
    </xf>
    <xf numFmtId="49" fontId="16" fillId="4" borderId="0" xfId="2" applyNumberFormat="1" applyFont="1" applyFill="1" applyAlignment="1">
      <alignment vertical="center"/>
    </xf>
    <xf numFmtId="49" fontId="17" fillId="4" borderId="0" xfId="2" applyNumberFormat="1" applyFont="1" applyFill="1" applyAlignment="1">
      <alignment horizontal="left" vertical="center"/>
    </xf>
    <xf numFmtId="49" fontId="17" fillId="4" borderId="0" xfId="2" applyNumberFormat="1" applyFont="1" applyFill="1" applyAlignment="1">
      <alignment vertical="center"/>
    </xf>
    <xf numFmtId="177" fontId="17" fillId="4" borderId="0" xfId="2" applyNumberFormat="1" applyFont="1" applyFill="1" applyAlignment="1">
      <alignment vertical="center"/>
    </xf>
    <xf numFmtId="49" fontId="16" fillId="4" borderId="0" xfId="2" applyNumberFormat="1" applyFont="1" applyFill="1" applyAlignment="1">
      <alignment horizontal="center" vertical="center"/>
    </xf>
    <xf numFmtId="49" fontId="17" fillId="4" borderId="0" xfId="2" applyNumberFormat="1" applyFont="1" applyFill="1" applyAlignment="1">
      <alignment horizontal="center" vertical="center"/>
    </xf>
    <xf numFmtId="177" fontId="17" fillId="4" borderId="0" xfId="2" applyNumberFormat="1" applyFont="1" applyFill="1" applyAlignment="1">
      <alignment horizontal="center" vertical="center"/>
    </xf>
    <xf numFmtId="49" fontId="18" fillId="4" borderId="0" xfId="2" applyNumberFormat="1" applyFont="1" applyFill="1"/>
    <xf numFmtId="49" fontId="18" fillId="4" borderId="0" xfId="2" applyNumberFormat="1" applyFont="1" applyFill="1" applyAlignment="1">
      <alignment horizontal="left" vertical="center"/>
    </xf>
    <xf numFmtId="49" fontId="18" fillId="4" borderId="0" xfId="2" applyNumberFormat="1" applyFont="1" applyFill="1" applyAlignment="1">
      <alignment vertical="center"/>
    </xf>
    <xf numFmtId="177" fontId="18" fillId="4" borderId="0" xfId="2" applyNumberFormat="1" applyFont="1" applyFill="1" applyAlignment="1">
      <alignment vertical="center"/>
    </xf>
    <xf numFmtId="49" fontId="17" fillId="4" borderId="18" xfId="2" applyNumberFormat="1" applyFont="1" applyFill="1" applyBorder="1" applyAlignment="1">
      <alignment horizontal="center" vertical="center"/>
    </xf>
    <xf numFmtId="177" fontId="17" fillId="4" borderId="18" xfId="2" applyNumberFormat="1" applyFont="1" applyFill="1" applyBorder="1" applyAlignment="1">
      <alignment horizontal="center" vertical="center"/>
    </xf>
    <xf numFmtId="49" fontId="19" fillId="4" borderId="0" xfId="2" applyNumberFormat="1" applyFont="1" applyFill="1" applyAlignment="1">
      <alignment horizontal="center" vertical="center"/>
    </xf>
    <xf numFmtId="49" fontId="19" fillId="0" borderId="18" xfId="2" applyNumberFormat="1" applyFont="1" applyBorder="1" applyAlignment="1">
      <alignment horizontal="center" vertical="center"/>
    </xf>
    <xf numFmtId="177" fontId="19" fillId="0" borderId="18" xfId="2" applyNumberFormat="1" applyFont="1" applyBorder="1" applyAlignment="1">
      <alignment horizontal="center" vertical="center"/>
    </xf>
    <xf numFmtId="49" fontId="19" fillId="4" borderId="18" xfId="2" applyNumberFormat="1" applyFont="1" applyFill="1" applyBorder="1" applyAlignment="1">
      <alignment horizontal="center" vertical="center"/>
    </xf>
    <xf numFmtId="49" fontId="20" fillId="4" borderId="0" xfId="2" applyNumberFormat="1" applyFont="1" applyFill="1"/>
    <xf numFmtId="177" fontId="19" fillId="4" borderId="18" xfId="2" applyNumberFormat="1" applyFont="1" applyFill="1" applyBorder="1" applyAlignment="1">
      <alignment horizontal="center" vertical="center"/>
    </xf>
    <xf numFmtId="49" fontId="21" fillId="4" borderId="19" xfId="2" applyNumberFormat="1" applyFont="1" applyFill="1" applyBorder="1" applyAlignment="1">
      <alignment horizontal="left" vertical="center"/>
    </xf>
    <xf numFmtId="49" fontId="20" fillId="4" borderId="0" xfId="2" applyNumberFormat="1" applyFont="1" applyFill="1" applyAlignment="1">
      <alignment horizontal="center" vertical="center"/>
    </xf>
    <xf numFmtId="49" fontId="22" fillId="4" borderId="0" xfId="2" applyNumberFormat="1" applyFont="1" applyFill="1" applyAlignment="1">
      <alignment horizontal="left" vertical="center"/>
    </xf>
    <xf numFmtId="49" fontId="18" fillId="4" borderId="18" xfId="2" applyNumberFormat="1" applyFont="1" applyFill="1" applyBorder="1" applyAlignment="1">
      <alignment horizontal="left" vertical="center"/>
    </xf>
    <xf numFmtId="49" fontId="23" fillId="4" borderId="0" xfId="2" applyNumberFormat="1" applyFont="1" applyFill="1" applyAlignment="1">
      <alignment vertical="center"/>
    </xf>
    <xf numFmtId="49" fontId="11" fillId="0" borderId="0" xfId="2" applyNumberFormat="1"/>
    <xf numFmtId="177" fontId="23" fillId="4" borderId="0" xfId="2" applyNumberFormat="1" applyFont="1" applyFill="1" applyAlignment="1">
      <alignment vertical="center"/>
    </xf>
    <xf numFmtId="49" fontId="18" fillId="4" borderId="20" xfId="2" applyNumberFormat="1" applyFont="1" applyFill="1" applyBorder="1" applyAlignment="1">
      <alignment horizontal="left" vertical="center"/>
    </xf>
    <xf numFmtId="49" fontId="18" fillId="4" borderId="21" xfId="2" applyNumberFormat="1" applyFont="1" applyFill="1" applyBorder="1" applyAlignment="1">
      <alignment horizontal="left" vertical="center"/>
    </xf>
    <xf numFmtId="49" fontId="18" fillId="4" borderId="22" xfId="2" applyNumberFormat="1" applyFont="1" applyFill="1" applyBorder="1" applyAlignment="1">
      <alignment horizontal="left" vertical="center"/>
    </xf>
    <xf numFmtId="0" fontId="24" fillId="0" borderId="0" xfId="2" applyFont="1" applyAlignment="1">
      <alignment horizontal="left" vertical="center" wrapText="1" shrinkToFit="1"/>
    </xf>
    <xf numFmtId="49" fontId="25" fillId="4" borderId="0" xfId="2" applyNumberFormat="1" applyFont="1" applyFill="1" applyAlignment="1">
      <alignment vertical="center"/>
    </xf>
    <xf numFmtId="177" fontId="25" fillId="4" borderId="0" xfId="2" applyNumberFormat="1" applyFont="1" applyFill="1" applyAlignment="1">
      <alignment vertical="center"/>
    </xf>
    <xf numFmtId="177" fontId="20" fillId="4" borderId="0" xfId="2" applyNumberFormat="1" applyFont="1" applyFill="1"/>
    <xf numFmtId="0" fontId="26" fillId="0" borderId="0" xfId="2" applyFont="1"/>
    <xf numFmtId="49" fontId="27" fillId="0" borderId="0" xfId="2" applyNumberFormat="1" applyFont="1" applyAlignment="1">
      <alignment horizontal="center" vertical="center"/>
    </xf>
    <xf numFmtId="49" fontId="27" fillId="0" borderId="23" xfId="2" applyNumberFormat="1" applyFont="1" applyBorder="1" applyAlignment="1">
      <alignment horizontal="center" vertical="center"/>
    </xf>
    <xf numFmtId="49" fontId="27" fillId="0" borderId="23" xfId="2" applyNumberFormat="1" applyFont="1" applyBorder="1" applyAlignment="1">
      <alignment horizontal="center" vertical="center"/>
    </xf>
    <xf numFmtId="0" fontId="28" fillId="0" borderId="0" xfId="2" applyFont="1" applyAlignment="1">
      <alignment vertical="center"/>
    </xf>
    <xf numFmtId="0" fontId="28" fillId="0" borderId="0" xfId="2" applyFont="1" applyAlignment="1">
      <alignment vertical="center" wrapText="1"/>
    </xf>
    <xf numFmtId="0" fontId="26" fillId="0" borderId="0" xfId="2" applyFont="1" applyAlignment="1">
      <alignment vertical="center"/>
    </xf>
    <xf numFmtId="0" fontId="14" fillId="0" borderId="23" xfId="2" applyFont="1" applyBorder="1" applyAlignment="1">
      <alignment horizontal="center" vertical="center"/>
    </xf>
    <xf numFmtId="0" fontId="20" fillId="4" borderId="0" xfId="2" applyFont="1" applyFill="1"/>
    <xf numFmtId="0" fontId="18" fillId="4" borderId="0" xfId="2" applyFont="1" applyFill="1"/>
    <xf numFmtId="177" fontId="17" fillId="4" borderId="20" xfId="2" applyNumberFormat="1" applyFont="1" applyFill="1" applyBorder="1" applyAlignment="1">
      <alignment horizontal="center" vertical="center"/>
    </xf>
    <xf numFmtId="0" fontId="17" fillId="4" borderId="18" xfId="2" applyFont="1" applyFill="1" applyBorder="1" applyAlignment="1">
      <alignment horizontal="center" vertical="center"/>
    </xf>
    <xf numFmtId="177" fontId="19" fillId="0" borderId="20" xfId="2" applyNumberFormat="1" applyFont="1" applyBorder="1" applyAlignment="1">
      <alignment horizontal="center" vertical="center"/>
    </xf>
    <xf numFmtId="0" fontId="19" fillId="4" borderId="18" xfId="2" applyFont="1" applyFill="1" applyBorder="1" applyAlignment="1">
      <alignment horizontal="center" vertical="center"/>
    </xf>
    <xf numFmtId="177" fontId="19" fillId="4" borderId="20" xfId="2" applyNumberFormat="1" applyFont="1" applyFill="1" applyBorder="1" applyAlignment="1">
      <alignment horizontal="center" vertical="center"/>
    </xf>
    <xf numFmtId="49" fontId="19" fillId="4" borderId="19" xfId="2" applyNumberFormat="1" applyFont="1" applyFill="1" applyBorder="1" applyAlignment="1">
      <alignment horizontal="center" vertical="center"/>
    </xf>
    <xf numFmtId="49" fontId="19" fillId="0" borderId="19" xfId="2" applyNumberFormat="1" applyFont="1" applyBorder="1" applyAlignment="1">
      <alignment horizontal="center" vertical="center"/>
    </xf>
    <xf numFmtId="177" fontId="19" fillId="4" borderId="19" xfId="2" applyNumberFormat="1" applyFont="1" applyFill="1" applyBorder="1" applyAlignment="1">
      <alignment horizontal="center" vertical="center"/>
    </xf>
    <xf numFmtId="0" fontId="19" fillId="4" borderId="0" xfId="2" applyFont="1" applyFill="1" applyAlignment="1">
      <alignment horizontal="center" vertical="center"/>
    </xf>
    <xf numFmtId="49" fontId="19" fillId="4" borderId="20" xfId="2" applyNumberFormat="1" applyFont="1" applyFill="1" applyBorder="1" applyAlignment="1">
      <alignment horizontal="center" vertical="center"/>
    </xf>
    <xf numFmtId="49" fontId="19" fillId="4" borderId="21" xfId="2" applyNumberFormat="1" applyFont="1" applyFill="1" applyBorder="1" applyAlignment="1">
      <alignment horizontal="center" vertical="center"/>
    </xf>
    <xf numFmtId="49" fontId="19" fillId="4" borderId="22" xfId="2" applyNumberFormat="1" applyFont="1" applyFill="1" applyBorder="1" applyAlignment="1">
      <alignment horizontal="center" vertical="center"/>
    </xf>
    <xf numFmtId="0" fontId="19" fillId="4" borderId="20" xfId="2" applyFont="1" applyFill="1" applyBorder="1" applyAlignment="1">
      <alignment horizontal="center" vertical="center"/>
    </xf>
    <xf numFmtId="0" fontId="19" fillId="4" borderId="21" xfId="2" applyFont="1" applyFill="1" applyBorder="1" applyAlignment="1">
      <alignment horizontal="center" vertical="center"/>
    </xf>
    <xf numFmtId="0" fontId="19" fillId="4" borderId="22" xfId="2" applyFont="1" applyFill="1" applyBorder="1" applyAlignment="1">
      <alignment horizontal="center" vertical="center"/>
    </xf>
    <xf numFmtId="0" fontId="19" fillId="4" borderId="18" xfId="2" applyFont="1" applyFill="1" applyBorder="1" applyAlignment="1">
      <alignment horizontal="center" vertical="center"/>
    </xf>
    <xf numFmtId="49" fontId="21" fillId="4" borderId="0" xfId="2" applyNumberFormat="1" applyFont="1" applyFill="1" applyAlignment="1">
      <alignment horizontal="left" vertical="center"/>
    </xf>
    <xf numFmtId="0" fontId="20" fillId="4" borderId="0" xfId="2" applyFont="1" applyFill="1" applyAlignment="1">
      <alignment horizontal="center" vertical="center"/>
    </xf>
    <xf numFmtId="49" fontId="22" fillId="4" borderId="0" xfId="2" applyNumberFormat="1" applyFont="1" applyFill="1" applyAlignment="1">
      <alignment horizontal="center" vertical="center"/>
    </xf>
    <xf numFmtId="49" fontId="29" fillId="4" borderId="20" xfId="2" applyNumberFormat="1" applyFont="1" applyFill="1" applyBorder="1" applyAlignment="1">
      <alignment horizontal="center" vertical="center"/>
    </xf>
    <xf numFmtId="49" fontId="29" fillId="4" borderId="21" xfId="2" applyNumberFormat="1" applyFont="1" applyFill="1" applyBorder="1" applyAlignment="1">
      <alignment horizontal="center" vertical="center"/>
    </xf>
    <xf numFmtId="49" fontId="29" fillId="4" borderId="22" xfId="2" applyNumberFormat="1" applyFont="1" applyFill="1" applyBorder="1" applyAlignment="1">
      <alignment horizontal="center" vertical="center"/>
    </xf>
    <xf numFmtId="49" fontId="30" fillId="4" borderId="24" xfId="2" applyNumberFormat="1" applyFont="1" applyFill="1" applyBorder="1" applyAlignment="1">
      <alignment horizontal="left" vertical="center"/>
    </xf>
    <xf numFmtId="49" fontId="30" fillId="4" borderId="0" xfId="2" applyNumberFormat="1" applyFont="1" applyFill="1" applyAlignment="1">
      <alignment horizontal="left" vertical="center"/>
    </xf>
    <xf numFmtId="49" fontId="30" fillId="4" borderId="25" xfId="2" applyNumberFormat="1" applyFont="1" applyFill="1" applyBorder="1" applyAlignment="1">
      <alignment horizontal="left" vertical="center"/>
    </xf>
    <xf numFmtId="49" fontId="20" fillId="4" borderId="24" xfId="2" applyNumberFormat="1" applyFont="1" applyFill="1" applyBorder="1" applyAlignment="1">
      <alignment horizontal="left" vertical="center"/>
    </xf>
    <xf numFmtId="49" fontId="20" fillId="4" borderId="0" xfId="2" applyNumberFormat="1" applyFont="1" applyFill="1" applyAlignment="1">
      <alignment horizontal="left" vertical="center"/>
    </xf>
    <xf numFmtId="49" fontId="20" fillId="4" borderId="25" xfId="2" applyNumberFormat="1" applyFont="1" applyFill="1" applyBorder="1" applyAlignment="1">
      <alignment horizontal="left" vertical="center"/>
    </xf>
    <xf numFmtId="49" fontId="20" fillId="4" borderId="26" xfId="2" applyNumberFormat="1" applyFont="1" applyFill="1" applyBorder="1" applyAlignment="1">
      <alignment horizontal="left" vertical="center"/>
    </xf>
    <xf numFmtId="49" fontId="20" fillId="4" borderId="23" xfId="2" applyNumberFormat="1" applyFont="1" applyFill="1" applyBorder="1" applyAlignment="1">
      <alignment horizontal="left" vertical="center"/>
    </xf>
    <xf numFmtId="49" fontId="20" fillId="4" borderId="27" xfId="2" applyNumberFormat="1" applyFont="1" applyFill="1" applyBorder="1" applyAlignment="1">
      <alignment horizontal="left" vertical="center"/>
    </xf>
    <xf numFmtId="49" fontId="31" fillId="4" borderId="20" xfId="2" applyNumberFormat="1" applyFont="1" applyFill="1" applyBorder="1" applyAlignment="1">
      <alignment horizontal="center" vertical="center"/>
    </xf>
    <xf numFmtId="49" fontId="31" fillId="4" borderId="21" xfId="2" applyNumberFormat="1" applyFont="1" applyFill="1" applyBorder="1" applyAlignment="1">
      <alignment horizontal="center" vertical="center"/>
    </xf>
    <xf numFmtId="49" fontId="31" fillId="4" borderId="22" xfId="2" applyNumberFormat="1" applyFont="1" applyFill="1" applyBorder="1" applyAlignment="1">
      <alignment horizontal="center" vertical="center"/>
    </xf>
    <xf numFmtId="49" fontId="32" fillId="4" borderId="0" xfId="2" applyNumberFormat="1" applyFont="1" applyFill="1"/>
    <xf numFmtId="0" fontId="9" fillId="0" borderId="28" xfId="1" applyFont="1" applyBorder="1" applyAlignment="1">
      <alignment horizontal="left" vertical="center"/>
    </xf>
    <xf numFmtId="0" fontId="9" fillId="0" borderId="29" xfId="1" applyFont="1" applyBorder="1" applyAlignment="1">
      <alignment horizontal="left" vertical="center"/>
    </xf>
    <xf numFmtId="0" fontId="9" fillId="0" borderId="30" xfId="1" applyFont="1" applyBorder="1" applyAlignment="1">
      <alignment horizontal="left" vertical="center"/>
    </xf>
    <xf numFmtId="0" fontId="33" fillId="0" borderId="0" xfId="1" applyFont="1" applyAlignment="1">
      <alignment horizontal="center" vertical="center"/>
    </xf>
    <xf numFmtId="178" fontId="33" fillId="0" borderId="0" xfId="1" applyNumberFormat="1" applyFont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35" fillId="0" borderId="0" xfId="1" applyFont="1" applyAlignment="1">
      <alignment horizontal="left" vertical="center"/>
    </xf>
    <xf numFmtId="0" fontId="36" fillId="0" borderId="0" xfId="1" applyFont="1" applyAlignment="1">
      <alignment horizontal="center" vertical="center"/>
    </xf>
    <xf numFmtId="178" fontId="36" fillId="0" borderId="0" xfId="1" applyNumberFormat="1" applyFont="1" applyAlignment="1">
      <alignment horizontal="center" vertical="center"/>
    </xf>
    <xf numFmtId="178" fontId="1" fillId="0" borderId="0" xfId="1" applyNumberFormat="1">
      <alignment vertical="center"/>
    </xf>
    <xf numFmtId="179" fontId="37" fillId="5" borderId="11" xfId="1" applyNumberFormat="1" applyFont="1" applyFill="1" applyBorder="1" applyAlignment="1">
      <alignment horizontal="center" vertical="center" shrinkToFit="1"/>
    </xf>
    <xf numFmtId="180" fontId="37" fillId="5" borderId="11" xfId="1" applyNumberFormat="1" applyFont="1" applyFill="1" applyBorder="1" applyAlignment="1">
      <alignment horizontal="center" vertical="center" wrapText="1" shrinkToFit="1"/>
    </xf>
    <xf numFmtId="180" fontId="37" fillId="5" borderId="31" xfId="1" applyNumberFormat="1" applyFont="1" applyFill="1" applyBorder="1" applyAlignment="1">
      <alignment horizontal="center" vertical="center" wrapText="1" shrinkToFit="1"/>
    </xf>
    <xf numFmtId="0" fontId="37" fillId="5" borderId="11" xfId="1" applyFont="1" applyFill="1" applyBorder="1" applyAlignment="1">
      <alignment horizontal="center" vertical="center" shrinkToFit="1"/>
    </xf>
    <xf numFmtId="0" fontId="37" fillId="5" borderId="31" xfId="1" applyFont="1" applyFill="1" applyBorder="1" applyAlignment="1">
      <alignment horizontal="center" vertical="center" shrinkToFit="1"/>
    </xf>
    <xf numFmtId="181" fontId="37" fillId="5" borderId="11" xfId="1" applyNumberFormat="1" applyFont="1" applyFill="1" applyBorder="1" applyAlignment="1">
      <alignment horizontal="center" vertical="center" wrapText="1" shrinkToFit="1"/>
    </xf>
    <xf numFmtId="181" fontId="37" fillId="5" borderId="31" xfId="1" applyNumberFormat="1" applyFont="1" applyFill="1" applyBorder="1" applyAlignment="1">
      <alignment horizontal="center" vertical="center" wrapText="1" shrinkToFit="1"/>
    </xf>
    <xf numFmtId="0" fontId="37" fillId="5" borderId="11" xfId="1" applyFont="1" applyFill="1" applyBorder="1" applyAlignment="1">
      <alignment horizontal="center" vertical="center" wrapText="1" shrinkToFit="1"/>
    </xf>
    <xf numFmtId="49" fontId="37" fillId="5" borderId="11" xfId="1" applyNumberFormat="1" applyFont="1" applyFill="1" applyBorder="1" applyAlignment="1">
      <alignment horizontal="center" vertical="center" wrapText="1" shrinkToFit="1"/>
    </xf>
    <xf numFmtId="177" fontId="37" fillId="5" borderId="11" xfId="1" applyNumberFormat="1" applyFont="1" applyFill="1" applyBorder="1" applyAlignment="1">
      <alignment horizontal="center" vertical="center" wrapText="1" shrinkToFit="1"/>
    </xf>
    <xf numFmtId="178" fontId="37" fillId="5" borderId="32" xfId="1" applyNumberFormat="1" applyFont="1" applyFill="1" applyBorder="1" applyAlignment="1">
      <alignment horizontal="center" vertical="center" wrapText="1" shrinkToFit="1"/>
    </xf>
    <xf numFmtId="177" fontId="37" fillId="5" borderId="32" xfId="1" applyNumberFormat="1" applyFont="1" applyFill="1" applyBorder="1" applyAlignment="1">
      <alignment horizontal="center" vertical="center" wrapText="1" shrinkToFit="1"/>
    </xf>
    <xf numFmtId="178" fontId="37" fillId="5" borderId="11" xfId="1" applyNumberFormat="1" applyFont="1" applyFill="1" applyBorder="1" applyAlignment="1">
      <alignment horizontal="center" vertical="center" wrapText="1" shrinkToFit="1"/>
    </xf>
    <xf numFmtId="0" fontId="38" fillId="0" borderId="33" xfId="1" applyFont="1" applyBorder="1" applyAlignment="1">
      <alignment horizontal="left"/>
    </xf>
    <xf numFmtId="178" fontId="38" fillId="0" borderId="33" xfId="1" applyNumberFormat="1" applyFont="1" applyBorder="1" applyAlignment="1">
      <alignment horizontal="left"/>
    </xf>
    <xf numFmtId="0" fontId="38" fillId="0" borderId="33" xfId="1" applyFont="1" applyBorder="1" applyAlignment="1">
      <alignment horizontal="left" wrapText="1"/>
    </xf>
    <xf numFmtId="0" fontId="39" fillId="0" borderId="33" xfId="1" applyFont="1" applyBorder="1" applyAlignment="1">
      <alignment horizontal="left"/>
    </xf>
    <xf numFmtId="0" fontId="40" fillId="0" borderId="11" xfId="1" applyFont="1" applyBorder="1" applyAlignment="1">
      <alignment horizontal="center" vertical="center"/>
    </xf>
    <xf numFmtId="178" fontId="40" fillId="0" borderId="32" xfId="1" applyNumberFormat="1" applyFont="1" applyBorder="1" applyAlignment="1">
      <alignment horizontal="center" vertical="center"/>
    </xf>
    <xf numFmtId="0" fontId="40" fillId="0" borderId="32" xfId="1" applyFont="1" applyBorder="1" applyAlignment="1">
      <alignment horizontal="center" vertical="center"/>
    </xf>
    <xf numFmtId="178" fontId="40" fillId="0" borderId="32" xfId="1" applyNumberFormat="1" applyFont="1" applyBorder="1">
      <alignment vertical="center"/>
    </xf>
    <xf numFmtId="0" fontId="40" fillId="0" borderId="11" xfId="1" applyFont="1" applyBorder="1">
      <alignment vertical="center"/>
    </xf>
    <xf numFmtId="0" fontId="41" fillId="0" borderId="0" xfId="1" applyFont="1" applyAlignment="1">
      <alignment horizontal="center" vertical="center"/>
    </xf>
    <xf numFmtId="178" fontId="41" fillId="0" borderId="0" xfId="1" applyNumberFormat="1" applyFont="1" applyAlignment="1">
      <alignment horizontal="center" vertical="center"/>
    </xf>
    <xf numFmtId="178" fontId="41" fillId="0" borderId="0" xfId="1" applyNumberFormat="1" applyFont="1">
      <alignment vertical="center"/>
    </xf>
    <xf numFmtId="0" fontId="41" fillId="0" borderId="0" xfId="1" applyFont="1">
      <alignment vertical="center"/>
    </xf>
    <xf numFmtId="0" fontId="42" fillId="0" borderId="34" xfId="1" applyFont="1" applyBorder="1" applyAlignment="1">
      <alignment horizontal="left" wrapText="1"/>
    </xf>
    <xf numFmtId="0" fontId="42" fillId="0" borderId="35" xfId="1" applyFont="1" applyBorder="1" applyAlignment="1">
      <alignment horizontal="center" wrapText="1"/>
    </xf>
    <xf numFmtId="0" fontId="42" fillId="0" borderId="36" xfId="1" applyFont="1" applyBorder="1" applyAlignment="1">
      <alignment horizontal="center" wrapText="1"/>
    </xf>
    <xf numFmtId="178" fontId="41" fillId="0" borderId="0" xfId="1" applyNumberFormat="1" applyFont="1" applyAlignment="1">
      <alignment horizontal="left" vertical="center"/>
    </xf>
    <xf numFmtId="0" fontId="36" fillId="0" borderId="34" xfId="1" applyFont="1" applyBorder="1" applyAlignment="1">
      <alignment horizontal="left"/>
    </xf>
    <xf numFmtId="0" fontId="36" fillId="0" borderId="0" xfId="1" applyFont="1" applyAlignment="1">
      <alignment horizontal="left"/>
    </xf>
    <xf numFmtId="0" fontId="41" fillId="0" borderId="0" xfId="1" applyFont="1" applyAlignment="1">
      <alignment vertical="center" wrapText="1"/>
    </xf>
    <xf numFmtId="0" fontId="41" fillId="0" borderId="0" xfId="1" applyFont="1" applyAlignment="1">
      <alignment horizontal="center" vertical="center" wrapText="1"/>
    </xf>
    <xf numFmtId="0" fontId="41" fillId="0" borderId="0" xfId="1" applyFont="1" applyAlignment="1">
      <alignment horizontal="center" wrapText="1"/>
    </xf>
    <xf numFmtId="0" fontId="41" fillId="0" borderId="0" xfId="1" applyFont="1" applyAlignment="1">
      <alignment wrapText="1"/>
    </xf>
    <xf numFmtId="0" fontId="36" fillId="0" borderId="0" xfId="1" applyFont="1" applyAlignment="1">
      <alignment horizontal="left" wrapText="1"/>
    </xf>
    <xf numFmtId="0" fontId="36" fillId="0" borderId="0" xfId="1" applyFont="1" applyAlignment="1">
      <alignment horizontal="center" wrapText="1"/>
    </xf>
    <xf numFmtId="178" fontId="36" fillId="0" borderId="0" xfId="1" applyNumberFormat="1" applyFont="1" applyAlignment="1">
      <alignment horizontal="left" wrapText="1"/>
    </xf>
    <xf numFmtId="0" fontId="36" fillId="0" borderId="0" xfId="1" applyFont="1" applyAlignment="1">
      <alignment horizontal="left" wrapText="1"/>
    </xf>
    <xf numFmtId="0" fontId="41" fillId="0" borderId="0" xfId="1" applyFont="1" applyAlignment="1">
      <alignment horizontal="left" vertical="center"/>
    </xf>
    <xf numFmtId="0" fontId="36" fillId="0" borderId="0" xfId="1" applyFont="1" applyAlignment="1">
      <alignment horizontal="left" vertical="top" wrapText="1"/>
    </xf>
    <xf numFmtId="0" fontId="36" fillId="0" borderId="0" xfId="1" applyFont="1" applyAlignment="1">
      <alignment horizontal="center" vertical="top" wrapText="1"/>
    </xf>
    <xf numFmtId="178" fontId="36" fillId="0" borderId="0" xfId="1" applyNumberFormat="1" applyFont="1" applyAlignment="1">
      <alignment horizontal="center" vertical="top" wrapText="1"/>
    </xf>
    <xf numFmtId="178" fontId="36" fillId="0" borderId="0" xfId="1" applyNumberFormat="1" applyFont="1" applyAlignment="1">
      <alignment horizontal="center" wrapText="1"/>
    </xf>
    <xf numFmtId="0" fontId="43" fillId="0" borderId="34" xfId="1" applyFont="1" applyBorder="1" applyAlignment="1">
      <alignment horizontal="left" wrapText="1"/>
    </xf>
    <xf numFmtId="0" fontId="43" fillId="0" borderId="35" xfId="1" applyFont="1" applyBorder="1" applyAlignment="1">
      <alignment horizontal="center" wrapText="1"/>
    </xf>
    <xf numFmtId="0" fontId="43" fillId="0" borderId="36" xfId="1" applyFont="1" applyBorder="1" applyAlignment="1">
      <alignment horizontal="center" wrapText="1"/>
    </xf>
    <xf numFmtId="0" fontId="43" fillId="0" borderId="0" xfId="1" applyFont="1" applyAlignment="1">
      <alignment horizontal="center" wrapText="1"/>
    </xf>
    <xf numFmtId="0" fontId="43" fillId="0" borderId="0" xfId="1" applyFont="1" applyAlignment="1">
      <alignment horizontal="left" vertical="center" wrapText="1"/>
    </xf>
    <xf numFmtId="0" fontId="44" fillId="0" borderId="0" xfId="1" applyFont="1" applyAlignment="1">
      <alignment horizontal="center" vertical="center"/>
    </xf>
    <xf numFmtId="178" fontId="44" fillId="0" borderId="0" xfId="1" applyNumberFormat="1" applyFont="1" applyAlignment="1">
      <alignment horizontal="center" vertical="center"/>
    </xf>
    <xf numFmtId="178" fontId="43" fillId="0" borderId="0" xfId="1" applyNumberFormat="1" applyFont="1" applyAlignment="1">
      <alignment horizontal="center" wrapText="1"/>
    </xf>
    <xf numFmtId="0" fontId="36" fillId="0" borderId="34" xfId="1" applyFont="1" applyBorder="1" applyAlignment="1">
      <alignment horizontal="left" wrapText="1"/>
    </xf>
    <xf numFmtId="0" fontId="36" fillId="0" borderId="35" xfId="1" applyFont="1" applyBorder="1" applyAlignment="1">
      <alignment horizontal="center" wrapText="1"/>
    </xf>
    <xf numFmtId="0" fontId="36" fillId="0" borderId="36" xfId="1" applyFont="1" applyBorder="1" applyAlignment="1">
      <alignment horizontal="center" wrapText="1"/>
    </xf>
    <xf numFmtId="0" fontId="36" fillId="0" borderId="0" xfId="1" applyFont="1" applyAlignment="1">
      <alignment horizontal="center" wrapText="1"/>
    </xf>
    <xf numFmtId="0" fontId="45" fillId="0" borderId="0" xfId="1" applyFont="1" applyAlignment="1">
      <alignment horizontal="center" vertical="center"/>
    </xf>
    <xf numFmtId="178" fontId="45" fillId="0" borderId="0" xfId="1" applyNumberFormat="1" applyFont="1" applyAlignment="1">
      <alignment horizontal="center" vertical="center"/>
    </xf>
    <xf numFmtId="0" fontId="46" fillId="0" borderId="0" xfId="1" applyFont="1" applyAlignment="1">
      <alignment horizontal="left" vertical="center" wrapText="1"/>
    </xf>
    <xf numFmtId="0" fontId="46" fillId="0" borderId="0" xfId="1" applyFont="1" applyAlignment="1">
      <alignment horizontal="center" vertical="center" wrapText="1"/>
    </xf>
    <xf numFmtId="178" fontId="46" fillId="0" borderId="0" xfId="1" applyNumberFormat="1" applyFont="1" applyAlignment="1">
      <alignment horizontal="left" vertical="center" wrapText="1"/>
    </xf>
    <xf numFmtId="0" fontId="46" fillId="0" borderId="0" xfId="1" applyFont="1" applyAlignment="1">
      <alignment horizontal="left" vertical="center" wrapText="1"/>
    </xf>
  </cellXfs>
  <cellStyles count="3">
    <cellStyle name="常规" xfId="0" builtinId="0"/>
    <cellStyle name="常规 2" xfId="1" xr:uid="{C2F2A383-E98D-437E-8FE8-A1005ACE41B6}"/>
    <cellStyle name="常规 3" xfId="2" xr:uid="{4459166E-A61C-4C4F-83F6-6DD76A9A73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5023</xdr:colOff>
      <xdr:row>0</xdr:row>
      <xdr:rowOff>6139</xdr:rowOff>
    </xdr:from>
    <xdr:ext cx="1943100" cy="1447800"/>
    <xdr:pic>
      <xdr:nvPicPr>
        <xdr:cNvPr id="2" name="图片 1">
          <a:extLst>
            <a:ext uri="{FF2B5EF4-FFF2-40B4-BE49-F238E27FC236}">
              <a16:creationId xmlns:a16="http://schemas.microsoft.com/office/drawing/2014/main" id="{F8A76C42-98E9-4038-8D3E-228F2C16F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3" y="6139"/>
          <a:ext cx="1943100" cy="1447800"/>
        </a:xfrm>
        <a:prstGeom prst="rect">
          <a:avLst/>
        </a:prstGeom>
        <a:solidFill>
          <a:srgbClr val="FFFFFF"/>
        </a:solidFill>
      </xdr:spPr>
    </xdr:pic>
    <xdr:clientData/>
  </xdr:oneCellAnchor>
  <xdr:oneCellAnchor>
    <xdr:from>
      <xdr:col>5</xdr:col>
      <xdr:colOff>34379</xdr:colOff>
      <xdr:row>44</xdr:row>
      <xdr:rowOff>273807</xdr:rowOff>
    </xdr:from>
    <xdr:ext cx="1924050" cy="1704975"/>
    <xdr:pic>
      <xdr:nvPicPr>
        <xdr:cNvPr id="3" name="图片 2">
          <a:extLst>
            <a:ext uri="{FF2B5EF4-FFF2-40B4-BE49-F238E27FC236}">
              <a16:creationId xmlns:a16="http://schemas.microsoft.com/office/drawing/2014/main" id="{B117CA21-3D3D-4428-80A0-987B9235C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52379" y="13964407"/>
          <a:ext cx="1924050" cy="1704975"/>
        </a:xfrm>
        <a:prstGeom prst="rect">
          <a:avLst/>
        </a:prstGeom>
        <a:solidFill>
          <a:srgbClr val="FFFFFF"/>
        </a:solidFill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190453</xdr:colOff>
      <xdr:row>0</xdr:row>
      <xdr:rowOff>67866</xdr:rowOff>
    </xdr:from>
    <xdr:ext cx="2019300" cy="971550"/>
    <xdr:pic>
      <xdr:nvPicPr>
        <xdr:cNvPr id="2" name="图片 1">
          <a:extLst>
            <a:ext uri="{FF2B5EF4-FFF2-40B4-BE49-F238E27FC236}">
              <a16:creationId xmlns:a16="http://schemas.microsoft.com/office/drawing/2014/main" id="{3BC35401-46AC-4017-ABED-E586CDFB7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503" y="67866"/>
          <a:ext cx="2019300" cy="971550"/>
        </a:xfrm>
        <a:prstGeom prst="rect">
          <a:avLst/>
        </a:prstGeom>
        <a:solidFill>
          <a:srgbClr val="FFFFFF"/>
        </a:solidFill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775335</xdr:colOff>
      <xdr:row>0</xdr:row>
      <xdr:rowOff>24130</xdr:rowOff>
    </xdr:from>
    <xdr:to>
      <xdr:col>4</xdr:col>
      <xdr:colOff>929640</xdr:colOff>
      <xdr:row>0</xdr:row>
      <xdr:rowOff>1075055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506916-5590-4447-BFA2-B1851EDB9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4235" y="24130"/>
          <a:ext cx="1138555" cy="1050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68580</xdr:rowOff>
    </xdr:from>
    <xdr:to>
      <xdr:col>1</xdr:col>
      <xdr:colOff>883918</xdr:colOff>
      <xdr:row>1</xdr:row>
      <xdr:rowOff>304800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1C4F9869-CF34-446C-8BC2-CA58C8F5D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68580"/>
          <a:ext cx="1816098" cy="795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56482-1699-46C2-B7C0-3412484ADE7D}">
  <sheetPr>
    <pageSetUpPr fitToPage="1"/>
  </sheetPr>
  <dimension ref="A1:N53"/>
  <sheetViews>
    <sheetView showGridLines="0" tabSelected="1" topLeftCell="A4" zoomScale="80" zoomScaleNormal="80" workbookViewId="0">
      <selection activeCell="E19" sqref="E19"/>
    </sheetView>
  </sheetViews>
  <sheetFormatPr defaultColWidth="10.08203125" defaultRowHeight="24.75" customHeight="1"/>
  <cols>
    <col min="1" max="1" width="1.9140625" style="71" customWidth="1"/>
    <col min="2" max="2" width="5.58203125" style="71" customWidth="1"/>
    <col min="3" max="3" width="11.5" style="71" customWidth="1"/>
    <col min="4" max="4" width="16.6640625" style="71" customWidth="1"/>
    <col min="5" max="5" width="21" style="71" customWidth="1"/>
    <col min="6" max="6" width="20.1640625" style="71" customWidth="1"/>
    <col min="7" max="11" width="11.08203125" style="71" customWidth="1"/>
    <col min="12" max="12" width="11.08203125" style="86" customWidth="1"/>
    <col min="13" max="13" width="18.6640625" style="71" customWidth="1"/>
    <col min="14" max="16384" width="10.08203125" style="50"/>
  </cols>
  <sheetData>
    <row r="1" spans="1:14" ht="24.75" customHeight="1">
      <c r="A1" s="46"/>
      <c r="B1" s="46"/>
      <c r="C1" s="47"/>
      <c r="D1" s="47"/>
      <c r="E1" s="48" t="s">
        <v>78</v>
      </c>
      <c r="F1" s="48"/>
      <c r="G1" s="48"/>
      <c r="H1" s="48"/>
      <c r="I1" s="48"/>
      <c r="J1" s="48"/>
      <c r="K1" s="48"/>
      <c r="L1" s="48"/>
      <c r="M1" s="49"/>
    </row>
    <row r="2" spans="1:14" ht="24.75" customHeight="1">
      <c r="A2" s="51"/>
      <c r="B2" s="51"/>
      <c r="C2" s="47"/>
      <c r="D2" s="47"/>
      <c r="E2" s="48"/>
      <c r="F2" s="48"/>
      <c r="G2" s="48"/>
      <c r="H2" s="48"/>
      <c r="I2" s="48"/>
      <c r="J2" s="48"/>
      <c r="K2" s="48"/>
      <c r="L2" s="48"/>
      <c r="M2" s="49"/>
    </row>
    <row r="3" spans="1:14" ht="24.75" customHeight="1">
      <c r="A3" s="51"/>
      <c r="B3" s="51"/>
      <c r="C3" s="47"/>
      <c r="D3" s="47"/>
      <c r="E3" s="52" t="s">
        <v>79</v>
      </c>
      <c r="F3" s="52"/>
      <c r="G3" s="52"/>
      <c r="H3" s="52"/>
      <c r="I3" s="52"/>
      <c r="J3" s="52"/>
      <c r="K3" s="52"/>
      <c r="L3" s="52"/>
      <c r="M3" s="49"/>
    </row>
    <row r="4" spans="1:14" ht="24.75" customHeight="1">
      <c r="A4" s="46"/>
      <c r="B4" s="46"/>
      <c r="C4" s="47"/>
      <c r="D4" s="47"/>
      <c r="E4" s="52"/>
      <c r="F4" s="52"/>
      <c r="G4" s="52"/>
      <c r="H4" s="52"/>
      <c r="I4" s="52"/>
      <c r="J4" s="52"/>
      <c r="K4" s="52"/>
      <c r="L4" s="52"/>
      <c r="M4" s="49"/>
    </row>
    <row r="5" spans="1:14" ht="24.75" customHeight="1">
      <c r="A5" s="46"/>
      <c r="B5" s="46"/>
      <c r="C5" s="47"/>
      <c r="D5" s="47"/>
      <c r="E5" s="47"/>
      <c r="F5" s="49"/>
      <c r="G5" s="49"/>
      <c r="H5" s="49"/>
      <c r="I5" s="53"/>
      <c r="J5" s="53"/>
      <c r="K5" s="53"/>
      <c r="L5" s="53"/>
      <c r="M5" s="53"/>
    </row>
    <row r="6" spans="1:14" ht="24.75" customHeight="1">
      <c r="A6" s="54"/>
      <c r="B6" s="55" t="s">
        <v>2</v>
      </c>
      <c r="C6" s="55"/>
      <c r="D6" s="55" t="s">
        <v>80</v>
      </c>
      <c r="E6" s="55"/>
      <c r="F6" s="56"/>
      <c r="G6" s="56"/>
      <c r="H6" s="56"/>
      <c r="I6" s="56"/>
      <c r="J6" s="56"/>
      <c r="K6" s="56"/>
      <c r="L6" s="57"/>
      <c r="M6" s="56"/>
    </row>
    <row r="7" spans="1:14" ht="24.75" customHeight="1">
      <c r="A7" s="54"/>
      <c r="B7" s="55" t="s">
        <v>7</v>
      </c>
      <c r="C7" s="55"/>
      <c r="D7" s="55" t="s">
        <v>81</v>
      </c>
      <c r="E7" s="55"/>
      <c r="F7" s="56"/>
      <c r="G7" s="56"/>
      <c r="H7" s="56"/>
      <c r="I7" s="56"/>
      <c r="J7" s="56"/>
      <c r="K7" s="56"/>
      <c r="L7" s="57"/>
      <c r="M7" s="56"/>
    </row>
    <row r="8" spans="1:14" ht="24.75" customHeight="1">
      <c r="A8" s="58"/>
      <c r="B8" s="55" t="s">
        <v>10</v>
      </c>
      <c r="C8" s="55"/>
      <c r="D8" s="55" t="s">
        <v>81</v>
      </c>
      <c r="E8" s="55"/>
      <c r="F8" s="59"/>
      <c r="G8" s="59"/>
      <c r="H8" s="59"/>
      <c r="I8" s="59"/>
      <c r="J8" s="59"/>
      <c r="K8" s="59"/>
      <c r="L8" s="60"/>
      <c r="M8" s="59"/>
    </row>
    <row r="9" spans="1:14" s="61" customFormat="1" ht="24.75" customHeight="1">
      <c r="B9" s="55" t="s">
        <v>5</v>
      </c>
      <c r="C9" s="55"/>
      <c r="D9" s="62" t="s">
        <v>82</v>
      </c>
      <c r="E9" s="62"/>
      <c r="F9" s="63"/>
      <c r="G9" s="63"/>
      <c r="H9" s="63"/>
      <c r="I9" s="63"/>
      <c r="J9" s="63"/>
      <c r="K9" s="63"/>
      <c r="L9" s="64"/>
      <c r="M9" s="63"/>
    </row>
    <row r="10" spans="1:14" s="59" customFormat="1" ht="24.75" customHeight="1">
      <c r="B10" s="65" t="s">
        <v>12</v>
      </c>
      <c r="C10" s="65" t="s">
        <v>13</v>
      </c>
      <c r="D10" s="65" t="s">
        <v>15</v>
      </c>
      <c r="E10" s="65" t="s">
        <v>83</v>
      </c>
      <c r="F10" s="65" t="s">
        <v>84</v>
      </c>
      <c r="G10" s="65" t="s">
        <v>85</v>
      </c>
      <c r="H10" s="65" t="s">
        <v>86</v>
      </c>
      <c r="I10" s="65" t="s">
        <v>19</v>
      </c>
      <c r="J10" s="65" t="s">
        <v>20</v>
      </c>
      <c r="K10" s="65" t="s">
        <v>26</v>
      </c>
      <c r="L10" s="66" t="s">
        <v>24</v>
      </c>
      <c r="M10" s="65" t="s">
        <v>27</v>
      </c>
      <c r="N10" s="65" t="s">
        <v>28</v>
      </c>
    </row>
    <row r="11" spans="1:14" s="67" customFormat="1" ht="24.75" customHeight="1">
      <c r="B11" s="68">
        <v>1</v>
      </c>
      <c r="C11" s="68" t="s">
        <v>87</v>
      </c>
      <c r="D11" s="68" t="s">
        <v>88</v>
      </c>
      <c r="E11" s="68" t="s">
        <v>89</v>
      </c>
      <c r="F11" s="68" t="s">
        <v>90</v>
      </c>
      <c r="G11" s="68" t="s">
        <v>91</v>
      </c>
      <c r="H11" s="68" t="s">
        <v>92</v>
      </c>
      <c r="I11" s="68">
        <v>141</v>
      </c>
      <c r="J11" s="68">
        <v>1899</v>
      </c>
      <c r="K11" s="68" t="s">
        <v>93</v>
      </c>
      <c r="L11" s="69" t="s">
        <v>94</v>
      </c>
      <c r="M11" s="68">
        <v>6836.4</v>
      </c>
      <c r="N11" s="70"/>
    </row>
    <row r="12" spans="1:14" ht="24.75" customHeight="1">
      <c r="B12" s="68">
        <v>2</v>
      </c>
      <c r="C12" s="68" t="s">
        <v>87</v>
      </c>
      <c r="D12" s="68" t="s">
        <v>88</v>
      </c>
      <c r="E12" s="68" t="s">
        <v>89</v>
      </c>
      <c r="F12" s="68" t="s">
        <v>90</v>
      </c>
      <c r="G12" s="68" t="s">
        <v>91</v>
      </c>
      <c r="H12" s="68" t="s">
        <v>92</v>
      </c>
      <c r="I12" s="68">
        <v>141</v>
      </c>
      <c r="J12" s="68">
        <v>1899</v>
      </c>
      <c r="K12" s="68" t="s">
        <v>95</v>
      </c>
      <c r="L12" s="69" t="s">
        <v>96</v>
      </c>
      <c r="M12" s="68">
        <v>200</v>
      </c>
      <c r="N12" s="70"/>
    </row>
    <row r="13" spans="1:14" ht="24.75" customHeight="1">
      <c r="B13" s="68">
        <v>3</v>
      </c>
      <c r="C13" s="68" t="s">
        <v>87</v>
      </c>
      <c r="D13" s="68" t="s">
        <v>88</v>
      </c>
      <c r="E13" s="68" t="s">
        <v>89</v>
      </c>
      <c r="F13" s="68" t="s">
        <v>90</v>
      </c>
      <c r="G13" s="68" t="s">
        <v>91</v>
      </c>
      <c r="H13" s="68" t="s">
        <v>92</v>
      </c>
      <c r="I13" s="68">
        <v>141</v>
      </c>
      <c r="J13" s="68">
        <v>1899</v>
      </c>
      <c r="K13" s="68" t="s">
        <v>97</v>
      </c>
      <c r="L13" s="69" t="s">
        <v>98</v>
      </c>
      <c r="M13" s="68">
        <v>50</v>
      </c>
      <c r="N13" s="70"/>
    </row>
    <row r="14" spans="1:14" ht="24.75" customHeight="1">
      <c r="B14" s="68">
        <v>4</v>
      </c>
      <c r="C14" s="68" t="s">
        <v>99</v>
      </c>
      <c r="D14" s="68" t="s">
        <v>100</v>
      </c>
      <c r="E14" s="68" t="s">
        <v>101</v>
      </c>
      <c r="F14" s="68" t="s">
        <v>102</v>
      </c>
      <c r="G14" s="68" t="s">
        <v>103</v>
      </c>
      <c r="H14" s="68" t="s">
        <v>104</v>
      </c>
      <c r="I14" s="68">
        <v>12</v>
      </c>
      <c r="J14" s="68">
        <v>178</v>
      </c>
      <c r="K14" s="68" t="s">
        <v>105</v>
      </c>
      <c r="L14" s="69" t="s">
        <v>94</v>
      </c>
      <c r="M14" s="68">
        <v>1317.2</v>
      </c>
      <c r="N14" s="70"/>
    </row>
    <row r="15" spans="1:14" ht="24.75" customHeight="1">
      <c r="B15" s="68">
        <v>5</v>
      </c>
      <c r="C15" s="68" t="s">
        <v>99</v>
      </c>
      <c r="D15" s="68" t="s">
        <v>100</v>
      </c>
      <c r="E15" s="68" t="s">
        <v>101</v>
      </c>
      <c r="F15" s="68" t="s">
        <v>102</v>
      </c>
      <c r="G15" s="68" t="s">
        <v>103</v>
      </c>
      <c r="H15" s="68" t="s">
        <v>104</v>
      </c>
      <c r="I15" s="68">
        <v>12</v>
      </c>
      <c r="J15" s="68">
        <v>178</v>
      </c>
      <c r="K15" s="68" t="s">
        <v>106</v>
      </c>
      <c r="L15" s="69" t="s">
        <v>96</v>
      </c>
      <c r="M15" s="68">
        <v>250</v>
      </c>
      <c r="N15" s="70"/>
    </row>
    <row r="16" spans="1:14" ht="24.75" customHeight="1">
      <c r="B16" s="68">
        <v>6</v>
      </c>
      <c r="C16" s="68" t="s">
        <v>99</v>
      </c>
      <c r="D16" s="68" t="s">
        <v>107</v>
      </c>
      <c r="E16" s="68" t="s">
        <v>108</v>
      </c>
      <c r="F16" s="68" t="s">
        <v>90</v>
      </c>
      <c r="G16" s="68" t="s">
        <v>91</v>
      </c>
      <c r="H16" s="68" t="s">
        <v>92</v>
      </c>
      <c r="I16" s="68">
        <v>115</v>
      </c>
      <c r="J16" s="68">
        <v>1561</v>
      </c>
      <c r="K16" s="68" t="s">
        <v>109</v>
      </c>
      <c r="L16" s="69" t="s">
        <v>94</v>
      </c>
      <c r="M16" s="68">
        <v>6244</v>
      </c>
      <c r="N16" s="70"/>
    </row>
    <row r="17" spans="2:14" ht="24.75" customHeight="1">
      <c r="B17" s="68">
        <v>7</v>
      </c>
      <c r="C17" s="68" t="s">
        <v>99</v>
      </c>
      <c r="D17" s="68" t="s">
        <v>107</v>
      </c>
      <c r="E17" s="68" t="s">
        <v>108</v>
      </c>
      <c r="F17" s="68" t="s">
        <v>90</v>
      </c>
      <c r="G17" s="68" t="s">
        <v>91</v>
      </c>
      <c r="H17" s="68" t="s">
        <v>92</v>
      </c>
      <c r="I17" s="68">
        <v>115</v>
      </c>
      <c r="J17" s="68">
        <v>1561</v>
      </c>
      <c r="K17" s="68" t="s">
        <v>95</v>
      </c>
      <c r="L17" s="69" t="s">
        <v>96</v>
      </c>
      <c r="M17" s="68">
        <v>200</v>
      </c>
      <c r="N17" s="70"/>
    </row>
    <row r="18" spans="2:14" ht="24.75" customHeight="1">
      <c r="B18" s="68">
        <v>8</v>
      </c>
      <c r="C18" s="68" t="s">
        <v>99</v>
      </c>
      <c r="D18" s="68" t="s">
        <v>110</v>
      </c>
      <c r="E18" s="68" t="s">
        <v>111</v>
      </c>
      <c r="F18" s="68" t="s">
        <v>90</v>
      </c>
      <c r="G18" s="68" t="s">
        <v>91</v>
      </c>
      <c r="H18" s="68" t="s">
        <v>92</v>
      </c>
      <c r="I18" s="68">
        <v>17</v>
      </c>
      <c r="J18" s="68">
        <v>201</v>
      </c>
      <c r="K18" s="68" t="s">
        <v>112</v>
      </c>
      <c r="L18" s="69" t="s">
        <v>94</v>
      </c>
      <c r="M18" s="68">
        <v>964.8</v>
      </c>
      <c r="N18" s="70"/>
    </row>
    <row r="19" spans="2:14" ht="24.75" customHeight="1">
      <c r="B19" s="68">
        <v>9</v>
      </c>
      <c r="C19" s="68" t="s">
        <v>99</v>
      </c>
      <c r="D19" s="68" t="s">
        <v>113</v>
      </c>
      <c r="E19" s="68" t="s">
        <v>114</v>
      </c>
      <c r="F19" s="68" t="s">
        <v>115</v>
      </c>
      <c r="G19" s="68" t="s">
        <v>91</v>
      </c>
      <c r="H19" s="68" t="s">
        <v>92</v>
      </c>
      <c r="I19" s="68">
        <v>6</v>
      </c>
      <c r="J19" s="68">
        <v>75</v>
      </c>
      <c r="K19" s="68" t="s">
        <v>116</v>
      </c>
      <c r="L19" s="69" t="s">
        <v>94</v>
      </c>
      <c r="M19" s="68">
        <v>390</v>
      </c>
      <c r="N19" s="70"/>
    </row>
    <row r="20" spans="2:14" ht="24.75" customHeight="1">
      <c r="B20" s="68">
        <v>10</v>
      </c>
      <c r="C20" s="68" t="s">
        <v>99</v>
      </c>
      <c r="D20" s="68" t="s">
        <v>113</v>
      </c>
      <c r="E20" s="68" t="s">
        <v>114</v>
      </c>
      <c r="F20" s="68" t="s">
        <v>115</v>
      </c>
      <c r="G20" s="68" t="s">
        <v>91</v>
      </c>
      <c r="H20" s="68" t="s">
        <v>92</v>
      </c>
      <c r="I20" s="68">
        <v>6</v>
      </c>
      <c r="J20" s="68">
        <v>75</v>
      </c>
      <c r="K20" s="68" t="s">
        <v>95</v>
      </c>
      <c r="L20" s="69" t="s">
        <v>96</v>
      </c>
      <c r="M20" s="68">
        <v>200</v>
      </c>
      <c r="N20" s="70"/>
    </row>
    <row r="21" spans="2:14" ht="24.75" customHeight="1">
      <c r="B21" s="68">
        <v>11</v>
      </c>
      <c r="C21" s="68" t="s">
        <v>99</v>
      </c>
      <c r="D21" s="68" t="s">
        <v>117</v>
      </c>
      <c r="E21" s="68" t="s">
        <v>118</v>
      </c>
      <c r="F21" s="68" t="s">
        <v>90</v>
      </c>
      <c r="G21" s="68" t="s">
        <v>91</v>
      </c>
      <c r="H21" s="68" t="s">
        <v>38</v>
      </c>
      <c r="I21" s="68">
        <v>32</v>
      </c>
      <c r="J21" s="68">
        <v>468</v>
      </c>
      <c r="K21" s="68" t="s">
        <v>112</v>
      </c>
      <c r="L21" s="69" t="s">
        <v>94</v>
      </c>
      <c r="M21" s="68">
        <v>2246.4</v>
      </c>
      <c r="N21" s="70"/>
    </row>
    <row r="22" spans="2:14" ht="24.75" customHeight="1">
      <c r="B22" s="68">
        <v>12</v>
      </c>
      <c r="C22" s="68" t="s">
        <v>119</v>
      </c>
      <c r="D22" s="68" t="s">
        <v>120</v>
      </c>
      <c r="E22" s="68" t="s">
        <v>121</v>
      </c>
      <c r="F22" s="68" t="s">
        <v>90</v>
      </c>
      <c r="G22" s="68" t="s">
        <v>91</v>
      </c>
      <c r="H22" s="68" t="s">
        <v>92</v>
      </c>
      <c r="I22" s="68">
        <v>32</v>
      </c>
      <c r="J22" s="68">
        <v>557</v>
      </c>
      <c r="K22" s="68" t="s">
        <v>112</v>
      </c>
      <c r="L22" s="69" t="s">
        <v>94</v>
      </c>
      <c r="M22" s="68">
        <v>2673.6</v>
      </c>
      <c r="N22" s="70"/>
    </row>
    <row r="23" spans="2:14" ht="24.75" customHeight="1">
      <c r="B23" s="68">
        <v>13</v>
      </c>
      <c r="C23" s="68" t="s">
        <v>119</v>
      </c>
      <c r="D23" s="68" t="s">
        <v>120</v>
      </c>
      <c r="E23" s="68" t="s">
        <v>121</v>
      </c>
      <c r="F23" s="68" t="s">
        <v>90</v>
      </c>
      <c r="G23" s="68" t="s">
        <v>91</v>
      </c>
      <c r="H23" s="68" t="s">
        <v>92</v>
      </c>
      <c r="I23" s="68">
        <v>32</v>
      </c>
      <c r="J23" s="68">
        <v>557</v>
      </c>
      <c r="K23" s="68" t="s">
        <v>95</v>
      </c>
      <c r="L23" s="69" t="s">
        <v>96</v>
      </c>
      <c r="M23" s="68">
        <v>200</v>
      </c>
      <c r="N23" s="70"/>
    </row>
    <row r="24" spans="2:14" ht="24.75" customHeight="1">
      <c r="B24" s="68">
        <v>14</v>
      </c>
      <c r="C24" s="68" t="s">
        <v>119</v>
      </c>
      <c r="D24" s="68" t="s">
        <v>122</v>
      </c>
      <c r="E24" s="68" t="s">
        <v>123</v>
      </c>
      <c r="F24" s="68" t="s">
        <v>124</v>
      </c>
      <c r="G24" s="68" t="s">
        <v>125</v>
      </c>
      <c r="H24" s="68" t="s">
        <v>126</v>
      </c>
      <c r="I24" s="68">
        <v>32</v>
      </c>
      <c r="J24" s="68">
        <v>440</v>
      </c>
      <c r="K24" s="68" t="s">
        <v>127</v>
      </c>
      <c r="L24" s="69" t="s">
        <v>94</v>
      </c>
      <c r="M24" s="68">
        <v>2376</v>
      </c>
      <c r="N24" s="70"/>
    </row>
    <row r="25" spans="2:14" ht="24.75" customHeight="1">
      <c r="B25" s="68">
        <v>15</v>
      </c>
      <c r="C25" s="68" t="s">
        <v>119</v>
      </c>
      <c r="D25" s="68" t="s">
        <v>122</v>
      </c>
      <c r="E25" s="68" t="s">
        <v>123</v>
      </c>
      <c r="F25" s="68" t="s">
        <v>124</v>
      </c>
      <c r="G25" s="68" t="s">
        <v>125</v>
      </c>
      <c r="H25" s="68" t="s">
        <v>126</v>
      </c>
      <c r="I25" s="68">
        <v>32</v>
      </c>
      <c r="J25" s="68">
        <v>440</v>
      </c>
      <c r="K25" s="68" t="s">
        <v>106</v>
      </c>
      <c r="L25" s="69" t="s">
        <v>96</v>
      </c>
      <c r="M25" s="68">
        <v>250</v>
      </c>
      <c r="N25" s="70"/>
    </row>
    <row r="26" spans="2:14" ht="24.75" customHeight="1">
      <c r="B26" s="68">
        <v>16</v>
      </c>
      <c r="C26" s="68" t="s">
        <v>119</v>
      </c>
      <c r="D26" s="68" t="s">
        <v>128</v>
      </c>
      <c r="E26" s="68" t="s">
        <v>129</v>
      </c>
      <c r="F26" s="68" t="s">
        <v>124</v>
      </c>
      <c r="G26" s="68" t="s">
        <v>125</v>
      </c>
      <c r="H26" s="68" t="s">
        <v>126</v>
      </c>
      <c r="I26" s="68">
        <v>7</v>
      </c>
      <c r="J26" s="68">
        <v>101</v>
      </c>
      <c r="K26" s="68" t="s">
        <v>127</v>
      </c>
      <c r="L26" s="69" t="s">
        <v>94</v>
      </c>
      <c r="M26" s="68">
        <v>545.4</v>
      </c>
      <c r="N26" s="70"/>
    </row>
    <row r="27" spans="2:14" ht="24.75" customHeight="1">
      <c r="B27" s="68">
        <v>17</v>
      </c>
      <c r="C27" s="68" t="s">
        <v>130</v>
      </c>
      <c r="D27" s="68" t="s">
        <v>131</v>
      </c>
      <c r="E27" s="68" t="s">
        <v>132</v>
      </c>
      <c r="F27" s="68" t="s">
        <v>90</v>
      </c>
      <c r="G27" s="68" t="s">
        <v>91</v>
      </c>
      <c r="H27" s="68" t="s">
        <v>92</v>
      </c>
      <c r="I27" s="68">
        <v>101</v>
      </c>
      <c r="J27" s="68">
        <v>1713</v>
      </c>
      <c r="K27" s="68" t="s">
        <v>133</v>
      </c>
      <c r="L27" s="69" t="s">
        <v>94</v>
      </c>
      <c r="M27" s="68">
        <v>7194.6</v>
      </c>
      <c r="N27" s="70"/>
    </row>
    <row r="28" spans="2:14" ht="24.75" customHeight="1">
      <c r="B28" s="68">
        <v>18</v>
      </c>
      <c r="C28" s="68" t="s">
        <v>130</v>
      </c>
      <c r="D28" s="68" t="s">
        <v>131</v>
      </c>
      <c r="E28" s="68" t="s">
        <v>132</v>
      </c>
      <c r="F28" s="68" t="s">
        <v>90</v>
      </c>
      <c r="G28" s="68" t="s">
        <v>91</v>
      </c>
      <c r="H28" s="68" t="s">
        <v>92</v>
      </c>
      <c r="I28" s="68">
        <v>101</v>
      </c>
      <c r="J28" s="68">
        <v>1713</v>
      </c>
      <c r="K28" s="68" t="s">
        <v>95</v>
      </c>
      <c r="L28" s="69" t="s">
        <v>96</v>
      </c>
      <c r="M28" s="68">
        <v>200</v>
      </c>
      <c r="N28" s="70"/>
    </row>
    <row r="29" spans="2:14" ht="24.75" customHeight="1">
      <c r="B29" s="68">
        <v>19</v>
      </c>
      <c r="C29" s="68" t="s">
        <v>134</v>
      </c>
      <c r="D29" s="68" t="s">
        <v>135</v>
      </c>
      <c r="E29" s="68" t="s">
        <v>136</v>
      </c>
      <c r="F29" s="68" t="s">
        <v>102</v>
      </c>
      <c r="G29" s="68" t="s">
        <v>103</v>
      </c>
      <c r="H29" s="68" t="s">
        <v>104</v>
      </c>
      <c r="I29" s="68">
        <v>16</v>
      </c>
      <c r="J29" s="68">
        <v>231</v>
      </c>
      <c r="K29" s="68" t="s">
        <v>137</v>
      </c>
      <c r="L29" s="69" t="s">
        <v>94</v>
      </c>
      <c r="M29" s="68">
        <v>1663.2</v>
      </c>
      <c r="N29" s="70"/>
    </row>
    <row r="30" spans="2:14" ht="24.75" customHeight="1">
      <c r="B30" s="68">
        <v>20</v>
      </c>
      <c r="C30" s="68" t="s">
        <v>134</v>
      </c>
      <c r="D30" s="68" t="s">
        <v>135</v>
      </c>
      <c r="E30" s="68" t="s">
        <v>136</v>
      </c>
      <c r="F30" s="68" t="s">
        <v>102</v>
      </c>
      <c r="G30" s="68" t="s">
        <v>103</v>
      </c>
      <c r="H30" s="68" t="s">
        <v>104</v>
      </c>
      <c r="I30" s="68">
        <v>16</v>
      </c>
      <c r="J30" s="68">
        <v>231</v>
      </c>
      <c r="K30" s="68" t="s">
        <v>106</v>
      </c>
      <c r="L30" s="69" t="s">
        <v>96</v>
      </c>
      <c r="M30" s="68">
        <v>250</v>
      </c>
      <c r="N30" s="70"/>
    </row>
    <row r="31" spans="2:14" ht="24.75" customHeight="1">
      <c r="B31" s="68">
        <v>21</v>
      </c>
      <c r="C31" s="68" t="s">
        <v>138</v>
      </c>
      <c r="D31" s="68" t="s">
        <v>139</v>
      </c>
      <c r="E31" s="68" t="s">
        <v>140</v>
      </c>
      <c r="F31" s="68" t="s">
        <v>90</v>
      </c>
      <c r="G31" s="68" t="s">
        <v>91</v>
      </c>
      <c r="H31" s="68" t="s">
        <v>141</v>
      </c>
      <c r="I31" s="68">
        <v>124</v>
      </c>
      <c r="J31" s="68">
        <v>2096</v>
      </c>
      <c r="K31" s="68" t="s">
        <v>133</v>
      </c>
      <c r="L31" s="69" t="s">
        <v>94</v>
      </c>
      <c r="M31" s="68">
        <v>8803.2000000000007</v>
      </c>
      <c r="N31" s="70"/>
    </row>
    <row r="32" spans="2:14" ht="24.75" customHeight="1">
      <c r="B32" s="68">
        <v>22</v>
      </c>
      <c r="C32" s="68" t="s">
        <v>138</v>
      </c>
      <c r="D32" s="68" t="s">
        <v>139</v>
      </c>
      <c r="E32" s="68" t="s">
        <v>140</v>
      </c>
      <c r="F32" s="68" t="s">
        <v>90</v>
      </c>
      <c r="G32" s="68" t="s">
        <v>91</v>
      </c>
      <c r="H32" s="68" t="s">
        <v>141</v>
      </c>
      <c r="I32" s="68">
        <v>124</v>
      </c>
      <c r="J32" s="68">
        <v>2096</v>
      </c>
      <c r="K32" s="68" t="s">
        <v>95</v>
      </c>
      <c r="L32" s="69" t="s">
        <v>96</v>
      </c>
      <c r="M32" s="68">
        <v>200</v>
      </c>
      <c r="N32" s="70"/>
    </row>
    <row r="33" spans="2:14" ht="24.75" customHeight="1">
      <c r="B33" s="68">
        <v>23</v>
      </c>
      <c r="C33" s="68" t="s">
        <v>142</v>
      </c>
      <c r="D33" s="68" t="s">
        <v>143</v>
      </c>
      <c r="E33" s="68" t="s">
        <v>144</v>
      </c>
      <c r="F33" s="68" t="s">
        <v>90</v>
      </c>
      <c r="G33" s="68" t="s">
        <v>91</v>
      </c>
      <c r="H33" s="68" t="s">
        <v>141</v>
      </c>
      <c r="I33" s="68">
        <v>19</v>
      </c>
      <c r="J33" s="68">
        <v>322</v>
      </c>
      <c r="K33" s="68" t="s">
        <v>133</v>
      </c>
      <c r="L33" s="69" t="s">
        <v>94</v>
      </c>
      <c r="M33" s="68">
        <v>1352.4</v>
      </c>
      <c r="N33" s="70"/>
    </row>
    <row r="34" spans="2:14" ht="24.75" customHeight="1">
      <c r="B34" s="68">
        <v>24</v>
      </c>
      <c r="C34" s="68" t="s">
        <v>142</v>
      </c>
      <c r="D34" s="68" t="s">
        <v>145</v>
      </c>
      <c r="E34" s="68" t="s">
        <v>146</v>
      </c>
      <c r="F34" s="68" t="s">
        <v>90</v>
      </c>
      <c r="G34" s="68" t="s">
        <v>91</v>
      </c>
      <c r="H34" s="68" t="s">
        <v>147</v>
      </c>
      <c r="I34" s="68">
        <v>21</v>
      </c>
      <c r="J34" s="68">
        <v>262</v>
      </c>
      <c r="K34" s="68" t="s">
        <v>148</v>
      </c>
      <c r="L34" s="69" t="s">
        <v>94</v>
      </c>
      <c r="M34" s="68">
        <v>1152.8</v>
      </c>
      <c r="N34" s="70"/>
    </row>
    <row r="35" spans="2:14" ht="24.75" customHeight="1">
      <c r="B35" s="68">
        <v>25</v>
      </c>
      <c r="C35" s="68" t="s">
        <v>142</v>
      </c>
      <c r="D35" s="68" t="s">
        <v>149</v>
      </c>
      <c r="E35" s="68" t="s">
        <v>150</v>
      </c>
      <c r="F35" s="68" t="s">
        <v>90</v>
      </c>
      <c r="G35" s="68" t="s">
        <v>91</v>
      </c>
      <c r="H35" s="68" t="s">
        <v>141</v>
      </c>
      <c r="I35" s="68">
        <v>10</v>
      </c>
      <c r="J35" s="68">
        <v>157</v>
      </c>
      <c r="K35" s="68" t="s">
        <v>133</v>
      </c>
      <c r="L35" s="69" t="s">
        <v>94</v>
      </c>
      <c r="M35" s="68">
        <v>659.4</v>
      </c>
      <c r="N35" s="70"/>
    </row>
    <row r="36" spans="2:14" ht="24.75" customHeight="1">
      <c r="B36" s="68">
        <v>26</v>
      </c>
      <c r="C36" s="68" t="s">
        <v>142</v>
      </c>
      <c r="D36" s="68" t="s">
        <v>149</v>
      </c>
      <c r="E36" s="68" t="s">
        <v>150</v>
      </c>
      <c r="F36" s="68" t="s">
        <v>90</v>
      </c>
      <c r="G36" s="68" t="s">
        <v>91</v>
      </c>
      <c r="H36" s="68" t="s">
        <v>141</v>
      </c>
      <c r="I36" s="68">
        <v>10</v>
      </c>
      <c r="J36" s="68">
        <v>157</v>
      </c>
      <c r="K36" s="68" t="s">
        <v>95</v>
      </c>
      <c r="L36" s="69" t="s">
        <v>96</v>
      </c>
      <c r="M36" s="68">
        <v>200</v>
      </c>
      <c r="N36" s="70"/>
    </row>
    <row r="37" spans="2:14" ht="24.75" customHeight="1">
      <c r="B37" s="68">
        <v>27</v>
      </c>
      <c r="C37" s="68" t="s">
        <v>142</v>
      </c>
      <c r="D37" s="68" t="s">
        <v>151</v>
      </c>
      <c r="E37" s="68" t="s">
        <v>152</v>
      </c>
      <c r="F37" s="68" t="s">
        <v>90</v>
      </c>
      <c r="G37" s="68" t="s">
        <v>91</v>
      </c>
      <c r="H37" s="68" t="s">
        <v>38</v>
      </c>
      <c r="I37" s="68">
        <v>46</v>
      </c>
      <c r="J37" s="68">
        <v>681</v>
      </c>
      <c r="K37" s="68" t="s">
        <v>153</v>
      </c>
      <c r="L37" s="69" t="s">
        <v>94</v>
      </c>
      <c r="M37" s="68">
        <v>3336.9</v>
      </c>
      <c r="N37" s="70"/>
    </row>
    <row r="38" spans="2:14" ht="24.75" customHeight="1">
      <c r="B38" s="68">
        <v>28</v>
      </c>
      <c r="C38" s="68" t="s">
        <v>142</v>
      </c>
      <c r="D38" s="68" t="s">
        <v>151</v>
      </c>
      <c r="E38" s="68" t="s">
        <v>152</v>
      </c>
      <c r="F38" s="68" t="s">
        <v>90</v>
      </c>
      <c r="G38" s="68" t="s">
        <v>91</v>
      </c>
      <c r="H38" s="68" t="s">
        <v>38</v>
      </c>
      <c r="I38" s="68">
        <v>46</v>
      </c>
      <c r="J38" s="68">
        <v>681</v>
      </c>
      <c r="K38" s="68" t="s">
        <v>95</v>
      </c>
      <c r="L38" s="69" t="s">
        <v>96</v>
      </c>
      <c r="M38" s="68">
        <v>200</v>
      </c>
      <c r="N38" s="70"/>
    </row>
    <row r="39" spans="2:14" ht="24.75" customHeight="1">
      <c r="B39" s="68">
        <v>29</v>
      </c>
      <c r="C39" s="68" t="s">
        <v>142</v>
      </c>
      <c r="D39" s="68" t="s">
        <v>154</v>
      </c>
      <c r="E39" s="68" t="s">
        <v>155</v>
      </c>
      <c r="F39" s="68" t="s">
        <v>124</v>
      </c>
      <c r="G39" s="68" t="s">
        <v>125</v>
      </c>
      <c r="H39" s="68" t="s">
        <v>156</v>
      </c>
      <c r="I39" s="68">
        <v>7</v>
      </c>
      <c r="J39" s="68">
        <v>88</v>
      </c>
      <c r="K39" s="68" t="s">
        <v>157</v>
      </c>
      <c r="L39" s="69" t="s">
        <v>94</v>
      </c>
      <c r="M39" s="68">
        <v>528</v>
      </c>
      <c r="N39" s="70"/>
    </row>
    <row r="40" spans="2:14" ht="24.75" customHeight="1">
      <c r="B40" s="68">
        <v>30</v>
      </c>
      <c r="C40" s="68" t="s">
        <v>142</v>
      </c>
      <c r="D40" s="68" t="s">
        <v>154</v>
      </c>
      <c r="E40" s="68" t="s">
        <v>155</v>
      </c>
      <c r="F40" s="68" t="s">
        <v>124</v>
      </c>
      <c r="G40" s="68" t="s">
        <v>125</v>
      </c>
      <c r="H40" s="68" t="s">
        <v>156</v>
      </c>
      <c r="I40" s="68">
        <v>7</v>
      </c>
      <c r="J40" s="68">
        <v>88</v>
      </c>
      <c r="K40" s="68" t="s">
        <v>106</v>
      </c>
      <c r="L40" s="69" t="s">
        <v>96</v>
      </c>
      <c r="M40" s="68">
        <v>250</v>
      </c>
      <c r="N40" s="70"/>
    </row>
    <row r="41" spans="2:14" ht="24.75" customHeight="1"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9" t="s">
        <v>158</v>
      </c>
      <c r="M41" s="68" t="s">
        <v>159</v>
      </c>
      <c r="N41" s="70"/>
    </row>
    <row r="42" spans="2:14" s="67" customFormat="1" ht="24.75" customHeight="1">
      <c r="B42" s="70"/>
      <c r="C42" s="70"/>
      <c r="D42" s="68"/>
      <c r="E42" s="68"/>
      <c r="F42" s="68"/>
      <c r="G42" s="68"/>
      <c r="H42" s="68"/>
      <c r="I42" s="68"/>
      <c r="J42" s="68"/>
      <c r="K42" s="70"/>
      <c r="L42" s="72"/>
      <c r="M42" s="70"/>
      <c r="N42" s="70"/>
    </row>
    <row r="43" spans="2:14" s="67" customFormat="1" ht="24.75" customHeight="1">
      <c r="B43" s="70"/>
      <c r="C43" s="68"/>
      <c r="D43" s="70"/>
      <c r="E43" s="70"/>
      <c r="F43" s="70"/>
      <c r="G43" s="70"/>
      <c r="H43" s="70"/>
      <c r="I43" s="70"/>
      <c r="J43" s="70"/>
      <c r="K43" s="70"/>
      <c r="L43" s="72"/>
      <c r="M43" s="70"/>
      <c r="N43" s="70"/>
    </row>
    <row r="44" spans="2:14" s="74" customFormat="1" ht="24.75" customHeight="1"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</row>
    <row r="45" spans="2:14" s="74" customFormat="1" ht="24.75" customHeight="1"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</row>
    <row r="46" spans="2:14" s="74" customFormat="1" ht="24.75" customHeight="1">
      <c r="B46" s="75" t="s">
        <v>160</v>
      </c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</row>
    <row r="47" spans="2:14" ht="24.75" customHeight="1">
      <c r="B47" s="76" t="s">
        <v>161</v>
      </c>
      <c r="C47" s="76"/>
      <c r="D47" s="76"/>
      <c r="E47" s="76"/>
      <c r="F47" s="77"/>
      <c r="G47" s="77"/>
      <c r="H47" s="77"/>
      <c r="I47" s="77"/>
      <c r="J47" s="77"/>
      <c r="K47" s="78"/>
      <c r="L47" s="79"/>
      <c r="M47" s="77"/>
    </row>
    <row r="48" spans="2:14" ht="24.75" customHeight="1">
      <c r="B48" s="80" t="s">
        <v>162</v>
      </c>
      <c r="C48" s="81"/>
      <c r="D48" s="81"/>
      <c r="E48" s="82"/>
      <c r="F48" s="77"/>
      <c r="G48" s="77"/>
      <c r="H48" s="77"/>
      <c r="I48" s="77"/>
      <c r="J48" s="77"/>
      <c r="K48" s="77"/>
      <c r="L48" s="79"/>
      <c r="M48" s="77"/>
    </row>
    <row r="49" spans="2:13" ht="24.75" customHeight="1">
      <c r="B49" s="80" t="s">
        <v>163</v>
      </c>
      <c r="C49" s="81"/>
      <c r="D49" s="81"/>
      <c r="E49" s="82"/>
      <c r="F49" s="77"/>
      <c r="G49" s="77"/>
      <c r="H49" s="77"/>
      <c r="I49" s="77"/>
      <c r="J49" s="77"/>
      <c r="K49" s="77"/>
      <c r="L49" s="79"/>
      <c r="M49" s="77"/>
    </row>
    <row r="50" spans="2:13" ht="24.75" customHeight="1"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9"/>
      <c r="M50" s="77"/>
    </row>
    <row r="51" spans="2:13" ht="24.75" customHeight="1">
      <c r="B51" s="83" t="s">
        <v>164</v>
      </c>
      <c r="C51" s="83"/>
      <c r="D51" s="83"/>
      <c r="E51" s="83"/>
      <c r="F51" s="83"/>
      <c r="G51" s="83"/>
      <c r="H51" s="83"/>
      <c r="I51" s="83"/>
      <c r="J51" s="84"/>
      <c r="K51" s="84"/>
      <c r="L51" s="85"/>
      <c r="M51" s="84"/>
    </row>
    <row r="52" spans="2:13" ht="24.75" customHeight="1">
      <c r="B52" s="83"/>
      <c r="C52" s="83"/>
      <c r="D52" s="83"/>
      <c r="E52" s="83"/>
      <c r="F52" s="83"/>
      <c r="G52" s="83"/>
      <c r="H52" s="83"/>
      <c r="I52" s="83"/>
      <c r="J52" s="84"/>
      <c r="K52" s="84"/>
      <c r="L52" s="85"/>
      <c r="M52" s="84"/>
    </row>
    <row r="53" spans="2:13" ht="24.75" customHeight="1">
      <c r="B53" s="83"/>
      <c r="C53" s="83"/>
      <c r="D53" s="83"/>
      <c r="E53" s="83"/>
      <c r="F53" s="83"/>
      <c r="G53" s="83"/>
      <c r="H53" s="83"/>
      <c r="I53" s="83"/>
    </row>
  </sheetData>
  <mergeCells count="21">
    <mergeCell ref="B48:E48"/>
    <mergeCell ref="B49:E49"/>
    <mergeCell ref="B51:I53"/>
    <mergeCell ref="B9:C9"/>
    <mergeCell ref="D9:E9"/>
    <mergeCell ref="B44:M44"/>
    <mergeCell ref="B45:M45"/>
    <mergeCell ref="B46:M46"/>
    <mergeCell ref="B47:E47"/>
    <mergeCell ref="B6:C6"/>
    <mergeCell ref="D6:E6"/>
    <mergeCell ref="B7:C7"/>
    <mergeCell ref="D7:E7"/>
    <mergeCell ref="B8:C8"/>
    <mergeCell ref="D8:E8"/>
    <mergeCell ref="A1:B1"/>
    <mergeCell ref="E1:L2"/>
    <mergeCell ref="E3:L4"/>
    <mergeCell ref="A4:B4"/>
    <mergeCell ref="A5:B5"/>
    <mergeCell ref="I5:M5"/>
  </mergeCells>
  <phoneticPr fontId="3" type="noConversion"/>
  <pageMargins left="0.75" right="0.75" top="1" bottom="1" header="0.3" footer="0.3"/>
  <pageSetup paperSize="9" scale="4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560E-13E7-4532-A76B-C389F6632820}">
  <sheetPr>
    <pageSetUpPr fitToPage="1"/>
  </sheetPr>
  <dimension ref="A1:P49"/>
  <sheetViews>
    <sheetView showGridLines="0" topLeftCell="A20" workbookViewId="0">
      <selection activeCell="F34" sqref="F34"/>
    </sheetView>
  </sheetViews>
  <sheetFormatPr defaultColWidth="8.25" defaultRowHeight="24.75" customHeight="1"/>
  <cols>
    <col min="1" max="1" width="1.9140625" style="71" customWidth="1"/>
    <col min="2" max="2" width="5.58203125" style="71" customWidth="1"/>
    <col min="3" max="3" width="11.4140625" style="71" customWidth="1"/>
    <col min="4" max="4" width="15.08203125" style="71" customWidth="1"/>
    <col min="5" max="5" width="18.6640625" style="71" customWidth="1"/>
    <col min="6" max="6" width="20.1640625" style="71" customWidth="1"/>
    <col min="7" max="12" width="11.08203125" style="71" customWidth="1"/>
    <col min="13" max="13" width="11.08203125" style="86" customWidth="1"/>
    <col min="14" max="14" width="18.6640625" style="71" customWidth="1"/>
    <col min="15" max="15" width="13.4140625" style="50" customWidth="1"/>
    <col min="16" max="16" width="12.58203125" style="50" customWidth="1"/>
    <col min="17" max="16384" width="8.25" style="50"/>
  </cols>
  <sheetData>
    <row r="1" spans="1:16" s="87" customFormat="1" ht="42.75" customHeight="1">
      <c r="B1" s="88" t="s">
        <v>165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2" spans="1:16" s="87" customFormat="1" ht="42.75" customHeight="1">
      <c r="B2" s="89"/>
      <c r="C2" s="90" t="s">
        <v>166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1:16" s="87" customFormat="1" ht="15.75" customHeight="1">
      <c r="B3" s="91" t="s">
        <v>167</v>
      </c>
      <c r="C3" s="92"/>
      <c r="D3" s="92"/>
      <c r="E3" s="92"/>
      <c r="F3" s="92"/>
      <c r="G3" s="92"/>
      <c r="H3" s="92"/>
      <c r="I3" s="92"/>
      <c r="J3" s="93"/>
      <c r="K3" s="93"/>
      <c r="L3" s="93"/>
    </row>
    <row r="4" spans="1:16" s="87" customFormat="1" ht="31.5" customHeight="1">
      <c r="B4" s="94" t="s">
        <v>1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</row>
    <row r="5" spans="1:16" s="71" customFormat="1" ht="24.75" customHeight="1">
      <c r="A5" s="54"/>
      <c r="B5" s="55" t="s">
        <v>7</v>
      </c>
      <c r="C5" s="55"/>
      <c r="D5" s="55" t="s">
        <v>168</v>
      </c>
      <c r="E5" s="55"/>
      <c r="F5" s="56"/>
      <c r="G5" s="56"/>
      <c r="H5" s="56"/>
      <c r="I5" s="56"/>
      <c r="J5" s="56"/>
      <c r="K5" s="56"/>
      <c r="L5" s="56"/>
      <c r="M5" s="56"/>
      <c r="N5" s="57"/>
      <c r="O5" s="56"/>
      <c r="P5" s="95"/>
    </row>
    <row r="6" spans="1:16" s="61" customFormat="1" ht="24.75" customHeight="1">
      <c r="B6" s="55" t="s">
        <v>5</v>
      </c>
      <c r="C6" s="55"/>
      <c r="D6" s="62" t="s">
        <v>169</v>
      </c>
      <c r="E6" s="62"/>
      <c r="F6" s="63"/>
      <c r="G6" s="63"/>
      <c r="H6" s="63"/>
      <c r="I6" s="63"/>
      <c r="J6" s="63"/>
      <c r="K6" s="63"/>
      <c r="L6" s="63"/>
      <c r="M6" s="63"/>
      <c r="N6" s="64"/>
      <c r="O6" s="63"/>
      <c r="P6" s="96"/>
    </row>
    <row r="7" spans="1:16" s="59" customFormat="1" ht="24.75" customHeight="1">
      <c r="B7" s="65" t="s">
        <v>12</v>
      </c>
      <c r="C7" s="65" t="s">
        <v>13</v>
      </c>
      <c r="D7" s="65" t="s">
        <v>15</v>
      </c>
      <c r="E7" s="65" t="s">
        <v>170</v>
      </c>
      <c r="F7" s="65" t="s">
        <v>16</v>
      </c>
      <c r="G7" s="65" t="s">
        <v>23</v>
      </c>
      <c r="H7" s="65" t="s">
        <v>17</v>
      </c>
      <c r="I7" s="65" t="s">
        <v>18</v>
      </c>
      <c r="J7" s="65" t="s">
        <v>171</v>
      </c>
      <c r="K7" s="65" t="s">
        <v>85</v>
      </c>
      <c r="L7" s="65" t="s">
        <v>24</v>
      </c>
      <c r="M7" s="65" t="s">
        <v>19</v>
      </c>
      <c r="N7" s="97" t="s">
        <v>20</v>
      </c>
      <c r="O7" s="65" t="s">
        <v>26</v>
      </c>
      <c r="P7" s="98" t="s">
        <v>27</v>
      </c>
    </row>
    <row r="8" spans="1:16" ht="24.75" customHeight="1">
      <c r="B8" s="68">
        <v>1</v>
      </c>
      <c r="C8" s="68" t="s">
        <v>172</v>
      </c>
      <c r="D8" s="68" t="s">
        <v>173</v>
      </c>
      <c r="E8" s="68" t="s">
        <v>174</v>
      </c>
      <c r="F8" s="68"/>
      <c r="G8" s="68" t="s">
        <v>175</v>
      </c>
      <c r="H8" s="68" t="s">
        <v>176</v>
      </c>
      <c r="I8" s="68" t="s">
        <v>126</v>
      </c>
      <c r="J8" s="68" t="s">
        <v>177</v>
      </c>
      <c r="K8" s="68" t="s">
        <v>125</v>
      </c>
      <c r="L8" s="68" t="s">
        <v>94</v>
      </c>
      <c r="M8" s="68">
        <v>45</v>
      </c>
      <c r="N8" s="99">
        <v>610</v>
      </c>
      <c r="O8" s="68" t="s">
        <v>178</v>
      </c>
      <c r="P8" s="100">
        <v>3050</v>
      </c>
    </row>
    <row r="9" spans="1:16" ht="24.75" customHeight="1">
      <c r="B9" s="68">
        <v>2</v>
      </c>
      <c r="C9" s="68" t="s">
        <v>172</v>
      </c>
      <c r="D9" s="68" t="s">
        <v>173</v>
      </c>
      <c r="E9" s="68" t="s">
        <v>174</v>
      </c>
      <c r="F9" s="68"/>
      <c r="G9" s="68" t="s">
        <v>175</v>
      </c>
      <c r="H9" s="68" t="s">
        <v>176</v>
      </c>
      <c r="I9" s="68" t="s">
        <v>126</v>
      </c>
      <c r="J9" s="68" t="s">
        <v>177</v>
      </c>
      <c r="K9" s="68" t="s">
        <v>125</v>
      </c>
      <c r="L9" s="68" t="s">
        <v>179</v>
      </c>
      <c r="M9" s="68">
        <v>45</v>
      </c>
      <c r="N9" s="99">
        <v>610</v>
      </c>
      <c r="O9" s="68" t="s">
        <v>180</v>
      </c>
      <c r="P9" s="100">
        <v>350</v>
      </c>
    </row>
    <row r="10" spans="1:16" ht="24.75" customHeight="1">
      <c r="B10" s="68">
        <v>3</v>
      </c>
      <c r="C10" s="68" t="s">
        <v>172</v>
      </c>
      <c r="D10" s="68" t="s">
        <v>181</v>
      </c>
      <c r="E10" s="68" t="s">
        <v>182</v>
      </c>
      <c r="F10" s="68"/>
      <c r="G10" s="68" t="s">
        <v>183</v>
      </c>
      <c r="H10" s="68" t="s">
        <v>184</v>
      </c>
      <c r="I10" s="68" t="s">
        <v>185</v>
      </c>
      <c r="J10" s="68" t="s">
        <v>186</v>
      </c>
      <c r="K10" s="68" t="s">
        <v>91</v>
      </c>
      <c r="L10" s="68" t="s">
        <v>94</v>
      </c>
      <c r="M10" s="68">
        <v>19</v>
      </c>
      <c r="N10" s="99">
        <v>256</v>
      </c>
      <c r="O10" s="68" t="s">
        <v>187</v>
      </c>
      <c r="P10" s="100">
        <v>819.2</v>
      </c>
    </row>
    <row r="11" spans="1:16" ht="24.75" customHeight="1">
      <c r="B11" s="68">
        <v>4</v>
      </c>
      <c r="C11" s="68" t="s">
        <v>172</v>
      </c>
      <c r="D11" s="68" t="s">
        <v>181</v>
      </c>
      <c r="E11" s="68" t="s">
        <v>182</v>
      </c>
      <c r="F11" s="68"/>
      <c r="G11" s="68" t="s">
        <v>183</v>
      </c>
      <c r="H11" s="68" t="s">
        <v>184</v>
      </c>
      <c r="I11" s="68" t="s">
        <v>185</v>
      </c>
      <c r="J11" s="68" t="s">
        <v>186</v>
      </c>
      <c r="K11" s="68" t="s">
        <v>91</v>
      </c>
      <c r="L11" s="68" t="s">
        <v>179</v>
      </c>
      <c r="M11" s="68">
        <v>19</v>
      </c>
      <c r="N11" s="99">
        <v>256</v>
      </c>
      <c r="O11" s="68" t="s">
        <v>95</v>
      </c>
      <c r="P11" s="100">
        <v>200</v>
      </c>
    </row>
    <row r="12" spans="1:16" ht="24.75" customHeight="1">
      <c r="B12" s="68">
        <v>5</v>
      </c>
      <c r="C12" s="68" t="s">
        <v>99</v>
      </c>
      <c r="D12" s="68" t="s">
        <v>188</v>
      </c>
      <c r="E12" s="68" t="s">
        <v>189</v>
      </c>
      <c r="F12" s="68"/>
      <c r="G12" s="68" t="s">
        <v>183</v>
      </c>
      <c r="H12" s="68">
        <v>95215</v>
      </c>
      <c r="I12" s="68" t="s">
        <v>52</v>
      </c>
      <c r="J12" s="68" t="s">
        <v>190</v>
      </c>
      <c r="K12" s="68" t="s">
        <v>91</v>
      </c>
      <c r="L12" s="68" t="s">
        <v>94</v>
      </c>
      <c r="M12" s="68">
        <v>20</v>
      </c>
      <c r="N12" s="99">
        <v>265</v>
      </c>
      <c r="O12" s="68" t="s">
        <v>191</v>
      </c>
      <c r="P12" s="100">
        <v>1139.5</v>
      </c>
    </row>
    <row r="13" spans="1:16" ht="24.75" customHeight="1">
      <c r="B13" s="68">
        <v>6</v>
      </c>
      <c r="C13" s="68" t="s">
        <v>99</v>
      </c>
      <c r="D13" s="68" t="s">
        <v>188</v>
      </c>
      <c r="E13" s="68" t="s">
        <v>189</v>
      </c>
      <c r="F13" s="68"/>
      <c r="G13" s="68" t="s">
        <v>183</v>
      </c>
      <c r="H13" s="68">
        <v>95215</v>
      </c>
      <c r="I13" s="68" t="s">
        <v>52</v>
      </c>
      <c r="J13" s="68" t="s">
        <v>190</v>
      </c>
      <c r="K13" s="68" t="s">
        <v>91</v>
      </c>
      <c r="L13" s="68" t="s">
        <v>179</v>
      </c>
      <c r="M13" s="68">
        <v>20</v>
      </c>
      <c r="N13" s="99">
        <v>265</v>
      </c>
      <c r="O13" s="68" t="s">
        <v>95</v>
      </c>
      <c r="P13" s="100">
        <v>200</v>
      </c>
    </row>
    <row r="14" spans="1:16" ht="24.75" customHeight="1">
      <c r="B14" s="68">
        <v>7</v>
      </c>
      <c r="C14" s="68" t="s">
        <v>119</v>
      </c>
      <c r="D14" s="68" t="s">
        <v>192</v>
      </c>
      <c r="E14" s="68" t="s">
        <v>193</v>
      </c>
      <c r="F14" s="68"/>
      <c r="G14" s="68" t="s">
        <v>194</v>
      </c>
      <c r="H14" s="68">
        <v>85340</v>
      </c>
      <c r="I14" s="68" t="s">
        <v>92</v>
      </c>
      <c r="J14" s="68" t="s">
        <v>195</v>
      </c>
      <c r="K14" s="68" t="s">
        <v>91</v>
      </c>
      <c r="L14" s="68" t="s">
        <v>94</v>
      </c>
      <c r="M14" s="68">
        <v>116</v>
      </c>
      <c r="N14" s="99">
        <v>1665</v>
      </c>
      <c r="O14" s="68" t="s">
        <v>196</v>
      </c>
      <c r="P14" s="100">
        <v>6826.5</v>
      </c>
    </row>
    <row r="15" spans="1:16" ht="24.75" customHeight="1">
      <c r="B15" s="68">
        <v>8</v>
      </c>
      <c r="C15" s="68" t="s">
        <v>119</v>
      </c>
      <c r="D15" s="68" t="s">
        <v>192</v>
      </c>
      <c r="E15" s="68" t="s">
        <v>193</v>
      </c>
      <c r="F15" s="68"/>
      <c r="G15" s="68" t="s">
        <v>194</v>
      </c>
      <c r="H15" s="68">
        <v>85340</v>
      </c>
      <c r="I15" s="68" t="s">
        <v>92</v>
      </c>
      <c r="J15" s="68" t="s">
        <v>195</v>
      </c>
      <c r="K15" s="68" t="s">
        <v>91</v>
      </c>
      <c r="L15" s="68" t="s">
        <v>179</v>
      </c>
      <c r="M15" s="68">
        <v>116</v>
      </c>
      <c r="N15" s="99">
        <v>1665</v>
      </c>
      <c r="O15" s="68" t="s">
        <v>95</v>
      </c>
      <c r="P15" s="100">
        <v>200</v>
      </c>
    </row>
    <row r="16" spans="1:16" ht="24.75" customHeight="1">
      <c r="B16" s="68">
        <v>9</v>
      </c>
      <c r="C16" s="68" t="s">
        <v>119</v>
      </c>
      <c r="D16" s="68" t="s">
        <v>197</v>
      </c>
      <c r="E16" s="68" t="s">
        <v>198</v>
      </c>
      <c r="F16" s="68"/>
      <c r="G16" s="68" t="s">
        <v>183</v>
      </c>
      <c r="H16" s="68">
        <v>80018</v>
      </c>
      <c r="I16" s="68" t="s">
        <v>199</v>
      </c>
      <c r="J16" s="68" t="s">
        <v>200</v>
      </c>
      <c r="K16" s="68" t="s">
        <v>91</v>
      </c>
      <c r="L16" s="68" t="s">
        <v>94</v>
      </c>
      <c r="M16" s="68">
        <v>18</v>
      </c>
      <c r="N16" s="99">
        <v>437</v>
      </c>
      <c r="O16" s="68" t="s">
        <v>201</v>
      </c>
      <c r="P16" s="100">
        <v>2534.6</v>
      </c>
    </row>
    <row r="17" spans="2:16" ht="24.75" customHeight="1">
      <c r="B17" s="68">
        <v>10</v>
      </c>
      <c r="C17" s="68" t="s">
        <v>119</v>
      </c>
      <c r="D17" s="68" t="s">
        <v>202</v>
      </c>
      <c r="E17" s="68" t="s">
        <v>203</v>
      </c>
      <c r="F17" s="68"/>
      <c r="G17" s="68" t="s">
        <v>204</v>
      </c>
      <c r="H17" s="68">
        <v>33811</v>
      </c>
      <c r="I17" s="68" t="s">
        <v>205</v>
      </c>
      <c r="J17" s="68" t="s">
        <v>200</v>
      </c>
      <c r="K17" s="68" t="s">
        <v>91</v>
      </c>
      <c r="L17" s="68" t="s">
        <v>94</v>
      </c>
      <c r="M17" s="68">
        <v>18</v>
      </c>
      <c r="N17" s="99">
        <v>438</v>
      </c>
      <c r="O17" s="68" t="s">
        <v>116</v>
      </c>
      <c r="P17" s="100">
        <v>2277.6</v>
      </c>
    </row>
    <row r="18" spans="2:16" ht="24.75" customHeight="1">
      <c r="B18" s="68">
        <v>11</v>
      </c>
      <c r="C18" s="68" t="s">
        <v>119</v>
      </c>
      <c r="D18" s="68" t="s">
        <v>206</v>
      </c>
      <c r="E18" s="68" t="s">
        <v>207</v>
      </c>
      <c r="F18" s="68"/>
      <c r="G18" s="68" t="s">
        <v>208</v>
      </c>
      <c r="H18" s="68" t="s">
        <v>209</v>
      </c>
      <c r="I18" s="68" t="s">
        <v>210</v>
      </c>
      <c r="J18" s="68" t="s">
        <v>200</v>
      </c>
      <c r="K18" s="68" t="s">
        <v>91</v>
      </c>
      <c r="L18" s="68" t="s">
        <v>94</v>
      </c>
      <c r="M18" s="68">
        <v>18</v>
      </c>
      <c r="N18" s="99">
        <v>437</v>
      </c>
      <c r="O18" s="68" t="s">
        <v>211</v>
      </c>
      <c r="P18" s="100">
        <v>2053.9</v>
      </c>
    </row>
    <row r="19" spans="2:16" ht="24.75" customHeight="1">
      <c r="B19" s="68">
        <v>12</v>
      </c>
      <c r="C19" s="68" t="s">
        <v>119</v>
      </c>
      <c r="D19" s="68" t="s">
        <v>206</v>
      </c>
      <c r="E19" s="68" t="s">
        <v>207</v>
      </c>
      <c r="F19" s="68"/>
      <c r="G19" s="68" t="s">
        <v>208</v>
      </c>
      <c r="H19" s="68" t="s">
        <v>209</v>
      </c>
      <c r="I19" s="68" t="s">
        <v>210</v>
      </c>
      <c r="J19" s="68" t="s">
        <v>200</v>
      </c>
      <c r="K19" s="68" t="s">
        <v>91</v>
      </c>
      <c r="L19" s="68" t="s">
        <v>179</v>
      </c>
      <c r="M19" s="68">
        <v>18</v>
      </c>
      <c r="N19" s="99">
        <v>437</v>
      </c>
      <c r="O19" s="68" t="s">
        <v>95</v>
      </c>
      <c r="P19" s="100">
        <v>200</v>
      </c>
    </row>
    <row r="20" spans="2:16" ht="24.75" customHeight="1">
      <c r="B20" s="68">
        <v>13</v>
      </c>
      <c r="C20" s="68" t="s">
        <v>119</v>
      </c>
      <c r="D20" s="68" t="s">
        <v>212</v>
      </c>
      <c r="E20" s="68" t="s">
        <v>213</v>
      </c>
      <c r="F20" s="68"/>
      <c r="G20" s="68" t="s">
        <v>204</v>
      </c>
      <c r="H20" s="68">
        <v>30549</v>
      </c>
      <c r="I20" s="68" t="s">
        <v>214</v>
      </c>
      <c r="J20" s="68" t="s">
        <v>200</v>
      </c>
      <c r="K20" s="68" t="s">
        <v>91</v>
      </c>
      <c r="L20" s="68" t="s">
        <v>94</v>
      </c>
      <c r="M20" s="68">
        <v>18</v>
      </c>
      <c r="N20" s="99">
        <v>438</v>
      </c>
      <c r="O20" s="68" t="s">
        <v>178</v>
      </c>
      <c r="P20" s="100">
        <v>2190</v>
      </c>
    </row>
    <row r="21" spans="2:16" ht="24.75" customHeight="1">
      <c r="B21" s="68">
        <v>14</v>
      </c>
      <c r="C21" s="68" t="s">
        <v>119</v>
      </c>
      <c r="D21" s="68" t="s">
        <v>212</v>
      </c>
      <c r="E21" s="68" t="s">
        <v>213</v>
      </c>
      <c r="F21" s="68"/>
      <c r="G21" s="68" t="s">
        <v>204</v>
      </c>
      <c r="H21" s="68">
        <v>30549</v>
      </c>
      <c r="I21" s="68" t="s">
        <v>214</v>
      </c>
      <c r="J21" s="68" t="s">
        <v>200</v>
      </c>
      <c r="K21" s="68" t="s">
        <v>91</v>
      </c>
      <c r="L21" s="68" t="s">
        <v>179</v>
      </c>
      <c r="M21" s="68">
        <v>18</v>
      </c>
      <c r="N21" s="99">
        <v>438</v>
      </c>
      <c r="O21" s="68" t="s">
        <v>95</v>
      </c>
      <c r="P21" s="100">
        <v>200</v>
      </c>
    </row>
    <row r="22" spans="2:16" ht="24.75" customHeight="1">
      <c r="B22" s="68">
        <v>15</v>
      </c>
      <c r="C22" s="68" t="s">
        <v>215</v>
      </c>
      <c r="D22" s="68" t="s">
        <v>216</v>
      </c>
      <c r="E22" s="68" t="s">
        <v>217</v>
      </c>
      <c r="F22" s="68"/>
      <c r="G22" s="68" t="s">
        <v>183</v>
      </c>
      <c r="H22" s="68">
        <v>93263</v>
      </c>
      <c r="I22" s="68" t="s">
        <v>218</v>
      </c>
      <c r="J22" s="68" t="s">
        <v>219</v>
      </c>
      <c r="K22" s="68" t="s">
        <v>91</v>
      </c>
      <c r="L22" s="68" t="s">
        <v>94</v>
      </c>
      <c r="M22" s="68">
        <v>106</v>
      </c>
      <c r="N22" s="99">
        <v>1471</v>
      </c>
      <c r="O22" s="68" t="s">
        <v>220</v>
      </c>
      <c r="P22" s="100">
        <v>5589.8</v>
      </c>
    </row>
    <row r="23" spans="2:16" ht="24.75" customHeight="1">
      <c r="B23" s="68">
        <v>16</v>
      </c>
      <c r="C23" s="68" t="s">
        <v>215</v>
      </c>
      <c r="D23" s="68" t="s">
        <v>216</v>
      </c>
      <c r="E23" s="68" t="s">
        <v>217</v>
      </c>
      <c r="F23" s="68"/>
      <c r="G23" s="68" t="s">
        <v>183</v>
      </c>
      <c r="H23" s="68">
        <v>93263</v>
      </c>
      <c r="I23" s="68" t="s">
        <v>218</v>
      </c>
      <c r="J23" s="68" t="s">
        <v>219</v>
      </c>
      <c r="K23" s="68" t="s">
        <v>91</v>
      </c>
      <c r="L23" s="68" t="s">
        <v>179</v>
      </c>
      <c r="M23" s="68">
        <v>106</v>
      </c>
      <c r="N23" s="99">
        <v>1471</v>
      </c>
      <c r="O23" s="68" t="s">
        <v>95</v>
      </c>
      <c r="P23" s="100">
        <v>200</v>
      </c>
    </row>
    <row r="24" spans="2:16" ht="24.75" customHeight="1">
      <c r="B24" s="68">
        <v>17</v>
      </c>
      <c r="C24" s="68" t="s">
        <v>138</v>
      </c>
      <c r="D24" s="68" t="s">
        <v>221</v>
      </c>
      <c r="E24" s="68" t="s">
        <v>222</v>
      </c>
      <c r="F24" s="68"/>
      <c r="G24" s="68" t="s">
        <v>175</v>
      </c>
      <c r="H24" s="68" t="s">
        <v>223</v>
      </c>
      <c r="I24" s="68"/>
      <c r="J24" s="68" t="s">
        <v>224</v>
      </c>
      <c r="K24" s="68" t="s">
        <v>125</v>
      </c>
      <c r="L24" s="68" t="s">
        <v>94</v>
      </c>
      <c r="M24" s="68">
        <v>38</v>
      </c>
      <c r="N24" s="99">
        <v>526</v>
      </c>
      <c r="O24" s="68" t="s">
        <v>225</v>
      </c>
      <c r="P24" s="100">
        <v>2787.8</v>
      </c>
    </row>
    <row r="25" spans="2:16" ht="24.75" customHeight="1">
      <c r="B25" s="68">
        <v>18</v>
      </c>
      <c r="C25" s="68" t="s">
        <v>138</v>
      </c>
      <c r="D25" s="68" t="s">
        <v>221</v>
      </c>
      <c r="E25" s="68" t="s">
        <v>222</v>
      </c>
      <c r="F25" s="68"/>
      <c r="G25" s="68" t="s">
        <v>175</v>
      </c>
      <c r="H25" s="68" t="s">
        <v>223</v>
      </c>
      <c r="I25" s="68"/>
      <c r="J25" s="68" t="s">
        <v>224</v>
      </c>
      <c r="K25" s="68" t="s">
        <v>125</v>
      </c>
      <c r="L25" s="68" t="s">
        <v>179</v>
      </c>
      <c r="M25" s="68">
        <v>38</v>
      </c>
      <c r="N25" s="99">
        <v>526</v>
      </c>
      <c r="O25" s="68" t="s">
        <v>180</v>
      </c>
      <c r="P25" s="100">
        <v>350</v>
      </c>
    </row>
    <row r="26" spans="2:16" ht="24.75" customHeight="1">
      <c r="B26" s="68">
        <v>19</v>
      </c>
      <c r="C26" s="68" t="s">
        <v>138</v>
      </c>
      <c r="D26" s="68" t="s">
        <v>226</v>
      </c>
      <c r="E26" s="68" t="s">
        <v>227</v>
      </c>
      <c r="F26" s="68"/>
      <c r="G26" s="68" t="s">
        <v>183</v>
      </c>
      <c r="H26" s="68">
        <v>85396</v>
      </c>
      <c r="I26" s="68" t="s">
        <v>38</v>
      </c>
      <c r="J26" s="68" t="s">
        <v>228</v>
      </c>
      <c r="K26" s="68" t="s">
        <v>91</v>
      </c>
      <c r="L26" s="68" t="s">
        <v>94</v>
      </c>
      <c r="M26" s="68">
        <v>83</v>
      </c>
      <c r="N26" s="99">
        <v>1209</v>
      </c>
      <c r="O26" s="68" t="s">
        <v>220</v>
      </c>
      <c r="P26" s="100">
        <v>4594.2</v>
      </c>
    </row>
    <row r="27" spans="2:16" ht="24.75" customHeight="1">
      <c r="B27" s="68">
        <v>20</v>
      </c>
      <c r="C27" s="68" t="s">
        <v>138</v>
      </c>
      <c r="D27" s="68" t="s">
        <v>226</v>
      </c>
      <c r="E27" s="68" t="s">
        <v>227</v>
      </c>
      <c r="F27" s="68"/>
      <c r="G27" s="68" t="s">
        <v>183</v>
      </c>
      <c r="H27" s="68">
        <v>85396</v>
      </c>
      <c r="I27" s="68" t="s">
        <v>38</v>
      </c>
      <c r="J27" s="68" t="s">
        <v>228</v>
      </c>
      <c r="K27" s="68" t="s">
        <v>91</v>
      </c>
      <c r="L27" s="68" t="s">
        <v>179</v>
      </c>
      <c r="M27" s="68">
        <v>83</v>
      </c>
      <c r="N27" s="99">
        <v>1209</v>
      </c>
      <c r="O27" s="68" t="s">
        <v>95</v>
      </c>
      <c r="P27" s="100">
        <v>200</v>
      </c>
    </row>
    <row r="28" spans="2:16" ht="24.75" customHeight="1">
      <c r="B28" s="68">
        <v>21</v>
      </c>
      <c r="C28" s="68" t="s">
        <v>142</v>
      </c>
      <c r="D28" s="68" t="s">
        <v>229</v>
      </c>
      <c r="E28" s="68" t="s">
        <v>230</v>
      </c>
      <c r="F28" s="68"/>
      <c r="G28" s="68" t="s">
        <v>183</v>
      </c>
      <c r="H28" s="68">
        <v>85340</v>
      </c>
      <c r="I28" s="68" t="s">
        <v>92</v>
      </c>
      <c r="J28" s="68" t="s">
        <v>231</v>
      </c>
      <c r="K28" s="68" t="s">
        <v>91</v>
      </c>
      <c r="L28" s="68" t="s">
        <v>94</v>
      </c>
      <c r="M28" s="68">
        <v>50</v>
      </c>
      <c r="N28" s="99">
        <v>774</v>
      </c>
      <c r="O28" s="68" t="s">
        <v>220</v>
      </c>
      <c r="P28" s="100">
        <v>2941.2</v>
      </c>
    </row>
    <row r="29" spans="2:16" ht="24.75" customHeight="1">
      <c r="B29" s="68">
        <v>22</v>
      </c>
      <c r="C29" s="68" t="s">
        <v>142</v>
      </c>
      <c r="D29" s="68" t="s">
        <v>229</v>
      </c>
      <c r="E29" s="68" t="s">
        <v>230</v>
      </c>
      <c r="F29" s="68"/>
      <c r="G29" s="68" t="s">
        <v>183</v>
      </c>
      <c r="H29" s="68">
        <v>85340</v>
      </c>
      <c r="I29" s="68" t="s">
        <v>92</v>
      </c>
      <c r="J29" s="68" t="s">
        <v>231</v>
      </c>
      <c r="K29" s="68" t="s">
        <v>91</v>
      </c>
      <c r="L29" s="68" t="s">
        <v>179</v>
      </c>
      <c r="M29" s="68">
        <v>50</v>
      </c>
      <c r="N29" s="99">
        <v>774</v>
      </c>
      <c r="O29" s="68" t="s">
        <v>95</v>
      </c>
      <c r="P29" s="100">
        <v>200</v>
      </c>
    </row>
    <row r="30" spans="2:16" ht="24.75" customHeight="1">
      <c r="B30" s="68">
        <v>23</v>
      </c>
      <c r="C30" s="68" t="s">
        <v>142</v>
      </c>
      <c r="D30" s="68" t="s">
        <v>232</v>
      </c>
      <c r="E30" s="68" t="s">
        <v>233</v>
      </c>
      <c r="F30" s="68"/>
      <c r="G30" s="68" t="s">
        <v>183</v>
      </c>
      <c r="H30" s="68">
        <v>85340</v>
      </c>
      <c r="I30" s="68" t="s">
        <v>92</v>
      </c>
      <c r="J30" s="68" t="s">
        <v>234</v>
      </c>
      <c r="K30" s="68" t="s">
        <v>91</v>
      </c>
      <c r="L30" s="68" t="s">
        <v>94</v>
      </c>
      <c r="M30" s="68">
        <v>91</v>
      </c>
      <c r="N30" s="99">
        <v>1222</v>
      </c>
      <c r="O30" s="68" t="s">
        <v>220</v>
      </c>
      <c r="P30" s="100">
        <v>4643.6000000000004</v>
      </c>
    </row>
    <row r="31" spans="2:16" ht="24.75" customHeight="1"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99"/>
      <c r="O31" s="68" t="s">
        <v>158</v>
      </c>
      <c r="P31" s="100">
        <f>SUM(P8:P30)</f>
        <v>43747.899999999994</v>
      </c>
    </row>
    <row r="32" spans="2:16" s="67" customFormat="1" ht="24.75" customHeight="1">
      <c r="B32" s="70"/>
      <c r="C32" s="70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101"/>
      <c r="O32" s="70" t="s">
        <v>235</v>
      </c>
      <c r="P32" s="100">
        <v>0</v>
      </c>
    </row>
    <row r="33" spans="2:16" s="67" customFormat="1" ht="24.75" customHeight="1">
      <c r="B33" s="70"/>
      <c r="C33" s="68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101"/>
      <c r="O33" s="70" t="s">
        <v>236</v>
      </c>
      <c r="P33" s="100">
        <f>P31-P32</f>
        <v>43747.899999999994</v>
      </c>
    </row>
    <row r="34" spans="2:16" s="67" customFormat="1" ht="24.75" customHeight="1">
      <c r="B34" s="102"/>
      <c r="C34" s="103"/>
      <c r="D34" s="102"/>
      <c r="E34" s="102"/>
      <c r="F34" s="102"/>
      <c r="G34" s="102"/>
      <c r="H34" s="102"/>
      <c r="I34" s="102"/>
      <c r="J34" s="102"/>
      <c r="K34" s="102"/>
      <c r="L34" s="102"/>
      <c r="M34" s="104"/>
      <c r="N34" s="102"/>
      <c r="P34" s="105"/>
    </row>
    <row r="35" spans="2:16" s="67" customFormat="1" ht="24.75" customHeight="1">
      <c r="B35" s="106" t="s">
        <v>237</v>
      </c>
      <c r="C35" s="107"/>
      <c r="D35" s="108"/>
      <c r="E35" s="109"/>
      <c r="F35" s="110"/>
      <c r="G35" s="110"/>
      <c r="H35" s="110"/>
      <c r="I35" s="110"/>
      <c r="J35" s="110"/>
      <c r="K35" s="110"/>
      <c r="L35" s="110"/>
      <c r="M35" s="110"/>
      <c r="N35" s="111"/>
      <c r="O35" s="112"/>
      <c r="P35" s="112"/>
    </row>
    <row r="36" spans="2:16" s="67" customFormat="1" ht="24.75" customHeight="1">
      <c r="B36" s="106" t="s">
        <v>238</v>
      </c>
      <c r="C36" s="107"/>
      <c r="D36" s="108"/>
      <c r="E36" s="109" t="s">
        <v>239</v>
      </c>
      <c r="F36" s="110"/>
      <c r="G36" s="110"/>
      <c r="H36" s="110"/>
      <c r="I36" s="110"/>
      <c r="J36" s="110"/>
      <c r="K36" s="110"/>
      <c r="L36" s="110"/>
      <c r="M36" s="110"/>
      <c r="N36" s="111"/>
      <c r="O36" s="112">
        <f>P33</f>
        <v>43747.899999999994</v>
      </c>
      <c r="P36" s="112"/>
    </row>
    <row r="37" spans="2:16" s="67" customFormat="1" ht="24.75" customHeight="1">
      <c r="B37" s="106" t="s">
        <v>240</v>
      </c>
      <c r="C37" s="107"/>
      <c r="D37" s="108"/>
      <c r="E37" s="109"/>
      <c r="F37" s="110"/>
      <c r="G37" s="110"/>
      <c r="H37" s="110"/>
      <c r="I37" s="110"/>
      <c r="J37" s="110"/>
      <c r="K37" s="110"/>
      <c r="L37" s="110"/>
      <c r="M37" s="110"/>
      <c r="N37" s="111"/>
      <c r="O37" s="112">
        <f>SUM(O35:P36)</f>
        <v>43747.899999999994</v>
      </c>
      <c r="P37" s="112"/>
    </row>
    <row r="38" spans="2:16" s="74" customFormat="1" ht="24.75" customHeight="1"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P38" s="114"/>
    </row>
    <row r="39" spans="2:16" s="74" customFormat="1" ht="24.75" customHeight="1">
      <c r="B39" s="75" t="s">
        <v>241</v>
      </c>
      <c r="C39" s="11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P39" s="114"/>
    </row>
    <row r="40" spans="2:16" ht="24.75" customHeight="1">
      <c r="B40" s="116" t="s">
        <v>242</v>
      </c>
      <c r="C40" s="117"/>
      <c r="D40" s="117"/>
      <c r="E40" s="117"/>
      <c r="F40" s="117"/>
      <c r="G40" s="117"/>
      <c r="H40" s="117"/>
      <c r="I40" s="117"/>
      <c r="J40" s="118"/>
    </row>
    <row r="41" spans="2:16" ht="24.75" customHeight="1">
      <c r="B41" s="119" t="s">
        <v>243</v>
      </c>
      <c r="C41" s="120"/>
      <c r="D41" s="120"/>
      <c r="E41" s="121"/>
      <c r="F41" s="119" t="s">
        <v>244</v>
      </c>
      <c r="G41" s="120"/>
      <c r="H41" s="120"/>
      <c r="I41" s="120"/>
      <c r="J41" s="121"/>
    </row>
    <row r="42" spans="2:16" ht="24.75" customHeight="1">
      <c r="B42" s="122" t="s">
        <v>245</v>
      </c>
      <c r="C42" s="123"/>
      <c r="D42" s="123"/>
      <c r="E42" s="124"/>
      <c r="F42" s="122" t="s">
        <v>246</v>
      </c>
      <c r="G42" s="123"/>
      <c r="H42" s="123"/>
      <c r="I42" s="123"/>
      <c r="J42" s="124"/>
    </row>
    <row r="43" spans="2:16" ht="24.75" customHeight="1">
      <c r="B43" s="122" t="s">
        <v>247</v>
      </c>
      <c r="C43" s="123"/>
      <c r="D43" s="123"/>
      <c r="E43" s="124"/>
      <c r="F43" s="122" t="s">
        <v>248</v>
      </c>
      <c r="G43" s="123"/>
      <c r="H43" s="123"/>
      <c r="I43" s="123"/>
      <c r="J43" s="124"/>
    </row>
    <row r="44" spans="2:16" ht="24.75" customHeight="1">
      <c r="B44" s="125" t="s">
        <v>249</v>
      </c>
      <c r="C44" s="126"/>
      <c r="D44" s="126"/>
      <c r="E44" s="127"/>
      <c r="F44" s="125" t="s">
        <v>250</v>
      </c>
      <c r="G44" s="126"/>
      <c r="H44" s="126"/>
      <c r="I44" s="126"/>
      <c r="J44" s="127"/>
    </row>
    <row r="45" spans="2:16" ht="24.75" customHeight="1">
      <c r="B45" s="128" t="s">
        <v>251</v>
      </c>
      <c r="C45" s="129"/>
      <c r="D45" s="129"/>
      <c r="E45" s="129"/>
      <c r="F45" s="129"/>
      <c r="G45" s="129"/>
      <c r="H45" s="129"/>
      <c r="I45" s="129"/>
      <c r="J45" s="130"/>
    </row>
    <row r="46" spans="2:16" ht="24.75" customHeight="1">
      <c r="B46" s="131" t="s">
        <v>252</v>
      </c>
    </row>
    <row r="47" spans="2:16" ht="24.75" customHeight="1">
      <c r="B47" s="131" t="s">
        <v>253</v>
      </c>
    </row>
    <row r="48" spans="2:16" ht="24.75" customHeight="1">
      <c r="B48" s="131" t="s">
        <v>254</v>
      </c>
    </row>
    <row r="49" spans="2:2" ht="24.75" customHeight="1">
      <c r="B49" s="131" t="s">
        <v>255</v>
      </c>
    </row>
  </sheetData>
  <mergeCells count="28">
    <mergeCell ref="B44:E44"/>
    <mergeCell ref="F44:J44"/>
    <mergeCell ref="B45:J45"/>
    <mergeCell ref="B41:E41"/>
    <mergeCell ref="F41:J41"/>
    <mergeCell ref="B42:E42"/>
    <mergeCell ref="F42:J42"/>
    <mergeCell ref="B43:E43"/>
    <mergeCell ref="F43:J43"/>
    <mergeCell ref="B37:D37"/>
    <mergeCell ref="E37:N37"/>
    <mergeCell ref="O37:P37"/>
    <mergeCell ref="B38:N38"/>
    <mergeCell ref="B39:N39"/>
    <mergeCell ref="B40:J40"/>
    <mergeCell ref="B35:D35"/>
    <mergeCell ref="E35:N35"/>
    <mergeCell ref="O35:P35"/>
    <mergeCell ref="B36:D36"/>
    <mergeCell ref="E36:N36"/>
    <mergeCell ref="O36:P36"/>
    <mergeCell ref="B1:N1"/>
    <mergeCell ref="C2:N2"/>
    <mergeCell ref="B4:N4"/>
    <mergeCell ref="B5:C5"/>
    <mergeCell ref="D5:E5"/>
    <mergeCell ref="B6:C6"/>
    <mergeCell ref="D6:E6"/>
  </mergeCells>
  <phoneticPr fontId="3" type="noConversion"/>
  <pageMargins left="0.75" right="0.75" top="1" bottom="1" header="0.3" footer="0.3"/>
  <pageSetup paperSize="9" scale="4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A77B-A4BD-46EB-B8AC-5053FD4465FC}">
  <sheetPr>
    <pageSetUpPr fitToPage="1"/>
  </sheetPr>
  <dimension ref="A1:Q35"/>
  <sheetViews>
    <sheetView topLeftCell="A4" workbookViewId="0">
      <selection activeCell="A29" sqref="A29:L29"/>
    </sheetView>
  </sheetViews>
  <sheetFormatPr defaultColWidth="8.25" defaultRowHeight="14"/>
  <cols>
    <col min="1" max="1" width="9.83203125" style="4" customWidth="1"/>
    <col min="2" max="2" width="23.58203125" style="4" customWidth="1"/>
    <col min="3" max="3" width="17.75" style="4" customWidth="1"/>
    <col min="4" max="4" width="12.9140625" style="4" customWidth="1"/>
    <col min="5" max="5" width="19.6640625" style="4" customWidth="1"/>
    <col min="6" max="6" width="10.5" style="4" customWidth="1"/>
    <col min="7" max="7" width="10.1640625" style="4" customWidth="1"/>
    <col min="8" max="8" width="5.1640625" style="4" customWidth="1"/>
    <col min="9" max="9" width="8.33203125" style="4" customWidth="1"/>
    <col min="10" max="10" width="6.83203125" style="4" customWidth="1"/>
    <col min="11" max="11" width="7.1640625" style="4" customWidth="1"/>
    <col min="12" max="12" width="13.75" style="4" customWidth="1"/>
    <col min="13" max="13" width="10" style="4" customWidth="1"/>
    <col min="14" max="14" width="7.58203125" style="4" customWidth="1"/>
    <col min="15" max="15" width="10.33203125" style="4" customWidth="1"/>
    <col min="16" max="16" width="17.33203125" style="4" customWidth="1"/>
    <col min="17" max="17" width="12.9140625" style="1" customWidth="1"/>
    <col min="18" max="16384" width="8.25" style="1"/>
  </cols>
  <sheetData>
    <row r="1" spans="1:17" ht="89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7"/>
    </row>
    <row r="2" spans="1:17" ht="25.5">
      <c r="A2" s="38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40"/>
    </row>
    <row r="3" spans="1:17" ht="18" customHeight="1">
      <c r="A3" s="2" t="s">
        <v>2</v>
      </c>
      <c r="B3" s="3" t="s">
        <v>256</v>
      </c>
      <c r="C3" s="3"/>
      <c r="D3" s="3"/>
      <c r="E3" s="3"/>
      <c r="F3" s="3"/>
      <c r="G3" s="3"/>
      <c r="H3" s="3"/>
      <c r="I3" s="3"/>
      <c r="J3" s="3"/>
      <c r="K3" s="3"/>
      <c r="N3" s="3"/>
      <c r="O3" s="5" t="s">
        <v>3</v>
      </c>
      <c r="P3" s="3" t="s">
        <v>4</v>
      </c>
      <c r="Q3" s="6"/>
    </row>
    <row r="4" spans="1:17" ht="18" customHeight="1">
      <c r="A4" s="2" t="s">
        <v>5</v>
      </c>
      <c r="B4" s="3" t="s">
        <v>6</v>
      </c>
      <c r="C4" s="3"/>
      <c r="D4" s="3"/>
      <c r="E4" s="3"/>
      <c r="F4" s="3"/>
      <c r="G4" s="3"/>
      <c r="H4" s="3"/>
      <c r="I4" s="3"/>
      <c r="J4" s="3"/>
      <c r="K4" s="3"/>
      <c r="N4" s="3"/>
      <c r="O4" s="5" t="s">
        <v>7</v>
      </c>
      <c r="P4" s="3" t="s">
        <v>257</v>
      </c>
      <c r="Q4" s="6"/>
    </row>
    <row r="5" spans="1:17" ht="18" customHeight="1">
      <c r="A5" s="2" t="s">
        <v>8</v>
      </c>
      <c r="B5" s="3" t="s">
        <v>9</v>
      </c>
      <c r="C5" s="3"/>
      <c r="D5" s="3"/>
      <c r="E5" s="3"/>
      <c r="F5" s="3"/>
      <c r="G5" s="3"/>
      <c r="H5" s="3"/>
      <c r="I5" s="3"/>
      <c r="J5" s="3"/>
      <c r="K5" s="3"/>
      <c r="N5" s="3"/>
      <c r="O5" s="5" t="s">
        <v>10</v>
      </c>
      <c r="P5" s="3" t="s">
        <v>258</v>
      </c>
      <c r="Q5" s="6"/>
    </row>
    <row r="6" spans="1:17" ht="18" customHeight="1" thickBot="1">
      <c r="A6" s="2" t="s">
        <v>11</v>
      </c>
      <c r="B6" s="3" t="s">
        <v>259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8"/>
    </row>
    <row r="7" spans="1:17" ht="20" customHeight="1">
      <c r="A7" s="9" t="s">
        <v>12</v>
      </c>
      <c r="B7" s="10" t="s">
        <v>13</v>
      </c>
      <c r="C7" s="10" t="s">
        <v>14</v>
      </c>
      <c r="D7" s="10" t="s">
        <v>15</v>
      </c>
      <c r="E7" s="10" t="s">
        <v>16</v>
      </c>
      <c r="F7" s="10" t="s">
        <v>17</v>
      </c>
      <c r="G7" s="10" t="s">
        <v>18</v>
      </c>
      <c r="H7" s="10" t="s">
        <v>19</v>
      </c>
      <c r="I7" s="10" t="s">
        <v>20</v>
      </c>
      <c r="J7" s="10" t="s">
        <v>21</v>
      </c>
      <c r="K7" s="10" t="s">
        <v>22</v>
      </c>
      <c r="L7" s="10" t="s">
        <v>23</v>
      </c>
      <c r="M7" s="10" t="s">
        <v>24</v>
      </c>
      <c r="N7" s="10" t="s">
        <v>25</v>
      </c>
      <c r="O7" s="10" t="s">
        <v>26</v>
      </c>
      <c r="P7" s="10" t="s">
        <v>27</v>
      </c>
      <c r="Q7" s="11" t="s">
        <v>28</v>
      </c>
    </row>
    <row r="8" spans="1:17">
      <c r="A8" s="12" t="s">
        <v>29</v>
      </c>
      <c r="B8" s="12" t="s">
        <v>260</v>
      </c>
      <c r="C8" s="12" t="s">
        <v>261</v>
      </c>
      <c r="D8" s="12" t="s">
        <v>262</v>
      </c>
      <c r="E8" s="12" t="s">
        <v>30</v>
      </c>
      <c r="F8" s="12" t="s">
        <v>48</v>
      </c>
      <c r="G8" s="12" t="s">
        <v>49</v>
      </c>
      <c r="H8" s="12">
        <v>28</v>
      </c>
      <c r="I8" s="12">
        <v>1.29</v>
      </c>
      <c r="J8" s="12">
        <v>465.78</v>
      </c>
      <c r="K8" s="12" t="s">
        <v>30</v>
      </c>
      <c r="L8" s="12" t="s">
        <v>31</v>
      </c>
      <c r="M8" s="12" t="s">
        <v>35</v>
      </c>
      <c r="N8" s="12" t="s">
        <v>33</v>
      </c>
      <c r="O8" s="12">
        <v>200</v>
      </c>
      <c r="P8" s="12">
        <v>258</v>
      </c>
      <c r="Q8" s="12" t="s">
        <v>56</v>
      </c>
    </row>
    <row r="9" spans="1:17">
      <c r="A9" s="12" t="s">
        <v>34</v>
      </c>
      <c r="B9" s="12" t="s">
        <v>260</v>
      </c>
      <c r="C9" s="12" t="s">
        <v>261</v>
      </c>
      <c r="D9" s="12" t="s">
        <v>262</v>
      </c>
      <c r="E9" s="12" t="s">
        <v>30</v>
      </c>
      <c r="F9" s="12" t="s">
        <v>48</v>
      </c>
      <c r="G9" s="12" t="s">
        <v>49</v>
      </c>
      <c r="H9" s="12">
        <v>28</v>
      </c>
      <c r="I9" s="12">
        <v>1.29</v>
      </c>
      <c r="J9" s="12">
        <v>465.78</v>
      </c>
      <c r="K9" s="12"/>
      <c r="L9" s="12" t="s">
        <v>31</v>
      </c>
      <c r="M9" s="12" t="s">
        <v>32</v>
      </c>
      <c r="N9" s="12" t="s">
        <v>33</v>
      </c>
      <c r="O9" s="12">
        <v>830</v>
      </c>
      <c r="P9" s="12">
        <v>1070.7</v>
      </c>
      <c r="Q9" s="12"/>
    </row>
    <row r="10" spans="1:17">
      <c r="A10" s="12" t="s">
        <v>36</v>
      </c>
      <c r="B10" s="12" t="s">
        <v>263</v>
      </c>
      <c r="C10" s="12" t="s">
        <v>264</v>
      </c>
      <c r="D10" s="12" t="s">
        <v>265</v>
      </c>
      <c r="E10" s="12" t="s">
        <v>30</v>
      </c>
      <c r="F10" s="12" t="s">
        <v>266</v>
      </c>
      <c r="G10" s="12" t="s">
        <v>185</v>
      </c>
      <c r="H10" s="12">
        <v>47</v>
      </c>
      <c r="I10" s="12">
        <v>2.06</v>
      </c>
      <c r="J10" s="12">
        <v>631.64</v>
      </c>
      <c r="K10" s="12"/>
      <c r="L10" s="12" t="s">
        <v>46</v>
      </c>
      <c r="M10" s="12" t="s">
        <v>32</v>
      </c>
      <c r="N10" s="12" t="s">
        <v>33</v>
      </c>
      <c r="O10" s="12">
        <v>1890</v>
      </c>
      <c r="P10" s="12">
        <v>3893.4</v>
      </c>
      <c r="Q10" s="12"/>
    </row>
    <row r="11" spans="1:17">
      <c r="A11" s="12" t="s">
        <v>68</v>
      </c>
      <c r="B11" s="12" t="s">
        <v>267</v>
      </c>
      <c r="C11" s="12" t="s">
        <v>268</v>
      </c>
      <c r="D11" s="12" t="s">
        <v>269</v>
      </c>
      <c r="E11" s="12" t="s">
        <v>30</v>
      </c>
      <c r="F11" s="12" t="s">
        <v>270</v>
      </c>
      <c r="G11" s="12" t="s">
        <v>141</v>
      </c>
      <c r="H11" s="12">
        <v>11</v>
      </c>
      <c r="I11" s="12">
        <v>163</v>
      </c>
      <c r="J11" s="12">
        <v>162.38999999999999</v>
      </c>
      <c r="K11" s="12">
        <v>61.72</v>
      </c>
      <c r="L11" s="12" t="s">
        <v>39</v>
      </c>
      <c r="M11" s="12" t="s">
        <v>32</v>
      </c>
      <c r="N11" s="12" t="s">
        <v>40</v>
      </c>
      <c r="O11" s="12">
        <v>5.3</v>
      </c>
      <c r="P11" s="12">
        <v>863.9</v>
      </c>
      <c r="Q11" s="12"/>
    </row>
    <row r="12" spans="1:17">
      <c r="A12" s="12" t="s">
        <v>41</v>
      </c>
      <c r="B12" s="12" t="s">
        <v>267</v>
      </c>
      <c r="C12" s="12" t="s">
        <v>268</v>
      </c>
      <c r="D12" s="12" t="s">
        <v>269</v>
      </c>
      <c r="E12" s="12" t="s">
        <v>30</v>
      </c>
      <c r="F12" s="12" t="s">
        <v>270</v>
      </c>
      <c r="G12" s="12" t="s">
        <v>141</v>
      </c>
      <c r="H12" s="12">
        <v>11</v>
      </c>
      <c r="I12" s="12">
        <v>163</v>
      </c>
      <c r="J12" s="12">
        <v>162.38999999999999</v>
      </c>
      <c r="K12" s="12">
        <v>61.72</v>
      </c>
      <c r="L12" s="12" t="s">
        <v>39</v>
      </c>
      <c r="M12" s="12" t="s">
        <v>35</v>
      </c>
      <c r="N12" s="12" t="s">
        <v>40</v>
      </c>
      <c r="O12" s="12">
        <v>1</v>
      </c>
      <c r="P12" s="12">
        <v>163</v>
      </c>
      <c r="Q12" s="12" t="s">
        <v>271</v>
      </c>
    </row>
    <row r="13" spans="1:17">
      <c r="A13" s="12" t="s">
        <v>42</v>
      </c>
      <c r="B13" s="12" t="s">
        <v>272</v>
      </c>
      <c r="C13" s="12" t="s">
        <v>273</v>
      </c>
      <c r="D13" s="12" t="s">
        <v>274</v>
      </c>
      <c r="E13" s="12" t="s">
        <v>30</v>
      </c>
      <c r="F13" s="12" t="s">
        <v>275</v>
      </c>
      <c r="G13" s="12" t="s">
        <v>92</v>
      </c>
      <c r="H13" s="12">
        <v>9</v>
      </c>
      <c r="I13" s="12">
        <v>183</v>
      </c>
      <c r="J13" s="12">
        <v>182.91</v>
      </c>
      <c r="K13" s="12">
        <v>63.97</v>
      </c>
      <c r="L13" s="12" t="s">
        <v>39</v>
      </c>
      <c r="M13" s="12" t="s">
        <v>32</v>
      </c>
      <c r="N13" s="12" t="s">
        <v>40</v>
      </c>
      <c r="O13" s="12">
        <v>5.2</v>
      </c>
      <c r="P13" s="12">
        <v>951.6</v>
      </c>
      <c r="Q13" s="12"/>
    </row>
    <row r="14" spans="1:17">
      <c r="A14" s="12" t="s">
        <v>43</v>
      </c>
      <c r="B14" s="12" t="s">
        <v>272</v>
      </c>
      <c r="C14" s="12" t="s">
        <v>273</v>
      </c>
      <c r="D14" s="12" t="s">
        <v>274</v>
      </c>
      <c r="E14" s="12" t="s">
        <v>30</v>
      </c>
      <c r="F14" s="12" t="s">
        <v>275</v>
      </c>
      <c r="G14" s="12" t="s">
        <v>92</v>
      </c>
      <c r="H14" s="12">
        <v>9</v>
      </c>
      <c r="I14" s="12">
        <v>183</v>
      </c>
      <c r="J14" s="12">
        <v>182.91</v>
      </c>
      <c r="K14" s="12">
        <v>63.97</v>
      </c>
      <c r="L14" s="12" t="s">
        <v>39</v>
      </c>
      <c r="M14" s="12" t="s">
        <v>35</v>
      </c>
      <c r="N14" s="12" t="s">
        <v>40</v>
      </c>
      <c r="O14" s="12">
        <v>1</v>
      </c>
      <c r="P14" s="12">
        <v>183</v>
      </c>
      <c r="Q14" s="12" t="s">
        <v>271</v>
      </c>
    </row>
    <row r="15" spans="1:17">
      <c r="A15" s="12" t="s">
        <v>71</v>
      </c>
      <c r="B15" s="12" t="s">
        <v>276</v>
      </c>
      <c r="C15" s="12" t="s">
        <v>277</v>
      </c>
      <c r="D15" s="12" t="s">
        <v>278</v>
      </c>
      <c r="E15" s="12" t="s">
        <v>30</v>
      </c>
      <c r="F15" s="12" t="s">
        <v>37</v>
      </c>
      <c r="G15" s="12" t="s">
        <v>38</v>
      </c>
      <c r="H15" s="12">
        <v>31</v>
      </c>
      <c r="I15" s="12">
        <v>1.22</v>
      </c>
      <c r="J15" s="12">
        <v>440.33</v>
      </c>
      <c r="K15" s="12"/>
      <c r="L15" s="12" t="s">
        <v>31</v>
      </c>
      <c r="M15" s="12" t="s">
        <v>35</v>
      </c>
      <c r="N15" s="12" t="s">
        <v>33</v>
      </c>
      <c r="O15" s="12">
        <v>200</v>
      </c>
      <c r="P15" s="12">
        <v>244</v>
      </c>
      <c r="Q15" s="12" t="s">
        <v>279</v>
      </c>
    </row>
    <row r="16" spans="1:17">
      <c r="A16" s="12" t="s">
        <v>44</v>
      </c>
      <c r="B16" s="12" t="s">
        <v>276</v>
      </c>
      <c r="C16" s="12" t="s">
        <v>277</v>
      </c>
      <c r="D16" s="12" t="s">
        <v>278</v>
      </c>
      <c r="E16" s="12" t="s">
        <v>30</v>
      </c>
      <c r="F16" s="12" t="s">
        <v>37</v>
      </c>
      <c r="G16" s="12" t="s">
        <v>38</v>
      </c>
      <c r="H16" s="12">
        <v>31</v>
      </c>
      <c r="I16" s="12">
        <v>1.22</v>
      </c>
      <c r="J16" s="12">
        <v>440.33</v>
      </c>
      <c r="K16" s="12"/>
      <c r="L16" s="12" t="s">
        <v>31</v>
      </c>
      <c r="M16" s="12" t="s">
        <v>32</v>
      </c>
      <c r="N16" s="12" t="s">
        <v>33</v>
      </c>
      <c r="O16" s="12">
        <v>1020</v>
      </c>
      <c r="P16" s="12">
        <v>1244.4000000000001</v>
      </c>
      <c r="Q16" s="12"/>
    </row>
    <row r="17" spans="1:17">
      <c r="A17" s="12" t="s">
        <v>72</v>
      </c>
      <c r="B17" s="12" t="s">
        <v>276</v>
      </c>
      <c r="C17" s="12" t="s">
        <v>280</v>
      </c>
      <c r="D17" s="12" t="s">
        <v>281</v>
      </c>
      <c r="E17" s="12" t="s">
        <v>30</v>
      </c>
      <c r="F17" s="12" t="s">
        <v>37</v>
      </c>
      <c r="G17" s="12" t="s">
        <v>38</v>
      </c>
      <c r="H17" s="12">
        <v>83</v>
      </c>
      <c r="I17" s="12">
        <v>4.55</v>
      </c>
      <c r="J17" s="12">
        <v>1175.51</v>
      </c>
      <c r="K17" s="12"/>
      <c r="L17" s="12" t="s">
        <v>31</v>
      </c>
      <c r="M17" s="12" t="s">
        <v>32</v>
      </c>
      <c r="N17" s="12" t="s">
        <v>33</v>
      </c>
      <c r="O17" s="12">
        <v>1020</v>
      </c>
      <c r="P17" s="12">
        <v>4641</v>
      </c>
      <c r="Q17" s="12"/>
    </row>
    <row r="18" spans="1:17">
      <c r="A18" s="12" t="s">
        <v>47</v>
      </c>
      <c r="B18" s="12" t="s">
        <v>282</v>
      </c>
      <c r="C18" s="12" t="s">
        <v>283</v>
      </c>
      <c r="D18" s="12" t="s">
        <v>284</v>
      </c>
      <c r="E18" s="12" t="s">
        <v>30</v>
      </c>
      <c r="F18" s="12" t="s">
        <v>37</v>
      </c>
      <c r="G18" s="12" t="s">
        <v>38</v>
      </c>
      <c r="H18" s="12">
        <v>23</v>
      </c>
      <c r="I18" s="12">
        <v>1.27</v>
      </c>
      <c r="J18" s="12">
        <v>459.23</v>
      </c>
      <c r="K18" s="12"/>
      <c r="L18" s="12" t="s">
        <v>31</v>
      </c>
      <c r="M18" s="12" t="s">
        <v>32</v>
      </c>
      <c r="N18" s="12" t="s">
        <v>33</v>
      </c>
      <c r="O18" s="12">
        <v>1020</v>
      </c>
      <c r="P18" s="12">
        <v>1295.4000000000001</v>
      </c>
      <c r="Q18" s="12"/>
    </row>
    <row r="19" spans="1:17">
      <c r="A19" s="12" t="s">
        <v>73</v>
      </c>
      <c r="B19" s="12" t="s">
        <v>282</v>
      </c>
      <c r="C19" s="12" t="s">
        <v>283</v>
      </c>
      <c r="D19" s="12" t="s">
        <v>284</v>
      </c>
      <c r="E19" s="12" t="s">
        <v>30</v>
      </c>
      <c r="F19" s="12" t="s">
        <v>37</v>
      </c>
      <c r="G19" s="12" t="s">
        <v>38</v>
      </c>
      <c r="H19" s="12">
        <v>23</v>
      </c>
      <c r="I19" s="12">
        <v>1.27</v>
      </c>
      <c r="J19" s="12">
        <v>459.23</v>
      </c>
      <c r="K19" s="12"/>
      <c r="L19" s="12" t="s">
        <v>31</v>
      </c>
      <c r="M19" s="12" t="s">
        <v>35</v>
      </c>
      <c r="N19" s="12" t="s">
        <v>33</v>
      </c>
      <c r="O19" s="12">
        <v>200</v>
      </c>
      <c r="P19" s="12">
        <v>262</v>
      </c>
      <c r="Q19" s="12" t="s">
        <v>56</v>
      </c>
    </row>
    <row r="20" spans="1:17">
      <c r="A20" s="12" t="s">
        <v>50</v>
      </c>
      <c r="B20" s="12" t="s">
        <v>285</v>
      </c>
      <c r="C20" s="12" t="s">
        <v>286</v>
      </c>
      <c r="D20" s="12" t="s">
        <v>287</v>
      </c>
      <c r="E20" s="12" t="s">
        <v>30</v>
      </c>
      <c r="F20" s="12" t="s">
        <v>288</v>
      </c>
      <c r="G20" s="12" t="s">
        <v>147</v>
      </c>
      <c r="H20" s="12">
        <v>25</v>
      </c>
      <c r="I20" s="12">
        <v>1</v>
      </c>
      <c r="J20" s="12">
        <v>338.28</v>
      </c>
      <c r="K20" s="12"/>
      <c r="L20" s="12" t="s">
        <v>31</v>
      </c>
      <c r="M20" s="12" t="s">
        <v>32</v>
      </c>
      <c r="N20" s="12" t="s">
        <v>33</v>
      </c>
      <c r="O20" s="12">
        <v>1040</v>
      </c>
      <c r="P20" s="12">
        <v>1040</v>
      </c>
      <c r="Q20" s="12"/>
    </row>
    <row r="21" spans="1:17">
      <c r="A21" s="12" t="s">
        <v>51</v>
      </c>
      <c r="B21" s="12" t="s">
        <v>285</v>
      </c>
      <c r="C21" s="12" t="s">
        <v>286</v>
      </c>
      <c r="D21" s="12" t="s">
        <v>287</v>
      </c>
      <c r="E21" s="12" t="s">
        <v>30</v>
      </c>
      <c r="F21" s="12" t="s">
        <v>288</v>
      </c>
      <c r="G21" s="12" t="s">
        <v>147</v>
      </c>
      <c r="H21" s="12">
        <v>25</v>
      </c>
      <c r="I21" s="12">
        <v>1</v>
      </c>
      <c r="J21" s="12">
        <v>338.28</v>
      </c>
      <c r="K21" s="12"/>
      <c r="L21" s="12" t="s">
        <v>31</v>
      </c>
      <c r="M21" s="12" t="s">
        <v>35</v>
      </c>
      <c r="N21" s="12" t="s">
        <v>33</v>
      </c>
      <c r="O21" s="12">
        <v>200</v>
      </c>
      <c r="P21" s="12">
        <v>200</v>
      </c>
      <c r="Q21" s="12" t="s">
        <v>56</v>
      </c>
    </row>
    <row r="22" spans="1:17">
      <c r="A22" s="12" t="s">
        <v>53</v>
      </c>
      <c r="B22" s="12" t="s">
        <v>285</v>
      </c>
      <c r="C22" s="12" t="s">
        <v>289</v>
      </c>
      <c r="D22" s="12" t="s">
        <v>290</v>
      </c>
      <c r="E22" s="12" t="s">
        <v>30</v>
      </c>
      <c r="F22" s="12" t="s">
        <v>270</v>
      </c>
      <c r="G22" s="12" t="s">
        <v>141</v>
      </c>
      <c r="H22" s="12">
        <v>15</v>
      </c>
      <c r="I22" s="12">
        <v>1</v>
      </c>
      <c r="J22" s="12">
        <v>215.87</v>
      </c>
      <c r="K22" s="12"/>
      <c r="L22" s="12" t="s">
        <v>31</v>
      </c>
      <c r="M22" s="12" t="s">
        <v>32</v>
      </c>
      <c r="N22" s="12" t="s">
        <v>33</v>
      </c>
      <c r="O22" s="12">
        <v>1040</v>
      </c>
      <c r="P22" s="12">
        <v>1040</v>
      </c>
      <c r="Q22" s="12"/>
    </row>
    <row r="23" spans="1:17">
      <c r="A23" s="12" t="s">
        <v>74</v>
      </c>
      <c r="B23" s="12" t="s">
        <v>285</v>
      </c>
      <c r="C23" s="12" t="s">
        <v>289</v>
      </c>
      <c r="D23" s="12" t="s">
        <v>290</v>
      </c>
      <c r="E23" s="12" t="s">
        <v>30</v>
      </c>
      <c r="F23" s="12" t="s">
        <v>270</v>
      </c>
      <c r="G23" s="12" t="s">
        <v>141</v>
      </c>
      <c r="H23" s="12">
        <v>15</v>
      </c>
      <c r="I23" s="12">
        <v>1</v>
      </c>
      <c r="J23" s="12">
        <v>215.87</v>
      </c>
      <c r="K23" s="12"/>
      <c r="L23" s="12" t="s">
        <v>31</v>
      </c>
      <c r="M23" s="12" t="s">
        <v>35</v>
      </c>
      <c r="N23" s="12" t="s">
        <v>33</v>
      </c>
      <c r="O23" s="12">
        <v>200</v>
      </c>
      <c r="P23" s="12">
        <v>200</v>
      </c>
      <c r="Q23" s="12" t="s">
        <v>56</v>
      </c>
    </row>
    <row r="24" spans="1:17" ht="14.5" thickBot="1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5" t="s">
        <v>57</v>
      </c>
      <c r="O24" s="14" t="s">
        <v>58</v>
      </c>
      <c r="P24" s="16">
        <f>SUM(P8:P23)</f>
        <v>17550.400000000001</v>
      </c>
      <c r="Q24" s="17"/>
    </row>
    <row r="25" spans="1:17" ht="18" customHeight="1">
      <c r="A25" s="41" t="s">
        <v>59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3"/>
    </row>
    <row r="26" spans="1:17" ht="15.5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18"/>
      <c r="N26" s="18"/>
      <c r="O26" s="18"/>
      <c r="P26" s="18"/>
      <c r="Q26" s="19"/>
    </row>
    <row r="27" spans="1:17" ht="18" customHeight="1">
      <c r="A27" s="29" t="s">
        <v>60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18"/>
      <c r="N27" s="18"/>
      <c r="O27" s="18"/>
      <c r="P27" s="18"/>
      <c r="Q27" s="20"/>
    </row>
    <row r="28" spans="1:17" ht="18" customHeight="1">
      <c r="A28" s="31" t="s">
        <v>61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18"/>
      <c r="N28" s="18"/>
      <c r="O28" s="18"/>
      <c r="P28" s="18"/>
      <c r="Q28" s="21"/>
    </row>
    <row r="29" spans="1:17" ht="18" customHeight="1">
      <c r="A29" s="29" t="s">
        <v>62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18"/>
      <c r="N29" s="18"/>
      <c r="O29" s="18"/>
      <c r="P29" s="18"/>
      <c r="Q29" s="20"/>
    </row>
    <row r="30" spans="1:17" ht="18" customHeight="1">
      <c r="A30" s="31" t="s">
        <v>63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18"/>
      <c r="N30" s="18"/>
      <c r="O30" s="18"/>
      <c r="P30" s="22"/>
      <c r="Q30" s="21"/>
    </row>
    <row r="31" spans="1:17" ht="18" customHeight="1">
      <c r="A31" s="31" t="s">
        <v>64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18"/>
      <c r="N31" s="18"/>
      <c r="O31" s="18"/>
      <c r="P31" s="22"/>
      <c r="Q31" s="21"/>
    </row>
    <row r="32" spans="1:17" ht="18" customHeight="1">
      <c r="A32" s="31" t="s">
        <v>291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18"/>
      <c r="N32" s="18"/>
      <c r="O32" s="18"/>
      <c r="P32" s="22"/>
      <c r="Q32" s="21"/>
    </row>
    <row r="33" spans="1:17" ht="18" customHeight="1">
      <c r="A33" s="31" t="s">
        <v>292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18"/>
      <c r="N33" s="18"/>
      <c r="O33" s="18"/>
      <c r="P33" s="22"/>
      <c r="Q33" s="21"/>
    </row>
    <row r="34" spans="1:17" ht="18" customHeight="1" thickBot="1">
      <c r="A34" s="33" t="s">
        <v>65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18"/>
      <c r="N34" s="18"/>
      <c r="O34" s="18"/>
      <c r="P34" s="22"/>
      <c r="Q34" s="21"/>
    </row>
    <row r="35" spans="1:17" ht="16" customHeight="1" thickBot="1">
      <c r="A35" s="27" t="s">
        <v>66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3"/>
      <c r="N35" s="23"/>
      <c r="O35" s="23"/>
      <c r="P35" s="24"/>
      <c r="Q35" s="25"/>
    </row>
  </sheetData>
  <autoFilter ref="A7:Q35" xr:uid="{00000000-0009-0000-0000-000000000000}"/>
  <mergeCells count="13">
    <mergeCell ref="A35:L35"/>
    <mergeCell ref="A29:L29"/>
    <mergeCell ref="A30:L30"/>
    <mergeCell ref="A31:L31"/>
    <mergeCell ref="A32:L32"/>
    <mergeCell ref="A33:L33"/>
    <mergeCell ref="A34:L34"/>
    <mergeCell ref="A1:Q1"/>
    <mergeCell ref="A2:Q2"/>
    <mergeCell ref="A25:Q25"/>
    <mergeCell ref="A26:L26"/>
    <mergeCell ref="A27:L27"/>
    <mergeCell ref="A28:L28"/>
  </mergeCells>
  <phoneticPr fontId="3" type="noConversion"/>
  <pageMargins left="0.75" right="0.75" top="1" bottom="1" header="0.5" footer="0.5"/>
  <pageSetup paperSize="9" scale="54" fitToWidth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0AD9-F077-4EF7-B797-4599DE2F64A8}">
  <sheetPr>
    <pageSetUpPr fitToPage="1"/>
  </sheetPr>
  <dimension ref="A1:Q28"/>
  <sheetViews>
    <sheetView workbookViewId="0">
      <selection activeCell="A19" sqref="A19:L19"/>
    </sheetView>
  </sheetViews>
  <sheetFormatPr defaultColWidth="8.25" defaultRowHeight="14"/>
  <cols>
    <col min="1" max="1" width="9.83203125" style="4" customWidth="1"/>
    <col min="2" max="2" width="23.58203125" style="4" customWidth="1"/>
    <col min="3" max="3" width="17.75" style="4" customWidth="1"/>
    <col min="4" max="4" width="12.9140625" style="4" customWidth="1"/>
    <col min="5" max="5" width="19.6640625" style="4" customWidth="1"/>
    <col min="6" max="6" width="10.5" style="4" customWidth="1"/>
    <col min="7" max="7" width="10.1640625" style="4" customWidth="1"/>
    <col min="8" max="8" width="5.1640625" style="4" customWidth="1"/>
    <col min="9" max="9" width="8.33203125" style="4" customWidth="1"/>
    <col min="10" max="10" width="6.83203125" style="4" customWidth="1"/>
    <col min="11" max="11" width="7.1640625" style="4" customWidth="1"/>
    <col min="12" max="12" width="13.75" style="4" customWidth="1"/>
    <col min="13" max="13" width="10" style="4" customWidth="1"/>
    <col min="14" max="14" width="7.58203125" style="4" customWidth="1"/>
    <col min="15" max="15" width="10.33203125" style="4" customWidth="1"/>
    <col min="16" max="16" width="17.33203125" style="4" customWidth="1"/>
    <col min="17" max="17" width="12.9140625" style="1" customWidth="1"/>
    <col min="18" max="16384" width="8.25" style="1"/>
  </cols>
  <sheetData>
    <row r="1" spans="1:17" ht="89" customHeight="1">
      <c r="A1" s="35" t="s">
        <v>67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7"/>
    </row>
    <row r="2" spans="1:17" ht="25.5">
      <c r="A2" s="38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40"/>
    </row>
    <row r="3" spans="1:17" ht="18" customHeight="1">
      <c r="A3" s="2" t="s">
        <v>2</v>
      </c>
      <c r="B3" s="3" t="s">
        <v>256</v>
      </c>
      <c r="C3" s="3"/>
      <c r="D3" s="3"/>
      <c r="E3" s="3"/>
      <c r="F3" s="3"/>
      <c r="G3" s="3"/>
      <c r="H3" s="3"/>
      <c r="I3" s="3"/>
      <c r="J3" s="3"/>
      <c r="K3" s="3"/>
      <c r="N3" s="3"/>
      <c r="O3" s="5" t="s">
        <v>3</v>
      </c>
      <c r="P3" s="3" t="s">
        <v>4</v>
      </c>
      <c r="Q3" s="6"/>
    </row>
    <row r="4" spans="1:17" ht="18" customHeight="1">
      <c r="A4" s="2" t="s">
        <v>5</v>
      </c>
      <c r="B4" s="3" t="s">
        <v>6</v>
      </c>
      <c r="C4" s="3"/>
      <c r="D4" s="3"/>
      <c r="E4" s="3"/>
      <c r="F4" s="3"/>
      <c r="G4" s="3"/>
      <c r="H4" s="3"/>
      <c r="I4" s="3"/>
      <c r="J4" s="3"/>
      <c r="K4" s="3"/>
      <c r="N4" s="3"/>
      <c r="O4" s="5" t="s">
        <v>7</v>
      </c>
      <c r="P4" s="3" t="s">
        <v>257</v>
      </c>
      <c r="Q4" s="6"/>
    </row>
    <row r="5" spans="1:17" ht="18" customHeight="1">
      <c r="A5" s="2" t="s">
        <v>8</v>
      </c>
      <c r="B5" s="3" t="s">
        <v>9</v>
      </c>
      <c r="C5" s="3"/>
      <c r="D5" s="3"/>
      <c r="E5" s="3"/>
      <c r="F5" s="3"/>
      <c r="G5" s="3"/>
      <c r="H5" s="3"/>
      <c r="I5" s="3"/>
      <c r="J5" s="3"/>
      <c r="K5" s="3"/>
      <c r="N5" s="3"/>
      <c r="O5" s="5" t="s">
        <v>10</v>
      </c>
      <c r="P5" s="3" t="s">
        <v>258</v>
      </c>
      <c r="Q5" s="6"/>
    </row>
    <row r="6" spans="1:17" ht="18" customHeight="1" thickBot="1">
      <c r="A6" s="2" t="s">
        <v>11</v>
      </c>
      <c r="B6" s="3" t="s">
        <v>259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8"/>
    </row>
    <row r="7" spans="1:17" ht="20" customHeight="1">
      <c r="A7" s="9" t="s">
        <v>12</v>
      </c>
      <c r="B7" s="10" t="s">
        <v>13</v>
      </c>
      <c r="C7" s="10" t="s">
        <v>14</v>
      </c>
      <c r="D7" s="10" t="s">
        <v>15</v>
      </c>
      <c r="E7" s="10" t="s">
        <v>16</v>
      </c>
      <c r="F7" s="10" t="s">
        <v>17</v>
      </c>
      <c r="G7" s="10" t="s">
        <v>18</v>
      </c>
      <c r="H7" s="10" t="s">
        <v>19</v>
      </c>
      <c r="I7" s="10" t="s">
        <v>20</v>
      </c>
      <c r="J7" s="10" t="s">
        <v>21</v>
      </c>
      <c r="K7" s="10" t="s">
        <v>22</v>
      </c>
      <c r="L7" s="10" t="s">
        <v>23</v>
      </c>
      <c r="M7" s="10" t="s">
        <v>24</v>
      </c>
      <c r="N7" s="10" t="s">
        <v>25</v>
      </c>
      <c r="O7" s="10" t="s">
        <v>26</v>
      </c>
      <c r="P7" s="10" t="s">
        <v>27</v>
      </c>
      <c r="Q7" s="11" t="s">
        <v>28</v>
      </c>
    </row>
    <row r="8" spans="1:17">
      <c r="A8" s="12" t="s">
        <v>36</v>
      </c>
      <c r="B8" s="12" t="s">
        <v>260</v>
      </c>
      <c r="C8" s="12" t="s">
        <v>261</v>
      </c>
      <c r="D8" s="12" t="s">
        <v>262</v>
      </c>
      <c r="E8" s="12" t="s">
        <v>30</v>
      </c>
      <c r="F8" s="12" t="s">
        <v>48</v>
      </c>
      <c r="G8" s="12" t="s">
        <v>49</v>
      </c>
      <c r="H8" s="12">
        <v>28</v>
      </c>
      <c r="I8" s="12">
        <v>1.29</v>
      </c>
      <c r="J8" s="12">
        <v>465.78</v>
      </c>
      <c r="K8" s="12"/>
      <c r="L8" s="12" t="s">
        <v>31</v>
      </c>
      <c r="M8" s="12" t="s">
        <v>69</v>
      </c>
      <c r="N8" s="12" t="s">
        <v>70</v>
      </c>
      <c r="O8" s="12">
        <v>180</v>
      </c>
      <c r="P8" s="12">
        <v>180</v>
      </c>
      <c r="Q8" s="12" t="s">
        <v>30</v>
      </c>
    </row>
    <row r="9" spans="1:17">
      <c r="A9" s="12" t="s">
        <v>41</v>
      </c>
      <c r="B9" s="12" t="s">
        <v>263</v>
      </c>
      <c r="C9" s="12" t="s">
        <v>264</v>
      </c>
      <c r="D9" s="12" t="s">
        <v>265</v>
      </c>
      <c r="E9" s="12" t="s">
        <v>30</v>
      </c>
      <c r="F9" s="12" t="s">
        <v>266</v>
      </c>
      <c r="G9" s="12" t="s">
        <v>185</v>
      </c>
      <c r="H9" s="12">
        <v>47</v>
      </c>
      <c r="I9" s="12">
        <v>2.06</v>
      </c>
      <c r="J9" s="12">
        <v>631.64</v>
      </c>
      <c r="K9" s="12"/>
      <c r="L9" s="12" t="s">
        <v>46</v>
      </c>
      <c r="M9" s="12" t="s">
        <v>69</v>
      </c>
      <c r="N9" s="12" t="s">
        <v>70</v>
      </c>
      <c r="O9" s="12">
        <v>180</v>
      </c>
      <c r="P9" s="12">
        <v>180</v>
      </c>
      <c r="Q9" s="12" t="s">
        <v>30</v>
      </c>
    </row>
    <row r="10" spans="1:17">
      <c r="A10" s="12" t="s">
        <v>43</v>
      </c>
      <c r="B10" s="12" t="s">
        <v>267</v>
      </c>
      <c r="C10" s="12" t="s">
        <v>268</v>
      </c>
      <c r="D10" s="12" t="s">
        <v>269</v>
      </c>
      <c r="E10" s="12" t="s">
        <v>30</v>
      </c>
      <c r="F10" s="12" t="s">
        <v>270</v>
      </c>
      <c r="G10" s="12" t="s">
        <v>141</v>
      </c>
      <c r="H10" s="12">
        <v>11</v>
      </c>
      <c r="I10" s="12">
        <v>163</v>
      </c>
      <c r="J10" s="12">
        <v>162.38999999999999</v>
      </c>
      <c r="K10" s="12">
        <v>61.72</v>
      </c>
      <c r="L10" s="12" t="s">
        <v>39</v>
      </c>
      <c r="M10" s="12" t="s">
        <v>69</v>
      </c>
      <c r="N10" s="12" t="s">
        <v>70</v>
      </c>
      <c r="O10" s="12">
        <v>180</v>
      </c>
      <c r="P10" s="12">
        <v>180</v>
      </c>
      <c r="Q10" s="12" t="s">
        <v>30</v>
      </c>
    </row>
    <row r="11" spans="1:17">
      <c r="A11" s="12" t="s">
        <v>72</v>
      </c>
      <c r="B11" s="12" t="s">
        <v>272</v>
      </c>
      <c r="C11" s="12" t="s">
        <v>273</v>
      </c>
      <c r="D11" s="12" t="s">
        <v>274</v>
      </c>
      <c r="E11" s="12" t="s">
        <v>30</v>
      </c>
      <c r="F11" s="12" t="s">
        <v>275</v>
      </c>
      <c r="G11" s="12" t="s">
        <v>92</v>
      </c>
      <c r="H11" s="12">
        <v>9</v>
      </c>
      <c r="I11" s="12">
        <v>183</v>
      </c>
      <c r="J11" s="12">
        <v>182.91</v>
      </c>
      <c r="K11" s="12">
        <v>63.97</v>
      </c>
      <c r="L11" s="12" t="s">
        <v>39</v>
      </c>
      <c r="M11" s="12" t="s">
        <v>69</v>
      </c>
      <c r="N11" s="12" t="s">
        <v>70</v>
      </c>
      <c r="O11" s="12">
        <v>180</v>
      </c>
      <c r="P11" s="12">
        <v>180</v>
      </c>
      <c r="Q11" s="12" t="s">
        <v>30</v>
      </c>
    </row>
    <row r="12" spans="1:17">
      <c r="A12" s="12" t="s">
        <v>51</v>
      </c>
      <c r="B12" s="12" t="s">
        <v>276</v>
      </c>
      <c r="C12" s="12" t="s">
        <v>277</v>
      </c>
      <c r="D12" s="12" t="s">
        <v>278</v>
      </c>
      <c r="E12" s="12" t="s">
        <v>30</v>
      </c>
      <c r="F12" s="12" t="s">
        <v>37</v>
      </c>
      <c r="G12" s="12" t="s">
        <v>38</v>
      </c>
      <c r="H12" s="12">
        <v>31</v>
      </c>
      <c r="I12" s="12">
        <v>1.22</v>
      </c>
      <c r="J12" s="12">
        <v>440.33</v>
      </c>
      <c r="K12" s="12"/>
      <c r="L12" s="12" t="s">
        <v>31</v>
      </c>
      <c r="M12" s="12" t="s">
        <v>69</v>
      </c>
      <c r="N12" s="12" t="s">
        <v>70</v>
      </c>
      <c r="O12" s="12">
        <v>180</v>
      </c>
      <c r="P12" s="12">
        <v>180</v>
      </c>
      <c r="Q12" s="12" t="s">
        <v>30</v>
      </c>
    </row>
    <row r="13" spans="1:17">
      <c r="A13" s="12" t="s">
        <v>54</v>
      </c>
      <c r="B13" s="12" t="s">
        <v>282</v>
      </c>
      <c r="C13" s="12" t="s">
        <v>283</v>
      </c>
      <c r="D13" s="12" t="s">
        <v>284</v>
      </c>
      <c r="E13" s="12" t="s">
        <v>30</v>
      </c>
      <c r="F13" s="12" t="s">
        <v>37</v>
      </c>
      <c r="G13" s="12" t="s">
        <v>38</v>
      </c>
      <c r="H13" s="12">
        <v>23</v>
      </c>
      <c r="I13" s="12">
        <v>1.27</v>
      </c>
      <c r="J13" s="12">
        <v>459.23</v>
      </c>
      <c r="K13" s="12"/>
      <c r="L13" s="12" t="s">
        <v>31</v>
      </c>
      <c r="M13" s="12" t="s">
        <v>69</v>
      </c>
      <c r="N13" s="12" t="s">
        <v>70</v>
      </c>
      <c r="O13" s="12">
        <v>180</v>
      </c>
      <c r="P13" s="12">
        <v>180</v>
      </c>
      <c r="Q13" s="12" t="s">
        <v>30</v>
      </c>
    </row>
    <row r="14" spans="1:17">
      <c r="A14" s="12" t="s">
        <v>55</v>
      </c>
      <c r="B14" s="12" t="s">
        <v>285</v>
      </c>
      <c r="C14" s="12" t="s">
        <v>286</v>
      </c>
      <c r="D14" s="12" t="s">
        <v>287</v>
      </c>
      <c r="E14" s="12" t="s">
        <v>30</v>
      </c>
      <c r="F14" s="12" t="s">
        <v>288</v>
      </c>
      <c r="G14" s="12" t="s">
        <v>147</v>
      </c>
      <c r="H14" s="12">
        <v>25</v>
      </c>
      <c r="I14" s="12">
        <v>1</v>
      </c>
      <c r="J14" s="12">
        <v>338.28</v>
      </c>
      <c r="K14" s="12"/>
      <c r="L14" s="12" t="s">
        <v>31</v>
      </c>
      <c r="M14" s="12" t="s">
        <v>69</v>
      </c>
      <c r="N14" s="12" t="s">
        <v>70</v>
      </c>
      <c r="O14" s="12">
        <v>180</v>
      </c>
      <c r="P14" s="12">
        <v>180</v>
      </c>
      <c r="Q14" s="12" t="s">
        <v>30</v>
      </c>
    </row>
    <row r="15" spans="1:17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5" t="s">
        <v>57</v>
      </c>
      <c r="O15" s="14" t="s">
        <v>58</v>
      </c>
      <c r="P15" s="16">
        <f>SUM(P8:P14)</f>
        <v>1260</v>
      </c>
      <c r="Q15" s="17"/>
    </row>
    <row r="16" spans="1:17" ht="18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14" t="s">
        <v>75</v>
      </c>
      <c r="P16" s="16">
        <f>P15*0.06</f>
        <v>75.599999999999994</v>
      </c>
      <c r="Q16" s="26"/>
    </row>
    <row r="17" spans="1:17" ht="18" customHeight="1" thickBot="1">
      <c r="A17" s="132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4" t="s">
        <v>76</v>
      </c>
      <c r="P17" s="16">
        <f>P15+P16</f>
        <v>1335.6</v>
      </c>
      <c r="Q17" s="134"/>
    </row>
    <row r="18" spans="1:17" ht="18" customHeight="1">
      <c r="A18" s="41" t="s">
        <v>59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</row>
    <row r="19" spans="1:17" ht="15.5">
      <c r="A19" s="44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18"/>
      <c r="N19" s="18"/>
      <c r="O19" s="18"/>
      <c r="P19" s="18"/>
      <c r="Q19" s="19"/>
    </row>
    <row r="20" spans="1:17" ht="18" customHeight="1">
      <c r="A20" s="29" t="s">
        <v>60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18"/>
      <c r="N20" s="18"/>
      <c r="O20" s="18"/>
      <c r="P20" s="18"/>
      <c r="Q20" s="20"/>
    </row>
    <row r="21" spans="1:17" ht="18" customHeight="1">
      <c r="A21" s="31" t="s">
        <v>61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18"/>
      <c r="N21" s="18"/>
      <c r="O21" s="18"/>
      <c r="P21" s="18"/>
      <c r="Q21" s="21"/>
    </row>
    <row r="22" spans="1:17" ht="18" customHeight="1">
      <c r="A22" s="29" t="s">
        <v>77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18"/>
      <c r="N22" s="18"/>
      <c r="O22" s="18"/>
      <c r="P22" s="18"/>
      <c r="Q22" s="20"/>
    </row>
    <row r="23" spans="1:17" ht="18" customHeight="1">
      <c r="A23" s="31" t="s">
        <v>63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18"/>
      <c r="N23" s="18"/>
      <c r="O23" s="18"/>
      <c r="P23" s="22"/>
      <c r="Q23" s="21"/>
    </row>
    <row r="24" spans="1:17" ht="18" customHeight="1">
      <c r="A24" s="31" t="s">
        <v>64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18"/>
      <c r="N24" s="18"/>
      <c r="O24" s="18"/>
      <c r="P24" s="22"/>
      <c r="Q24" s="21"/>
    </row>
    <row r="25" spans="1:17" ht="18" customHeight="1">
      <c r="A25" s="31" t="s">
        <v>291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18"/>
      <c r="N25" s="18"/>
      <c r="O25" s="18"/>
      <c r="P25" s="22"/>
      <c r="Q25" s="21"/>
    </row>
    <row r="26" spans="1:17" ht="18" customHeight="1">
      <c r="A26" s="31" t="s">
        <v>292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18"/>
      <c r="N26" s="18"/>
      <c r="O26" s="18"/>
      <c r="P26" s="22"/>
      <c r="Q26" s="21"/>
    </row>
    <row r="27" spans="1:17" ht="18" customHeight="1" thickBot="1">
      <c r="A27" s="33" t="s">
        <v>65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18"/>
      <c r="N27" s="18"/>
      <c r="O27" s="18"/>
      <c r="P27" s="22"/>
      <c r="Q27" s="21"/>
    </row>
    <row r="28" spans="1:17" ht="16" customHeight="1" thickBot="1">
      <c r="A28" s="27" t="s">
        <v>66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3"/>
      <c r="N28" s="23"/>
      <c r="O28" s="23"/>
      <c r="P28" s="24"/>
      <c r="Q28" s="25"/>
    </row>
  </sheetData>
  <autoFilter ref="A7:Q28" xr:uid="{00000000-0009-0000-0000-000001000000}"/>
  <mergeCells count="13">
    <mergeCell ref="A28:L28"/>
    <mergeCell ref="A22:L22"/>
    <mergeCell ref="A23:L23"/>
    <mergeCell ref="A24:L24"/>
    <mergeCell ref="A25:L25"/>
    <mergeCell ref="A26:L26"/>
    <mergeCell ref="A27:L27"/>
    <mergeCell ref="A1:Q1"/>
    <mergeCell ref="A2:Q2"/>
    <mergeCell ref="A18:Q18"/>
    <mergeCell ref="A19:L19"/>
    <mergeCell ref="A20:L20"/>
    <mergeCell ref="A21:L21"/>
  </mergeCells>
  <phoneticPr fontId="3" type="noConversion"/>
  <pageMargins left="0.75" right="0.75" top="1" bottom="1" header="0.5" footer="0.5"/>
  <pageSetup paperSize="9" scale="54" fitToWidth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5A7BF-6367-4E2C-87B4-70E60BAD4508}">
  <dimension ref="A1:V34"/>
  <sheetViews>
    <sheetView topLeftCell="E1" workbookViewId="0">
      <selection activeCell="O21" sqref="O21"/>
    </sheetView>
  </sheetViews>
  <sheetFormatPr defaultColWidth="8.25" defaultRowHeight="14"/>
  <cols>
    <col min="1" max="2" width="12.33203125" style="1" customWidth="1"/>
    <col min="3" max="4" width="13.1640625" style="1" customWidth="1"/>
    <col min="5" max="5" width="12.33203125" style="1" customWidth="1"/>
    <col min="6" max="6" width="6.83203125" style="1" customWidth="1"/>
    <col min="7" max="7" width="19.6640625" style="1" customWidth="1"/>
    <col min="8" max="8" width="7.4140625" style="1" customWidth="1"/>
    <col min="9" max="9" width="7.33203125" style="1" customWidth="1"/>
    <col min="10" max="10" width="7.5" style="1" customWidth="1"/>
    <col min="11" max="11" width="7.75" style="1" customWidth="1"/>
    <col min="12" max="13" width="6.9140625" style="1" customWidth="1"/>
    <col min="14" max="14" width="7.33203125" style="1" customWidth="1"/>
    <col min="15" max="15" width="8.25" style="1" customWidth="1"/>
    <col min="16" max="17" width="8.25" style="141" customWidth="1"/>
    <col min="18" max="18" width="8.25" style="1" customWidth="1"/>
    <col min="19" max="19" width="49.5" style="1" customWidth="1"/>
    <col min="20" max="20" width="11.83203125" style="141" customWidth="1"/>
    <col min="21" max="21" width="18.6640625" style="1" customWidth="1"/>
    <col min="22" max="22" width="8.25" style="1" customWidth="1"/>
    <col min="23" max="16384" width="8.25" style="1"/>
  </cols>
  <sheetData>
    <row r="1" spans="1:22" ht="44" customHeight="1">
      <c r="A1" s="135" t="s">
        <v>293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6"/>
      <c r="Q1" s="136"/>
      <c r="R1" s="135"/>
      <c r="S1" s="135"/>
      <c r="T1" s="136"/>
      <c r="U1" s="135"/>
    </row>
    <row r="2" spans="1:22" ht="37" customHeight="1">
      <c r="A2" s="135" t="s">
        <v>294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6"/>
      <c r="Q2" s="136"/>
      <c r="R2" s="135"/>
      <c r="S2" s="135"/>
      <c r="T2" s="136"/>
      <c r="U2" s="135"/>
    </row>
    <row r="3" spans="1:22" ht="29" customHeight="1">
      <c r="A3" s="137" t="s">
        <v>295</v>
      </c>
      <c r="B3" s="137"/>
      <c r="C3" s="138" t="s">
        <v>30</v>
      </c>
      <c r="D3" s="138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40"/>
      <c r="Q3" s="140"/>
      <c r="R3" s="139"/>
      <c r="S3" s="139"/>
    </row>
    <row r="4" spans="1:22" ht="36" customHeight="1">
      <c r="A4" s="142" t="s">
        <v>12</v>
      </c>
      <c r="B4" s="142" t="s">
        <v>296</v>
      </c>
      <c r="C4" s="143" t="s">
        <v>15</v>
      </c>
      <c r="D4" s="144" t="s">
        <v>297</v>
      </c>
      <c r="E4" s="144" t="s">
        <v>298</v>
      </c>
      <c r="F4" s="145" t="s">
        <v>299</v>
      </c>
      <c r="G4" s="146" t="s">
        <v>300</v>
      </c>
      <c r="H4" s="147" t="s">
        <v>301</v>
      </c>
      <c r="I4" s="147" t="s">
        <v>302</v>
      </c>
      <c r="J4" s="148" t="s">
        <v>303</v>
      </c>
      <c r="K4" s="149" t="s">
        <v>19</v>
      </c>
      <c r="L4" s="150" t="s">
        <v>21</v>
      </c>
      <c r="M4" s="150" t="s">
        <v>304</v>
      </c>
      <c r="N4" s="150" t="s">
        <v>20</v>
      </c>
      <c r="O4" s="151" t="s">
        <v>94</v>
      </c>
      <c r="P4" s="152" t="s">
        <v>96</v>
      </c>
      <c r="Q4" s="152" t="s">
        <v>305</v>
      </c>
      <c r="R4" s="153" t="s">
        <v>306</v>
      </c>
      <c r="S4" s="152" t="s">
        <v>307</v>
      </c>
      <c r="T4" s="152" t="s">
        <v>308</v>
      </c>
      <c r="U4" s="154" t="s">
        <v>309</v>
      </c>
    </row>
    <row r="5" spans="1:22" ht="14.4" customHeight="1">
      <c r="A5" s="155">
        <v>1</v>
      </c>
      <c r="B5" s="155" t="s">
        <v>310</v>
      </c>
      <c r="C5" s="155" t="s">
        <v>311</v>
      </c>
      <c r="D5" s="155" t="s">
        <v>311</v>
      </c>
      <c r="E5" s="155" t="s">
        <v>312</v>
      </c>
      <c r="F5" s="155" t="s">
        <v>313</v>
      </c>
      <c r="G5" s="155" t="s">
        <v>314</v>
      </c>
      <c r="H5" s="155" t="s">
        <v>91</v>
      </c>
      <c r="I5" s="155" t="s">
        <v>315</v>
      </c>
      <c r="J5" s="155" t="s">
        <v>200</v>
      </c>
      <c r="K5" s="155">
        <v>20</v>
      </c>
      <c r="L5" s="155">
        <v>342.35</v>
      </c>
      <c r="M5" s="155">
        <v>473.45800000000003</v>
      </c>
      <c r="N5" s="155">
        <v>474</v>
      </c>
      <c r="O5" s="155">
        <v>2844</v>
      </c>
      <c r="P5" s="156">
        <v>200</v>
      </c>
      <c r="Q5" s="156"/>
      <c r="R5" s="155" t="s">
        <v>316</v>
      </c>
      <c r="S5" s="155" t="s">
        <v>317</v>
      </c>
      <c r="T5" s="156">
        <f>O5+P5+Q5</f>
        <v>3044</v>
      </c>
      <c r="U5" s="1" t="s">
        <v>318</v>
      </c>
      <c r="V5" s="1" t="s">
        <v>318</v>
      </c>
    </row>
    <row r="6" spans="1:22" ht="14.4" customHeight="1">
      <c r="A6" s="155">
        <v>2</v>
      </c>
      <c r="B6" s="155" t="s">
        <v>319</v>
      </c>
      <c r="C6" s="155" t="s">
        <v>320</v>
      </c>
      <c r="D6" s="155" t="s">
        <v>320</v>
      </c>
      <c r="E6" s="155" t="s">
        <v>321</v>
      </c>
      <c r="F6" s="155" t="s">
        <v>313</v>
      </c>
      <c r="G6" s="155" t="s">
        <v>322</v>
      </c>
      <c r="H6" s="155" t="s">
        <v>125</v>
      </c>
      <c r="I6" s="155" t="s">
        <v>323</v>
      </c>
      <c r="J6" s="155" t="s">
        <v>324</v>
      </c>
      <c r="K6" s="155">
        <v>10</v>
      </c>
      <c r="L6" s="155">
        <v>136.32</v>
      </c>
      <c r="M6" s="155">
        <v>76.840999999999994</v>
      </c>
      <c r="N6" s="155">
        <v>137</v>
      </c>
      <c r="O6" s="155">
        <v>822</v>
      </c>
      <c r="P6" s="156">
        <v>200</v>
      </c>
      <c r="Q6" s="156"/>
      <c r="R6" s="155" t="s">
        <v>316</v>
      </c>
      <c r="S6" s="155" t="s">
        <v>325</v>
      </c>
      <c r="T6" s="156">
        <f t="shared" ref="T6:T19" si="0">O6+P6+Q6</f>
        <v>1022</v>
      </c>
      <c r="U6" s="1" t="s">
        <v>318</v>
      </c>
      <c r="V6" s="1" t="s">
        <v>318</v>
      </c>
    </row>
    <row r="7" spans="1:22" ht="14.4" customHeight="1">
      <c r="A7" s="155">
        <v>3</v>
      </c>
      <c r="B7" s="155" t="s">
        <v>326</v>
      </c>
      <c r="C7" s="155" t="s">
        <v>327</v>
      </c>
      <c r="D7" s="155" t="s">
        <v>327</v>
      </c>
      <c r="E7" s="155" t="s">
        <v>328</v>
      </c>
      <c r="F7" s="155" t="s">
        <v>313</v>
      </c>
      <c r="G7" s="155" t="s">
        <v>329</v>
      </c>
      <c r="H7" s="155" t="s">
        <v>91</v>
      </c>
      <c r="I7" s="155" t="s">
        <v>45</v>
      </c>
      <c r="J7" s="155" t="s">
        <v>330</v>
      </c>
      <c r="K7" s="155">
        <v>16</v>
      </c>
      <c r="L7" s="155">
        <v>211.5</v>
      </c>
      <c r="M7" s="155">
        <v>126.29600000000001</v>
      </c>
      <c r="N7" s="155">
        <v>212</v>
      </c>
      <c r="O7" s="155">
        <v>657.2</v>
      </c>
      <c r="P7" s="156">
        <v>200</v>
      </c>
      <c r="Q7" s="156"/>
      <c r="R7" s="155" t="s">
        <v>316</v>
      </c>
      <c r="S7" s="155" t="s">
        <v>331</v>
      </c>
      <c r="T7" s="156">
        <f t="shared" si="0"/>
        <v>857.2</v>
      </c>
      <c r="U7" s="1" t="s">
        <v>318</v>
      </c>
      <c r="V7" s="1" t="s">
        <v>318</v>
      </c>
    </row>
    <row r="8" spans="1:22" ht="14.4" customHeight="1">
      <c r="A8" s="155">
        <v>4</v>
      </c>
      <c r="B8" s="155" t="s">
        <v>332</v>
      </c>
      <c r="C8" s="155" t="s">
        <v>333</v>
      </c>
      <c r="D8" s="155" t="s">
        <v>333</v>
      </c>
      <c r="E8" s="155" t="s">
        <v>334</v>
      </c>
      <c r="F8" s="155" t="s">
        <v>313</v>
      </c>
      <c r="G8" s="155" t="s">
        <v>329</v>
      </c>
      <c r="H8" s="155" t="s">
        <v>91</v>
      </c>
      <c r="I8" s="155" t="s">
        <v>52</v>
      </c>
      <c r="J8" s="155" t="s">
        <v>335</v>
      </c>
      <c r="K8" s="155">
        <v>8</v>
      </c>
      <c r="L8" s="155">
        <v>103.25</v>
      </c>
      <c r="M8" s="155">
        <v>58.944000000000003</v>
      </c>
      <c r="N8" s="155">
        <v>104</v>
      </c>
      <c r="O8" s="155">
        <v>426.4</v>
      </c>
      <c r="P8" s="156">
        <v>11.5942028985507</v>
      </c>
      <c r="Q8" s="156"/>
      <c r="R8" s="155" t="s">
        <v>316</v>
      </c>
      <c r="S8" s="155" t="s">
        <v>336</v>
      </c>
      <c r="T8" s="156">
        <f t="shared" si="0"/>
        <v>437.99420289855067</v>
      </c>
      <c r="U8" s="157" t="s">
        <v>337</v>
      </c>
    </row>
    <row r="9" spans="1:22" ht="14.4" customHeight="1">
      <c r="A9" s="155">
        <v>5</v>
      </c>
      <c r="B9" s="155" t="s">
        <v>332</v>
      </c>
      <c r="C9" s="155" t="s">
        <v>338</v>
      </c>
      <c r="D9" s="155" t="s">
        <v>338</v>
      </c>
      <c r="E9" s="155" t="s">
        <v>339</v>
      </c>
      <c r="F9" s="155" t="s">
        <v>313</v>
      </c>
      <c r="G9" s="155" t="s">
        <v>329</v>
      </c>
      <c r="H9" s="155" t="s">
        <v>91</v>
      </c>
      <c r="I9" s="155" t="s">
        <v>38</v>
      </c>
      <c r="J9" s="155" t="s">
        <v>340</v>
      </c>
      <c r="K9" s="155">
        <v>22</v>
      </c>
      <c r="L9" s="155">
        <v>352.05</v>
      </c>
      <c r="M9" s="155">
        <v>263.84899999999999</v>
      </c>
      <c r="N9" s="155">
        <v>353</v>
      </c>
      <c r="O9" s="155">
        <v>1517.9</v>
      </c>
      <c r="P9" s="156">
        <v>31.884057971014499</v>
      </c>
      <c r="Q9" s="156"/>
      <c r="R9" s="155" t="s">
        <v>316</v>
      </c>
      <c r="S9" s="155" t="s">
        <v>341</v>
      </c>
      <c r="T9" s="156">
        <f t="shared" si="0"/>
        <v>1549.7840579710146</v>
      </c>
      <c r="U9" s="155" t="s">
        <v>30</v>
      </c>
    </row>
    <row r="10" spans="1:22" ht="14.4" customHeight="1">
      <c r="A10" s="155">
        <v>6</v>
      </c>
      <c r="B10" s="155" t="s">
        <v>332</v>
      </c>
      <c r="C10" s="155" t="s">
        <v>342</v>
      </c>
      <c r="D10" s="155" t="s">
        <v>342</v>
      </c>
      <c r="E10" s="155" t="s">
        <v>343</v>
      </c>
      <c r="F10" s="155" t="s">
        <v>313</v>
      </c>
      <c r="G10" s="155" t="s">
        <v>329</v>
      </c>
      <c r="H10" s="155" t="s">
        <v>91</v>
      </c>
      <c r="I10" s="155" t="s">
        <v>218</v>
      </c>
      <c r="J10" s="155" t="s">
        <v>344</v>
      </c>
      <c r="K10" s="155">
        <v>108</v>
      </c>
      <c r="L10" s="155">
        <v>1714.63</v>
      </c>
      <c r="M10" s="155">
        <v>1292.0989999999999</v>
      </c>
      <c r="N10" s="155">
        <v>1715</v>
      </c>
      <c r="O10" s="155">
        <v>7203</v>
      </c>
      <c r="P10" s="156">
        <v>156.52173913043501</v>
      </c>
      <c r="Q10" s="156"/>
      <c r="R10" s="155" t="s">
        <v>316</v>
      </c>
      <c r="S10" s="155" t="s">
        <v>345</v>
      </c>
      <c r="T10" s="156">
        <f t="shared" si="0"/>
        <v>7359.521739130435</v>
      </c>
      <c r="U10" s="155" t="s">
        <v>30</v>
      </c>
    </row>
    <row r="11" spans="1:22" ht="14.4" customHeight="1">
      <c r="A11" s="155">
        <v>7</v>
      </c>
      <c r="B11" s="155" t="s">
        <v>326</v>
      </c>
      <c r="C11" s="155" t="s">
        <v>346</v>
      </c>
      <c r="D11" s="155" t="s">
        <v>346</v>
      </c>
      <c r="E11" s="155" t="s">
        <v>347</v>
      </c>
      <c r="F11" s="155" t="s">
        <v>313</v>
      </c>
      <c r="G11" s="155" t="s">
        <v>348</v>
      </c>
      <c r="H11" s="155" t="s">
        <v>349</v>
      </c>
      <c r="I11" s="155" t="s">
        <v>350</v>
      </c>
      <c r="J11" s="155" t="s">
        <v>351</v>
      </c>
      <c r="K11" s="155">
        <v>10</v>
      </c>
      <c r="L11" s="155">
        <v>133.12</v>
      </c>
      <c r="M11" s="155">
        <v>78.221000000000004</v>
      </c>
      <c r="N11" s="155">
        <v>134</v>
      </c>
      <c r="O11" s="155">
        <v>549.4</v>
      </c>
      <c r="P11" s="156">
        <v>200</v>
      </c>
      <c r="Q11" s="156">
        <v>300</v>
      </c>
      <c r="R11" s="155" t="s">
        <v>316</v>
      </c>
      <c r="S11" s="155" t="s">
        <v>352</v>
      </c>
      <c r="T11" s="156">
        <f t="shared" si="0"/>
        <v>1049.4000000000001</v>
      </c>
      <c r="U11" s="155" t="s">
        <v>30</v>
      </c>
      <c r="V11" s="1" t="s">
        <v>318</v>
      </c>
    </row>
    <row r="12" spans="1:22" ht="14.4" customHeight="1">
      <c r="A12" s="155">
        <v>8</v>
      </c>
      <c r="B12" s="155" t="s">
        <v>326</v>
      </c>
      <c r="C12" s="155" t="s">
        <v>353</v>
      </c>
      <c r="D12" s="155" t="s">
        <v>346</v>
      </c>
      <c r="E12" s="155"/>
      <c r="F12" s="155" t="s">
        <v>313</v>
      </c>
      <c r="G12" s="155" t="s">
        <v>348</v>
      </c>
      <c r="H12" s="155" t="s">
        <v>349</v>
      </c>
      <c r="I12" s="155"/>
      <c r="J12" s="155" t="s">
        <v>351</v>
      </c>
      <c r="K12" s="155">
        <v>10</v>
      </c>
      <c r="L12" s="155">
        <v>133.12</v>
      </c>
      <c r="M12" s="155">
        <v>78.221000000000004</v>
      </c>
      <c r="N12" s="155">
        <v>134</v>
      </c>
      <c r="O12" s="155">
        <v>0</v>
      </c>
      <c r="P12" s="156">
        <v>0</v>
      </c>
      <c r="Q12" s="156">
        <v>428.1</v>
      </c>
      <c r="R12" s="155" t="s">
        <v>316</v>
      </c>
      <c r="S12" s="155" t="s">
        <v>354</v>
      </c>
      <c r="T12" s="156">
        <f t="shared" si="0"/>
        <v>428.1</v>
      </c>
      <c r="U12" s="155" t="s">
        <v>355</v>
      </c>
    </row>
    <row r="13" spans="1:22" ht="14.4" customHeight="1">
      <c r="A13" s="155">
        <v>9</v>
      </c>
      <c r="B13" s="155" t="s">
        <v>332</v>
      </c>
      <c r="C13" s="155" t="s">
        <v>356</v>
      </c>
      <c r="D13" s="155" t="s">
        <v>356</v>
      </c>
      <c r="E13" s="155" t="s">
        <v>357</v>
      </c>
      <c r="F13" s="155" t="s">
        <v>313</v>
      </c>
      <c r="G13" s="155" t="s">
        <v>348</v>
      </c>
      <c r="H13" s="155" t="s">
        <v>349</v>
      </c>
      <c r="I13" s="155" t="s">
        <v>350</v>
      </c>
      <c r="J13" s="155" t="s">
        <v>358</v>
      </c>
      <c r="K13" s="155">
        <v>16</v>
      </c>
      <c r="L13" s="155">
        <v>195.03</v>
      </c>
      <c r="M13" s="155">
        <v>136.95500000000001</v>
      </c>
      <c r="N13" s="155">
        <v>196</v>
      </c>
      <c r="O13" s="155">
        <v>901.6</v>
      </c>
      <c r="P13" s="156">
        <v>200</v>
      </c>
      <c r="Q13" s="156">
        <v>985.94</v>
      </c>
      <c r="R13" s="155" t="s">
        <v>316</v>
      </c>
      <c r="S13" s="155" t="s">
        <v>359</v>
      </c>
      <c r="T13" s="156">
        <f t="shared" si="0"/>
        <v>2087.54</v>
      </c>
      <c r="U13" s="155" t="s">
        <v>360</v>
      </c>
      <c r="V13" s="1" t="s">
        <v>318</v>
      </c>
    </row>
    <row r="14" spans="1:22" ht="14.4" customHeight="1">
      <c r="A14" s="155">
        <v>10</v>
      </c>
      <c r="B14" s="155" t="s">
        <v>263</v>
      </c>
      <c r="C14" s="155" t="s">
        <v>361</v>
      </c>
      <c r="D14" s="155" t="s">
        <v>361</v>
      </c>
      <c r="E14" s="155" t="s">
        <v>362</v>
      </c>
      <c r="F14" s="155" t="s">
        <v>313</v>
      </c>
      <c r="G14" s="155" t="s">
        <v>329</v>
      </c>
      <c r="H14" s="155" t="s">
        <v>91</v>
      </c>
      <c r="I14" s="155" t="s">
        <v>92</v>
      </c>
      <c r="J14" s="155" t="s">
        <v>363</v>
      </c>
      <c r="K14" s="155">
        <v>63</v>
      </c>
      <c r="L14" s="155">
        <v>901.41</v>
      </c>
      <c r="M14" s="155">
        <v>810.37900000000002</v>
      </c>
      <c r="N14" s="155">
        <v>902</v>
      </c>
      <c r="O14" s="155">
        <v>4059</v>
      </c>
      <c r="P14" s="156">
        <f>200/224*K14</f>
        <v>56.25</v>
      </c>
      <c r="Q14" s="155"/>
      <c r="R14" s="155" t="s">
        <v>316</v>
      </c>
      <c r="S14" s="155" t="s">
        <v>364</v>
      </c>
      <c r="T14" s="156">
        <f t="shared" si="0"/>
        <v>4115.25</v>
      </c>
      <c r="U14" s="157" t="s">
        <v>365</v>
      </c>
    </row>
    <row r="15" spans="1:22" ht="14.4" customHeight="1">
      <c r="A15" s="155">
        <v>11</v>
      </c>
      <c r="B15" s="155" t="s">
        <v>366</v>
      </c>
      <c r="C15" s="155" t="s">
        <v>367</v>
      </c>
      <c r="D15" s="155" t="s">
        <v>367</v>
      </c>
      <c r="E15" s="155" t="s">
        <v>368</v>
      </c>
      <c r="F15" s="155" t="s">
        <v>313</v>
      </c>
      <c r="G15" s="155" t="s">
        <v>329</v>
      </c>
      <c r="H15" s="155" t="s">
        <v>91</v>
      </c>
      <c r="I15" s="155" t="s">
        <v>92</v>
      </c>
      <c r="J15" s="155" t="s">
        <v>369</v>
      </c>
      <c r="K15" s="155">
        <v>161</v>
      </c>
      <c r="L15" s="155">
        <v>2572.5</v>
      </c>
      <c r="M15" s="155">
        <v>1939.3420000000001</v>
      </c>
      <c r="N15" s="155">
        <v>2573</v>
      </c>
      <c r="O15" s="155">
        <v>9520.1</v>
      </c>
      <c r="P15" s="156">
        <f>200/224*K15</f>
        <v>143.75</v>
      </c>
      <c r="Q15" s="155"/>
      <c r="R15" s="155" t="s">
        <v>316</v>
      </c>
      <c r="S15" s="155" t="s">
        <v>370</v>
      </c>
      <c r="T15" s="156">
        <f t="shared" si="0"/>
        <v>9663.85</v>
      </c>
      <c r="U15" s="155" t="s">
        <v>30</v>
      </c>
    </row>
    <row r="16" spans="1:22" ht="14.4" customHeight="1">
      <c r="A16" s="155">
        <v>12</v>
      </c>
      <c r="B16" s="155" t="s">
        <v>366</v>
      </c>
      <c r="C16" s="158" t="s">
        <v>371</v>
      </c>
      <c r="D16" s="155" t="s">
        <v>371</v>
      </c>
      <c r="E16" s="155" t="s">
        <v>372</v>
      </c>
      <c r="F16" s="155" t="s">
        <v>313</v>
      </c>
      <c r="G16" s="155" t="s">
        <v>329</v>
      </c>
      <c r="H16" s="155" t="s">
        <v>91</v>
      </c>
      <c r="I16" s="155" t="s">
        <v>141</v>
      </c>
      <c r="J16" s="155" t="s">
        <v>373</v>
      </c>
      <c r="K16" s="155">
        <v>50</v>
      </c>
      <c r="L16" s="155">
        <v>696.51</v>
      </c>
      <c r="M16" s="155">
        <v>758.92200000000003</v>
      </c>
      <c r="N16" s="155">
        <v>759</v>
      </c>
      <c r="O16" s="155">
        <v>3643.2</v>
      </c>
      <c r="P16" s="156">
        <f>200/55*K16</f>
        <v>181.81818181818181</v>
      </c>
      <c r="Q16" s="155"/>
      <c r="R16" s="155" t="s">
        <v>316</v>
      </c>
      <c r="S16" s="155" t="s">
        <v>374</v>
      </c>
      <c r="T16" s="156">
        <f t="shared" si="0"/>
        <v>3825.0181818181818</v>
      </c>
      <c r="U16" s="155" t="s">
        <v>30</v>
      </c>
    </row>
    <row r="17" spans="1:21" ht="14.4" customHeight="1">
      <c r="A17" s="155">
        <v>13</v>
      </c>
      <c r="B17" s="155" t="s">
        <v>366</v>
      </c>
      <c r="C17" s="158" t="s">
        <v>375</v>
      </c>
      <c r="D17" s="155" t="s">
        <v>375</v>
      </c>
      <c r="E17" s="155" t="s">
        <v>376</v>
      </c>
      <c r="F17" s="155" t="s">
        <v>313</v>
      </c>
      <c r="G17" s="155" t="s">
        <v>329</v>
      </c>
      <c r="H17" s="155" t="s">
        <v>91</v>
      </c>
      <c r="I17" s="155" t="s">
        <v>92</v>
      </c>
      <c r="J17" s="155" t="s">
        <v>377</v>
      </c>
      <c r="K17" s="155">
        <v>5</v>
      </c>
      <c r="L17" s="155">
        <v>83.21</v>
      </c>
      <c r="M17" s="155">
        <v>75.673000000000002</v>
      </c>
      <c r="N17" s="155">
        <v>84</v>
      </c>
      <c r="O17" s="155">
        <v>378</v>
      </c>
      <c r="P17" s="156">
        <f>200/55*K17</f>
        <v>18.18181818181818</v>
      </c>
      <c r="Q17" s="155"/>
      <c r="R17" s="155" t="s">
        <v>316</v>
      </c>
      <c r="S17" s="155" t="s">
        <v>378</v>
      </c>
      <c r="T17" s="156">
        <f t="shared" si="0"/>
        <v>396.18181818181819</v>
      </c>
      <c r="U17" s="157" t="s">
        <v>379</v>
      </c>
    </row>
    <row r="18" spans="1:21" ht="14.4" customHeight="1">
      <c r="A18" s="155">
        <v>14</v>
      </c>
      <c r="B18" s="155" t="s">
        <v>282</v>
      </c>
      <c r="C18" s="155" t="s">
        <v>380</v>
      </c>
      <c r="D18" s="155" t="s">
        <v>380</v>
      </c>
      <c r="E18" s="155" t="s">
        <v>381</v>
      </c>
      <c r="F18" s="155" t="s">
        <v>313</v>
      </c>
      <c r="G18" s="155" t="s">
        <v>382</v>
      </c>
      <c r="H18" s="155" t="s">
        <v>91</v>
      </c>
      <c r="I18" s="155" t="s">
        <v>218</v>
      </c>
      <c r="J18" s="155" t="s">
        <v>383</v>
      </c>
      <c r="K18" s="155">
        <v>20</v>
      </c>
      <c r="L18" s="155">
        <v>328.28</v>
      </c>
      <c r="M18" s="155">
        <v>207.95599999999999</v>
      </c>
      <c r="N18" s="155">
        <v>329</v>
      </c>
      <c r="O18" s="155">
        <v>2599.1</v>
      </c>
      <c r="P18" s="156">
        <f>200/36*K18</f>
        <v>111.11111111111111</v>
      </c>
      <c r="Q18" s="155"/>
      <c r="R18" s="155" t="s">
        <v>316</v>
      </c>
      <c r="S18" s="155" t="s">
        <v>384</v>
      </c>
      <c r="T18" s="156">
        <f t="shared" si="0"/>
        <v>2710.2111111111112</v>
      </c>
      <c r="U18" s="155" t="s">
        <v>30</v>
      </c>
    </row>
    <row r="19" spans="1:21" ht="14.4" customHeight="1">
      <c r="A19" s="155">
        <v>15</v>
      </c>
      <c r="B19" s="155" t="s">
        <v>282</v>
      </c>
      <c r="C19" s="155" t="s">
        <v>385</v>
      </c>
      <c r="D19" s="155" t="s">
        <v>385</v>
      </c>
      <c r="E19" s="155" t="s">
        <v>386</v>
      </c>
      <c r="F19" s="155" t="s">
        <v>313</v>
      </c>
      <c r="G19" s="155" t="s">
        <v>382</v>
      </c>
      <c r="H19" s="155" t="s">
        <v>91</v>
      </c>
      <c r="I19" s="155" t="s">
        <v>52</v>
      </c>
      <c r="J19" s="155" t="s">
        <v>387</v>
      </c>
      <c r="K19" s="155">
        <v>16</v>
      </c>
      <c r="L19" s="155">
        <v>252.88</v>
      </c>
      <c r="M19" s="155">
        <v>192.363</v>
      </c>
      <c r="N19" s="155">
        <v>253</v>
      </c>
      <c r="O19" s="155">
        <v>2251.6999999999998</v>
      </c>
      <c r="P19" s="156">
        <f>200/36*K19</f>
        <v>88.888888888888886</v>
      </c>
      <c r="Q19" s="155"/>
      <c r="R19" s="155" t="s">
        <v>316</v>
      </c>
      <c r="S19" s="155" t="s">
        <v>388</v>
      </c>
      <c r="T19" s="156">
        <f t="shared" si="0"/>
        <v>2340.5888888888885</v>
      </c>
      <c r="U19" s="157" t="s">
        <v>389</v>
      </c>
    </row>
    <row r="20" spans="1:21" ht="15.65" customHeight="1">
      <c r="A20" s="159" t="s">
        <v>390</v>
      </c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60"/>
      <c r="Q20" s="160"/>
      <c r="R20" s="161"/>
      <c r="S20" s="161"/>
      <c r="T20" s="162">
        <f>SUM(T5:T19)</f>
        <v>40886.639999999992</v>
      </c>
      <c r="U20" s="163"/>
    </row>
    <row r="21" spans="1:21" ht="14.4" customHeight="1">
      <c r="A21" s="164"/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5"/>
      <c r="Q21" s="165"/>
      <c r="R21" s="164"/>
      <c r="S21" s="164"/>
      <c r="T21" s="166"/>
      <c r="U21" s="167"/>
    </row>
    <row r="22" spans="1:21" ht="14.4" customHeight="1">
      <c r="A22" s="168" t="s">
        <v>391</v>
      </c>
      <c r="B22" s="168"/>
      <c r="C22" s="169"/>
      <c r="D22" s="169"/>
      <c r="E22" s="169"/>
      <c r="F22" s="169"/>
      <c r="G22" s="169"/>
      <c r="H22" s="169"/>
      <c r="I22" s="169"/>
      <c r="J22" s="170"/>
      <c r="K22" s="170"/>
      <c r="L22" s="164"/>
      <c r="M22" s="164"/>
      <c r="N22" s="164"/>
      <c r="O22" s="164"/>
      <c r="P22" s="165"/>
      <c r="Q22" s="165"/>
      <c r="R22" s="164"/>
      <c r="S22" s="164"/>
      <c r="T22" s="171"/>
      <c r="U22" s="167"/>
    </row>
    <row r="23" spans="1:21" ht="14.4" customHeight="1">
      <c r="A23" s="172" t="s">
        <v>392</v>
      </c>
      <c r="B23" s="173"/>
      <c r="C23" s="174"/>
      <c r="D23" s="174"/>
      <c r="E23" s="174"/>
      <c r="F23" s="175"/>
      <c r="G23" s="174"/>
      <c r="H23" s="174"/>
      <c r="I23" s="174"/>
      <c r="J23" s="174"/>
      <c r="K23" s="174"/>
      <c r="L23" s="164"/>
      <c r="M23" s="164"/>
      <c r="N23" s="164"/>
      <c r="O23" s="164"/>
      <c r="P23" s="165"/>
      <c r="Q23" s="165"/>
      <c r="R23" s="164"/>
      <c r="S23" s="164"/>
      <c r="T23" s="171"/>
      <c r="U23" s="167"/>
    </row>
    <row r="24" spans="1:21" ht="14.4" customHeight="1">
      <c r="A24" s="172" t="s">
        <v>393</v>
      </c>
      <c r="B24" s="173"/>
      <c r="C24" s="174"/>
      <c r="D24" s="174"/>
      <c r="E24" s="174"/>
      <c r="F24" s="176"/>
      <c r="G24" s="177"/>
      <c r="H24" s="177"/>
      <c r="I24" s="177"/>
      <c r="J24" s="177"/>
      <c r="K24" s="177"/>
      <c r="L24" s="164"/>
      <c r="M24" s="164"/>
      <c r="N24" s="164"/>
      <c r="O24" s="164"/>
      <c r="P24" s="165"/>
      <c r="Q24" s="165"/>
      <c r="R24" s="164"/>
      <c r="S24" s="164"/>
      <c r="T24" s="171"/>
      <c r="U24" s="167"/>
    </row>
    <row r="25" spans="1:21" ht="14.4" customHeight="1">
      <c r="A25" s="172" t="s">
        <v>394</v>
      </c>
      <c r="B25" s="173"/>
      <c r="C25" s="174"/>
      <c r="D25" s="174"/>
      <c r="E25" s="174"/>
      <c r="F25" s="176"/>
      <c r="G25" s="177"/>
      <c r="H25" s="177"/>
      <c r="I25" s="177"/>
      <c r="J25" s="177"/>
      <c r="K25" s="177"/>
      <c r="L25" s="164"/>
      <c r="M25" s="164"/>
      <c r="N25" s="164"/>
      <c r="O25" s="164"/>
      <c r="P25" s="165"/>
      <c r="Q25" s="165"/>
      <c r="R25" s="164"/>
      <c r="S25" s="164"/>
      <c r="T25" s="171"/>
      <c r="U25" s="167"/>
    </row>
    <row r="26" spans="1:21" ht="14.4" customHeight="1">
      <c r="A26" s="164"/>
      <c r="B26" s="164"/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5"/>
      <c r="Q26" s="165"/>
      <c r="R26" s="164"/>
      <c r="S26" s="164"/>
      <c r="T26" s="166"/>
      <c r="U26" s="167"/>
    </row>
    <row r="27" spans="1:21" ht="14.4" customHeight="1">
      <c r="A27" s="178" t="s">
        <v>395</v>
      </c>
      <c r="B27" s="178"/>
      <c r="C27" s="178"/>
      <c r="D27" s="178"/>
      <c r="E27" s="178"/>
      <c r="F27" s="179"/>
      <c r="G27" s="178"/>
      <c r="H27" s="178"/>
      <c r="I27" s="178"/>
      <c r="J27" s="178"/>
      <c r="K27" s="178"/>
      <c r="L27" s="178"/>
      <c r="M27" s="178"/>
      <c r="N27" s="178"/>
      <c r="O27" s="178"/>
      <c r="P27" s="180"/>
      <c r="Q27" s="180"/>
      <c r="R27" s="181"/>
      <c r="S27" s="181"/>
      <c r="T27" s="166"/>
      <c r="U27" s="167"/>
    </row>
    <row r="28" spans="1:21" ht="14.4" customHeight="1">
      <c r="A28" s="178" t="s">
        <v>396</v>
      </c>
      <c r="B28" s="178"/>
      <c r="C28" s="178"/>
      <c r="D28" s="178"/>
      <c r="E28" s="178"/>
      <c r="F28" s="179"/>
      <c r="G28" s="178"/>
      <c r="H28" s="178"/>
      <c r="I28" s="178"/>
      <c r="J28" s="178"/>
      <c r="K28" s="178"/>
      <c r="L28" s="178"/>
      <c r="M28" s="178"/>
      <c r="N28" s="178"/>
      <c r="O28" s="178"/>
      <c r="P28" s="180"/>
      <c r="Q28" s="180"/>
      <c r="R28" s="181"/>
      <c r="S28" s="181"/>
      <c r="T28" s="166"/>
      <c r="U28" s="167"/>
    </row>
    <row r="29" spans="1:21" ht="14.4" customHeight="1">
      <c r="A29" s="182"/>
      <c r="B29" s="182"/>
      <c r="C29" s="182"/>
      <c r="D29" s="182"/>
      <c r="E29" s="182"/>
      <c r="F29" s="164"/>
      <c r="G29" s="182"/>
      <c r="H29" s="182"/>
      <c r="I29" s="182"/>
      <c r="J29" s="182"/>
      <c r="K29" s="182"/>
      <c r="L29" s="164"/>
      <c r="M29" s="164"/>
      <c r="N29" s="164"/>
      <c r="O29" s="164"/>
      <c r="P29" s="165"/>
      <c r="Q29" s="165"/>
      <c r="R29" s="164"/>
      <c r="S29" s="164"/>
      <c r="T29" s="165"/>
      <c r="U29" s="164"/>
    </row>
    <row r="30" spans="1:21" ht="14.4" customHeight="1">
      <c r="A30" s="183" t="s">
        <v>397</v>
      </c>
      <c r="B30" s="183"/>
      <c r="C30" s="183"/>
      <c r="D30" s="183"/>
      <c r="E30" s="183"/>
      <c r="F30" s="184"/>
      <c r="G30" s="183"/>
      <c r="H30" s="183"/>
      <c r="I30" s="183"/>
      <c r="J30" s="183"/>
      <c r="K30" s="183"/>
      <c r="L30" s="184"/>
      <c r="M30" s="184"/>
      <c r="N30" s="184"/>
      <c r="O30" s="184"/>
      <c r="P30" s="185"/>
      <c r="Q30" s="185"/>
      <c r="R30" s="184"/>
      <c r="S30" s="184"/>
      <c r="T30" s="185"/>
      <c r="U30" s="184"/>
    </row>
    <row r="31" spans="1:21" ht="14.4" customHeight="1">
      <c r="A31" s="178" t="s">
        <v>398</v>
      </c>
      <c r="B31" s="178"/>
      <c r="C31" s="178"/>
      <c r="D31" s="178"/>
      <c r="E31" s="178"/>
      <c r="F31" s="179"/>
      <c r="G31" s="178"/>
      <c r="H31" s="178"/>
      <c r="I31" s="178"/>
      <c r="J31" s="178"/>
      <c r="K31" s="178"/>
      <c r="L31" s="179"/>
      <c r="M31" s="179"/>
      <c r="N31" s="179"/>
      <c r="O31" s="179"/>
      <c r="P31" s="186"/>
      <c r="Q31" s="186"/>
      <c r="R31" s="179"/>
      <c r="S31" s="179"/>
      <c r="T31" s="186"/>
      <c r="U31" s="179"/>
    </row>
    <row r="32" spans="1:21" ht="15" customHeight="1">
      <c r="A32" s="187"/>
      <c r="B32" s="187"/>
      <c r="C32" s="188"/>
      <c r="D32" s="188"/>
      <c r="E32" s="188"/>
      <c r="F32" s="188"/>
      <c r="G32" s="188"/>
      <c r="H32" s="188"/>
      <c r="I32" s="189"/>
      <c r="J32" s="190"/>
      <c r="K32" s="191"/>
      <c r="L32" s="192"/>
      <c r="M32" s="192"/>
      <c r="N32" s="192"/>
      <c r="O32" s="192"/>
      <c r="P32" s="193"/>
      <c r="Q32" s="193"/>
      <c r="R32" s="192"/>
      <c r="S32" s="192"/>
      <c r="T32" s="194" t="s">
        <v>399</v>
      </c>
    </row>
    <row r="33" spans="1:21" ht="14.4" customHeight="1">
      <c r="A33" s="195"/>
      <c r="B33" s="195"/>
      <c r="C33" s="196"/>
      <c r="D33" s="196"/>
      <c r="E33" s="196"/>
      <c r="F33" s="196"/>
      <c r="G33" s="196"/>
      <c r="H33" s="196"/>
      <c r="I33" s="197"/>
      <c r="J33" s="198"/>
      <c r="K33" s="176"/>
      <c r="L33" s="199"/>
      <c r="M33" s="199"/>
      <c r="N33" s="199"/>
      <c r="O33" s="199"/>
      <c r="P33" s="200"/>
      <c r="Q33" s="200"/>
      <c r="R33" s="199"/>
      <c r="S33" s="199"/>
      <c r="T33" s="166"/>
      <c r="U33" s="167"/>
    </row>
    <row r="34" spans="1:21" ht="14.4" customHeight="1">
      <c r="A34" s="201"/>
      <c r="B34" s="201"/>
      <c r="C34" s="201"/>
      <c r="D34" s="201"/>
      <c r="E34" s="201"/>
      <c r="F34" s="202"/>
      <c r="G34" s="201"/>
      <c r="H34" s="201"/>
      <c r="I34" s="201"/>
      <c r="J34" s="201"/>
      <c r="K34" s="201"/>
      <c r="L34" s="201"/>
      <c r="M34" s="201"/>
      <c r="N34" s="201"/>
      <c r="O34" s="201"/>
      <c r="P34" s="203"/>
      <c r="Q34" s="203"/>
      <c r="R34" s="204"/>
      <c r="S34" s="204"/>
    </row>
  </sheetData>
  <mergeCells count="10">
    <mergeCell ref="A31:U31"/>
    <mergeCell ref="A32:I32"/>
    <mergeCell ref="A33:I33"/>
    <mergeCell ref="A34:O34"/>
    <mergeCell ref="A1:U1"/>
    <mergeCell ref="A2:U2"/>
    <mergeCell ref="A22:K22"/>
    <mergeCell ref="A27:O27"/>
    <mergeCell ref="A28:O28"/>
    <mergeCell ref="A30:U30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万邦2604</vt:lpstr>
      <vt:lpstr>国润通2604</vt:lpstr>
      <vt:lpstr>天盛运费2604</vt:lpstr>
      <vt:lpstr>天盛报关费2604</vt:lpstr>
      <vt:lpstr>嘀嗒嘀4月账单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点 润</dc:creator>
  <cp:lastModifiedBy>点 润</cp:lastModifiedBy>
  <dcterms:created xsi:type="dcterms:W3CDTF">2026-05-14T07:12:44Z</dcterms:created>
  <dcterms:modified xsi:type="dcterms:W3CDTF">2026-05-27T06:44:58Z</dcterms:modified>
</cp:coreProperties>
</file>