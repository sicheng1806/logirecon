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cheng1806\workspace\project\logirecon\data\"/>
    </mc:Choice>
  </mc:AlternateContent>
  <xr:revisionPtr revIDLastSave="0" documentId="13_ncr:1_{898DC9E9-2CE8-4EB5-9BF6-28DC0AD673FC}" xr6:coauthVersionLast="47" xr6:coauthVersionMax="47" xr10:uidLastSave="{00000000-0000-0000-0000-000000000000}"/>
  <bookViews>
    <workbookView xWindow="3670" yWindow="3140" windowWidth="17530" windowHeight="11170" firstSheet="4" activeTab="7" xr2:uid="{E98E0870-61F2-43AD-B3AC-7EBE6B59DB5C}"/>
  </bookViews>
  <sheets>
    <sheet name="万邦2604" sheetId="4" r:id="rId1"/>
    <sheet name="国润通2604" sheetId="5" r:id="rId2"/>
    <sheet name="天盛运费2604" sheetId="6" r:id="rId3"/>
    <sheet name="天盛报关费2604" sheetId="7" r:id="rId4"/>
    <sheet name="嘀嗒嘀4月账单" sheetId="8" r:id="rId5"/>
    <sheet name="积米2605" sheetId="9" r:id="rId6"/>
    <sheet name="京奕达2605" sheetId="10" r:id="rId7"/>
    <sheet name="万邦2605" sheetId="11" r:id="rId8"/>
  </sheets>
  <definedNames>
    <definedName name="_xlnm._FilterDatabase" localSheetId="3" hidden="1">天盛报关费2604!$A$7:$Q$28</definedName>
    <definedName name="_xlnm._FilterDatabase" localSheetId="2" hidden="1">天盛运费2604!$A$7:$Q$35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8" l="1"/>
  <c r="T19" i="8" s="1"/>
  <c r="P18" i="8"/>
  <c r="T18" i="8" s="1"/>
  <c r="P17" i="8"/>
  <c r="T17" i="8" s="1"/>
  <c r="P16" i="8"/>
  <c r="T16" i="8" s="1"/>
  <c r="P15" i="8"/>
  <c r="T15" i="8" s="1"/>
  <c r="T14" i="8"/>
  <c r="P14" i="8"/>
  <c r="T13" i="8"/>
  <c r="T12" i="8"/>
  <c r="T11" i="8"/>
  <c r="T10" i="8"/>
  <c r="T9" i="8"/>
  <c r="T8" i="8"/>
  <c r="T7" i="8"/>
  <c r="T6" i="8"/>
  <c r="T5" i="8"/>
  <c r="P15" i="7"/>
  <c r="P24" i="6"/>
  <c r="P31" i="5"/>
  <c r="P33" i="5" s="1"/>
  <c r="O36" i="5" s="1"/>
  <c r="O37" i="5" s="1"/>
  <c r="T20" i="8" l="1"/>
  <c r="P16" i="7"/>
  <c r="P17" i="7" s="1"/>
</calcChain>
</file>

<file path=xl/sharedStrings.xml><?xml version="1.0" encoding="utf-8"?>
<sst xmlns="http://schemas.openxmlformats.org/spreadsheetml/2006/main" count="1735" uniqueCount="563">
  <si>
    <t>天盛供应链（广州）有限公司</t>
  </si>
  <si>
    <t>应收款对账单</t>
  </si>
  <si>
    <t>账单编号</t>
  </si>
  <si>
    <t>财务代表</t>
  </si>
  <si>
    <t>黄蓝漫</t>
  </si>
  <si>
    <t>客户名称</t>
  </si>
  <si>
    <t>103267-gzszrd-深圳润点</t>
  </si>
  <si>
    <t>账单日期</t>
  </si>
  <si>
    <t>结算方式</t>
  </si>
  <si>
    <t>月结30号</t>
  </si>
  <si>
    <t>到期日期</t>
  </si>
  <si>
    <t>销售代表</t>
  </si>
  <si>
    <t>序号</t>
  </si>
  <si>
    <t>日期</t>
  </si>
  <si>
    <t>客户运单号</t>
  </si>
  <si>
    <t>运单号</t>
  </si>
  <si>
    <t>转单号</t>
  </si>
  <si>
    <t>邮编</t>
  </si>
  <si>
    <t>地址编码</t>
  </si>
  <si>
    <t>件数</t>
  </si>
  <si>
    <t>收费重</t>
  </si>
  <si>
    <t>实重</t>
  </si>
  <si>
    <t>材重</t>
  </si>
  <si>
    <t>服务类型</t>
  </si>
  <si>
    <t>费用类型</t>
  </si>
  <si>
    <t>单位</t>
  </si>
  <si>
    <t>单价</t>
  </si>
  <si>
    <t>金额</t>
  </si>
  <si>
    <t>描述</t>
  </si>
  <si>
    <t>1</t>
  </si>
  <si>
    <t/>
  </si>
  <si>
    <t>海运盛稳达按方包税</t>
  </si>
  <si>
    <t>标准价</t>
  </si>
  <si>
    <t>立方</t>
  </si>
  <si>
    <t>2</t>
  </si>
  <si>
    <t>产品附加费</t>
  </si>
  <si>
    <t>3</t>
  </si>
  <si>
    <t>85396</t>
  </si>
  <si>
    <t>GEU3</t>
  </si>
  <si>
    <t>海运盛稳达</t>
  </si>
  <si>
    <t>KG</t>
  </si>
  <si>
    <t>5</t>
  </si>
  <si>
    <t>6</t>
  </si>
  <si>
    <t>7</t>
  </si>
  <si>
    <t>9</t>
  </si>
  <si>
    <t>POC2</t>
  </si>
  <si>
    <t>海运盛森达Pro按方包税</t>
  </si>
  <si>
    <t>11</t>
  </si>
  <si>
    <t>92509</t>
  </si>
  <si>
    <t>POC3</t>
  </si>
  <si>
    <t>13</t>
  </si>
  <si>
    <t>14</t>
  </si>
  <si>
    <t>TCY2</t>
  </si>
  <si>
    <t>15</t>
  </si>
  <si>
    <t>17</t>
  </si>
  <si>
    <t>20</t>
  </si>
  <si>
    <t>液体附加费200/方</t>
  </si>
  <si>
    <t>人民币</t>
  </si>
  <si>
    <t>本期账单</t>
  </si>
  <si>
    <t>请尽快核对账单，谢谢！</t>
  </si>
  <si>
    <t>收款账户:（如需开发票，请按照合同抬头公对公付款）</t>
  </si>
  <si>
    <t>收款二维码：接受微信、支付宝等扫码支付，收款码请查收以下二维码图片（注意：付款时单笔不要超过5万元）</t>
  </si>
  <si>
    <t>人民币对公户：  户名：天盛供应链（广州）有限公司  开户行：中国工商银行广州设计之都支行  账号：3602 0740 1920 0374 777</t>
  </si>
  <si>
    <t>备注:</t>
  </si>
  <si>
    <t>1.请对应币种付款到我司指定账户，付款后请提供银行水单。</t>
  </si>
  <si>
    <t>4.我司禁止业务员直接向客户收取款项，如客户将款项付给我司业务员，我司不承担由此产生的一切责任和后果。</t>
  </si>
  <si>
    <t>5.绿色填充的流水代表已核销</t>
  </si>
  <si>
    <t>广州天泽跨境供应链有限公司</t>
  </si>
  <si>
    <t>4</t>
  </si>
  <si>
    <t>单独报关费</t>
  </si>
  <si>
    <t>票</t>
  </si>
  <si>
    <t>8</t>
  </si>
  <si>
    <t>10</t>
  </si>
  <si>
    <t>12</t>
  </si>
  <si>
    <t>16</t>
  </si>
  <si>
    <t>税金</t>
  </si>
  <si>
    <t>本期合计</t>
  </si>
  <si>
    <t>人民币对公户： 户名：广州天泽跨境供应链有限公司  开户行:中国工商银行股份有限公司广州设计之都支行  账号：3602 0740 0920 0451 166</t>
  </si>
  <si>
    <t>深圳市万邦科技物流有限公司</t>
  </si>
  <si>
    <t>Shenzhen Wanbang Technology Logistics Co., Ltd</t>
  </si>
  <si>
    <t xml:space="preserve">202605120010 </t>
  </si>
  <si>
    <t>N/A</t>
  </si>
  <si>
    <t>100004-润点</t>
  </si>
  <si>
    <t>订单号</t>
  </si>
  <si>
    <t>渠道</t>
  </si>
  <si>
    <t>发往国家</t>
  </si>
  <si>
    <t>仓库编码</t>
  </si>
  <si>
    <t>2026/04/04</t>
  </si>
  <si>
    <t>WB2604024559</t>
  </si>
  <si>
    <t>FBA199JBH82C,FBA199JCMDW7,FBA199KNT8RY</t>
  </si>
  <si>
    <t>美西拆柜专线-普船</t>
  </si>
  <si>
    <t>美国</t>
  </si>
  <si>
    <t>GEU2</t>
  </si>
  <si>
    <t>3.60/KG</t>
  </si>
  <si>
    <t>运费</t>
  </si>
  <si>
    <t>200.00/票</t>
  </si>
  <si>
    <t>报关费</t>
  </si>
  <si>
    <t>50.00/票</t>
  </si>
  <si>
    <t>续页费</t>
  </si>
  <si>
    <t>2026/04/11</t>
  </si>
  <si>
    <t>WB2604097960</t>
  </si>
  <si>
    <t>FBA15LMGRQ7F</t>
  </si>
  <si>
    <t>欧洲卡派专线-海运</t>
  </si>
  <si>
    <t>德国</t>
  </si>
  <si>
    <t>BER8-12529</t>
  </si>
  <si>
    <t>7.40/KG</t>
  </si>
  <si>
    <t>250.00/票</t>
  </si>
  <si>
    <t>WB2604097672</t>
  </si>
  <si>
    <t>FBA199V9G06K,FBA199WX2PW7</t>
  </si>
  <si>
    <t>4.00/KG</t>
  </si>
  <si>
    <t>WB2604098776</t>
  </si>
  <si>
    <t>FBA199WGX66P</t>
  </si>
  <si>
    <t>4.80/KG</t>
  </si>
  <si>
    <t>WB2604093264</t>
  </si>
  <si>
    <t>FBA199WVYDVD</t>
  </si>
  <si>
    <t>美西拆柜专线-快线</t>
  </si>
  <si>
    <t>5.20/KG</t>
  </si>
  <si>
    <t>WB2604097869</t>
  </si>
  <si>
    <t>FBA19B7DZGDV</t>
  </si>
  <si>
    <t>2026/04/18</t>
  </si>
  <si>
    <t>WB2604165143</t>
  </si>
  <si>
    <t>FBA19BCGVYN1</t>
  </si>
  <si>
    <t>WB2604165337</t>
  </si>
  <si>
    <t>FBA19B9HSTHR</t>
  </si>
  <si>
    <t>加拿大海运专线-包税</t>
  </si>
  <si>
    <t>加拿大</t>
  </si>
  <si>
    <t>YYZ7</t>
  </si>
  <si>
    <t>5.40/KG</t>
  </si>
  <si>
    <t>WB2604168020</t>
  </si>
  <si>
    <t>FBA19B9NXYNH</t>
  </si>
  <si>
    <t>2026/04/20</t>
  </si>
  <si>
    <t>WB2604167138</t>
  </si>
  <si>
    <t>FBA19BBRVKSC</t>
  </si>
  <si>
    <t>4.20/KG</t>
  </si>
  <si>
    <t>2026/04/24</t>
  </si>
  <si>
    <t>WB2604231959</t>
  </si>
  <si>
    <t>FBA15LP65LXZ</t>
  </si>
  <si>
    <t>7.20/KG</t>
  </si>
  <si>
    <t>2026/04/25</t>
  </si>
  <si>
    <t>WB2604234467</t>
  </si>
  <si>
    <t>FBA19BRVKMS2,FBA19BRWKFV5</t>
  </si>
  <si>
    <t>TCY1</t>
  </si>
  <si>
    <t>2026/04/27</t>
  </si>
  <si>
    <t>WB2604231067</t>
  </si>
  <si>
    <t>FBA19BRTCW8K</t>
  </si>
  <si>
    <t>WB2604238759</t>
  </si>
  <si>
    <t>FBA19BS18QGQ</t>
  </si>
  <si>
    <t>HLI2</t>
  </si>
  <si>
    <t>4.40/KG</t>
  </si>
  <si>
    <t>WB2604235923</t>
  </si>
  <si>
    <t>FBA19C2Q5YYR</t>
  </si>
  <si>
    <t>WB2604234393</t>
  </si>
  <si>
    <t>FBA19BRN46FT</t>
  </si>
  <si>
    <t>4.90/KG</t>
  </si>
  <si>
    <t>WB2604237012</t>
  </si>
  <si>
    <t>FBA19BS9WBMQ</t>
  </si>
  <si>
    <t>YXU1</t>
  </si>
  <si>
    <t>6.00/KG</t>
  </si>
  <si>
    <t>人民币总计</t>
  </si>
  <si>
    <t xml:space="preserve"> 50934.30</t>
  </si>
  <si>
    <t>账单无误请转以下账号付款：</t>
  </si>
  <si>
    <t>对公账户：中国工商银行股份有限公司深圳百花支行</t>
  </si>
  <si>
    <t>Account Name账户名：深圳市万邦科技物流有限公司</t>
  </si>
  <si>
    <t>Account No. 账号：4000028409200355913</t>
  </si>
  <si>
    <t>请及时核对！请在三个工作日内确认此费用，如有疑问请联系业务员，转款后麻烦将转款水单给业务员或财务，谢谢合作！</t>
  </si>
  <si>
    <t>深圳市国润通物流有限公司</t>
  </si>
  <si>
    <t>Shenzhen Guoruntong Logistics Co., Ltd.</t>
  </si>
  <si>
    <t>地址：深圳市宝安区福海街道展城社区展景路 83 号会展湾中港广场 6 栋 A 座 806                         财务部电话:0755-23005958/36534879</t>
  </si>
  <si>
    <t>26年04月</t>
  </si>
  <si>
    <t>600984 深圳市润点创新科技有限公司</t>
  </si>
  <si>
    <t>扩展单号</t>
  </si>
  <si>
    <t>主品名</t>
  </si>
  <si>
    <t>2026/04/03</t>
  </si>
  <si>
    <t>GRT07461276</t>
  </si>
  <si>
    <t>FBA199JBCYRR</t>
  </si>
  <si>
    <t>加拿大普船卡派-包税</t>
  </si>
  <si>
    <t>L7E 4L8</t>
  </si>
  <si>
    <t>H2-G 电子指纹球形把手锁-灰色,K1-B 电子球形把手锁-黑色,K1-S + S 电子球形把手锁-镍镍</t>
  </si>
  <si>
    <t>5.00/KG</t>
  </si>
  <si>
    <t>出口(国内)报关费</t>
  </si>
  <si>
    <t>350.00/票</t>
  </si>
  <si>
    <t>GRT07460648</t>
  </si>
  <si>
    <t>FBA199J9FWBW</t>
  </si>
  <si>
    <t>美西OA卡派-包税KG</t>
  </si>
  <si>
    <t>92336-1123</t>
  </si>
  <si>
    <t>POC1</t>
  </si>
  <si>
    <t>G1-B 电子球形把手锁 黑色</t>
  </si>
  <si>
    <t>3.20/KG</t>
  </si>
  <si>
    <t>GRT07536459</t>
  </si>
  <si>
    <t>FBA199TTG21T,FBA199V32GNW</t>
  </si>
  <si>
    <t>ES1-W  电动泡沫喷机（202602新） 白色,ES1-B 电动泡沫喷机 黑色,ES1-Bkit 电动泡沫喷机黑色 托架 硅胶刷 套装,ES1KIT-W_W 电动泡沫喷机 白色 两个装</t>
  </si>
  <si>
    <t>4.30/KG</t>
  </si>
  <si>
    <t>GRT07623011</t>
  </si>
  <si>
    <t>FBA19BCK42Y8</t>
  </si>
  <si>
    <t>一起拼-包税KG</t>
  </si>
  <si>
    <t>ANW-B 智能扩香仪 黑色,ANW-W 智能扩香仪 白色,ANP-B_US 墙插式智能扩香仪 黑色</t>
  </si>
  <si>
    <t>4.10/KG</t>
  </si>
  <si>
    <t>GRT07621677</t>
  </si>
  <si>
    <t>FBA19B9DLDTH</t>
  </si>
  <si>
    <t>DEN8</t>
  </si>
  <si>
    <t>AP2US-H14 内置H14滤网桌面式空气净化器2-美规</t>
  </si>
  <si>
    <t>5.80/KG</t>
  </si>
  <si>
    <t>GRT07621586</t>
  </si>
  <si>
    <t>FBA19B9DKZG9</t>
  </si>
  <si>
    <t>美东萨凡纳卡派-包税KG</t>
  </si>
  <si>
    <t>TPA2</t>
  </si>
  <si>
    <t>GRT07621480</t>
  </si>
  <si>
    <t>FBA19B9HCF21</t>
  </si>
  <si>
    <t>美东纽约卡派-包税KG</t>
  </si>
  <si>
    <t>08512</t>
  </si>
  <si>
    <t>TEB6</t>
  </si>
  <si>
    <t>4.70/KG</t>
  </si>
  <si>
    <t>GRT07621353</t>
  </si>
  <si>
    <t>FBA19B9HCN3R</t>
  </si>
  <si>
    <t>MGE3</t>
  </si>
  <si>
    <t>2026/04/19</t>
  </si>
  <si>
    <t>GRT07629798</t>
  </si>
  <si>
    <t>FBA19B9C8RDL</t>
  </si>
  <si>
    <t>MIT2</t>
  </si>
  <si>
    <t>ADXKIT-B_DT ADX便携式扩香仪两个装套装 黑 + 沙漠钛,AN6-B 便携式扩香仪 黑色,AN6-GL 便携式扩香仪 翠百合色,AN6-W 便携式扩香仪 白色,RD1-B 便携式扩香仪 黑色,RD1-DT 便携式扩香仪 沙漠钛色</t>
  </si>
  <si>
    <t>3.80/KG</t>
  </si>
  <si>
    <t>GRT07714961</t>
  </si>
  <si>
    <t>FBA19BRVNNYF</t>
  </si>
  <si>
    <t>T2C 5X1</t>
  </si>
  <si>
    <t>H2-B 电子指纹球形把手锁-黑色,H2-G 电子指纹球形把手锁-灰色,K1-B 电子球形把手锁-黑色</t>
  </si>
  <si>
    <t>5.30/KG</t>
  </si>
  <si>
    <t>GRT07713560</t>
  </si>
  <si>
    <t>FBA19BRK5DWK</t>
  </si>
  <si>
    <t>G1-B 电子球形把手锁 黑色,G1-SILV 电子球形把手锁 银色,MD1-B 电子球形把手锁 指纹 黑色,MD1-SILV 电子球形把手锁 指纹 银色,MK1-B 智能球形把手锁 黑色</t>
  </si>
  <si>
    <t>GRT07723542</t>
  </si>
  <si>
    <t>FBA19BRD7JZ3</t>
  </si>
  <si>
    <t>RDX-B_US 智能扩香仪 黑色,RDX-SILV_US 智能扩香仪 银色</t>
  </si>
  <si>
    <t>GRT07715742</t>
  </si>
  <si>
    <t>FBA19BS5LVP7,FBA19BY3VMYT</t>
  </si>
  <si>
    <t>AN6B-NZB 便携式扩香仪套装 黑机器 + 黑喷嘴,AN6-B 便携式扩香仪 黑色,AN6-YG 便携式扩香仪 乳酪色,RD1-DT 便携式扩香仪 沙漠钛色,ANZ-B 便携式扩香仪 黑色,ANZ-WH 便携式扩香仪 白色</t>
  </si>
  <si>
    <t>已付金额</t>
  </si>
  <si>
    <t>待支付金额</t>
  </si>
  <si>
    <t>期初余额</t>
  </si>
  <si>
    <t>本期发生</t>
  </si>
  <si>
    <t>本月未付款</t>
  </si>
  <si>
    <t>期末余额</t>
  </si>
  <si>
    <t>请尽快核对好账单结款，谢谢！</t>
  </si>
  <si>
    <t>公司收款银行账号</t>
  </si>
  <si>
    <t>1、对公收款账户</t>
  </si>
  <si>
    <t>2、对私收款账户</t>
  </si>
  <si>
    <t>账户名：深圳市国润通物流有限公司</t>
  </si>
  <si>
    <t>账户名：杨斌</t>
  </si>
  <si>
    <t>账号：7559 7677 3610 001</t>
  </si>
  <si>
    <t>账号：6213 4710 1100 3242 526</t>
  </si>
  <si>
    <t>开户银行：招商银行深圳沙井支行</t>
  </si>
  <si>
    <t>开户银行：深圳福田银座村镇银行营业部</t>
  </si>
  <si>
    <t>特别提示：我司仅接受公对公，私对私的付款方式，不接受私人款项转入我司对公账户，否则加收10%手续费</t>
  </si>
  <si>
    <t>1、如对账单有疑问请在3个工作日内与我司财务联系（现金客户请当天确认），或与对接销售人员确认！如超过3天未收到贵司的任何回复，我司将按账单收款！</t>
  </si>
  <si>
    <t>2、贵公司如发现账单中有错误之处(少单多单等),请及时和我公司财务部联系.</t>
  </si>
  <si>
    <t>3、如收款账单我司有输漏单或帐单有误，我司保留补收权!</t>
  </si>
  <si>
    <t>4、请付款至账单上收款账号，或付款前请与我司财务核实收款账号，如付款至其他账号造成的损失我司概不负责！</t>
  </si>
  <si>
    <t>103267202604070074</t>
  </si>
  <si>
    <t>2026/04/01--2026/04/30</t>
  </si>
  <si>
    <t>2026/05/30</t>
  </si>
  <si>
    <t>杨颖怡</t>
  </si>
  <si>
    <t>2026-04-02</t>
  </si>
  <si>
    <t>FBA199J7KYFZ,FBA199JB9GX5，FBA199J506NT</t>
  </si>
  <si>
    <t>TS26040260245</t>
  </si>
  <si>
    <t>2026-04-03</t>
  </si>
  <si>
    <t>FBA199JC2QFL</t>
  </si>
  <si>
    <t>TS26040217129</t>
  </si>
  <si>
    <t>92336</t>
  </si>
  <si>
    <t>2026-04-10</t>
  </si>
  <si>
    <t>FBA199WTFJB1</t>
  </si>
  <si>
    <t>TS26040942713</t>
  </si>
  <si>
    <t>95206</t>
  </si>
  <si>
    <t>液体附加费+1</t>
  </si>
  <si>
    <t>2026-04-11</t>
  </si>
  <si>
    <t>FBA199WG4JL3,FBA199TT251G</t>
  </si>
  <si>
    <t>TS26040990077</t>
  </si>
  <si>
    <t>85307</t>
  </si>
  <si>
    <t>2026-04-17</t>
  </si>
  <si>
    <t>FBA19B7N189J,FBA19B7J1BX9</t>
  </si>
  <si>
    <t>TS26041629647</t>
  </si>
  <si>
    <t>液体附加费+200</t>
  </si>
  <si>
    <t>FBA19BCDLF7B</t>
  </si>
  <si>
    <t>TS26041653228</t>
  </si>
  <si>
    <t>2026-04-18</t>
  </si>
  <si>
    <t>FBA19B7B1PZ2,FBA19B79W7D9</t>
  </si>
  <si>
    <t>TS26041658594</t>
  </si>
  <si>
    <t>2026-04-29</t>
  </si>
  <si>
    <t>FBA19C53HQWX</t>
  </si>
  <si>
    <t>TS26042983098</t>
  </si>
  <si>
    <t>95023</t>
  </si>
  <si>
    <t>FBA19C12XM4V</t>
  </si>
  <si>
    <t>TS26042978168</t>
  </si>
  <si>
    <t>2.如需发票，请公对公转账付款，并在付款后30天内确认开票，逾期未确认概不后补。</t>
  </si>
  <si>
    <t>3.成交方式决定了买卖双方的责任和义务，留意按照单证资料对应付款。</t>
  </si>
  <si>
    <t>深圳市嘀嗒嘀物流科技有限公司</t>
  </si>
  <si>
    <t>应收费用单</t>
  </si>
  <si>
    <t>TO:</t>
  </si>
  <si>
    <t>签入日期</t>
  </si>
  <si>
    <t>服务商单号</t>
  </si>
  <si>
    <t>FBA单号</t>
  </si>
  <si>
    <t>客服</t>
  </si>
  <si>
    <t>销售产品</t>
  </si>
  <si>
    <t>目的国</t>
  </si>
  <si>
    <t>目的仓</t>
  </si>
  <si>
    <t>品名</t>
  </si>
  <si>
    <t>材积重</t>
  </si>
  <si>
    <t>其他费用</t>
  </si>
  <si>
    <t>币别</t>
  </si>
  <si>
    <t>计算公式</t>
  </si>
  <si>
    <t>合计应收（RMB)</t>
  </si>
  <si>
    <t>备注</t>
  </si>
  <si>
    <t>2026-02-03</t>
  </si>
  <si>
    <t>D260200725</t>
  </si>
  <si>
    <t>FBA1976NHDF8</t>
  </si>
  <si>
    <t>Alyssa</t>
  </si>
  <si>
    <t>美国海运-美东纽约卡派特惠线(BS)-华南</t>
  </si>
  <si>
    <t>AKR1</t>
  </si>
  <si>
    <t>CNY</t>
  </si>
  <si>
    <t>应收运费:&lt;474*6&gt;;应收报关费:&lt;200&gt;;</t>
  </si>
  <si>
    <t>单独报关</t>
  </si>
  <si>
    <t>2026-03-06</t>
  </si>
  <si>
    <t>D260301786</t>
  </si>
  <si>
    <t>FBA198354HLL</t>
  </si>
  <si>
    <t>加拿大海运-直航经济线卡派(BS)-华南</t>
  </si>
  <si>
    <t>YVR4</t>
  </si>
  <si>
    <t>AN6NZ-W AN6喷嘴配件套装 白色;AN6-W 便携式扩香仪 白色;AN6NZ-B AN6喷嘴配件套装 黑色;AN6-B 便携式扩香仪 黑色</t>
  </si>
  <si>
    <t>应收运费:&lt;137*6&gt;;应收报关费:&lt;200&gt;;</t>
  </si>
  <si>
    <t>2026-03-14</t>
  </si>
  <si>
    <t>D260305733</t>
  </si>
  <si>
    <t>FBA198K5X4YB</t>
  </si>
  <si>
    <t>美国海运-钢牛普运特惠线卡派(BS)-华南</t>
  </si>
  <si>
    <t>ANX-SG 便携式扩香仪 太空灰色;ANZ-B 便携式扩香仪 黑色</t>
  </si>
  <si>
    <t>应收运费:&lt;212*3.1&gt;;应收报关费:&lt;200&gt;;</t>
  </si>
  <si>
    <t>2026-03-28</t>
  </si>
  <si>
    <t>D260313250</t>
  </si>
  <si>
    <t>FBA1990KKRQ3</t>
  </si>
  <si>
    <t>ANZKIT-B_B 便携式扩香仪 黑色 两个装</t>
  </si>
  <si>
    <t>应收运费:&lt;104*4.1&gt;;</t>
  </si>
  <si>
    <t>D260313250
D260313254
D260313262
合并报关</t>
  </si>
  <si>
    <t>D260313254</t>
  </si>
  <si>
    <t>FBA1997ZZGG7</t>
  </si>
  <si>
    <t>ANZKIT-W_4X10K04_TZ ANZ白色机器+4x10mL酒店（天竺）香氛油 机油套装;ANZKIT-B_4X10K04_TZ ANZ黑色机器+4x10mL酒店（天竺）香氛油 机油套装</t>
  </si>
  <si>
    <t>应收运费:&lt;353*4.3&gt;;应收报关费:&lt;200.00&gt;;</t>
  </si>
  <si>
    <t>D260313262</t>
  </si>
  <si>
    <t>FBA1998DXN77,FBA199C7XWBM</t>
  </si>
  <si>
    <t>AN6KIT-B_4X10K04_TZ AN6黑色机器+4x10mL酒店（天竺）香氛油 机油套装;AN8KIT-WH_4X10K05_TZ AN8白色机器+4x10mL（天竺）酒店香氛油 机油套装;AN8KIT-B_4X10K05_TZ AN8黑色机器+4x10mL（天竺）酒店香氛油 机油套装;AN8KIT-B_4X10K01 AN8黑色机器+4x10mL酒店香氛油 机油套装;ANZKIT-W_</t>
  </si>
  <si>
    <t>应收运费:&lt;1715*4.2&gt;;</t>
  </si>
  <si>
    <t>D260305727</t>
  </si>
  <si>
    <t>FBA15LHXTKQ1</t>
  </si>
  <si>
    <t>英国海运-卡派(ZS)-KG-华南</t>
  </si>
  <si>
    <t>英国</t>
  </si>
  <si>
    <t>BHX4</t>
  </si>
  <si>
    <t>AN6-GL 便携式扩香仪 翠百合色;ANX-SG 便携式扩香仪 太空灰色;AN6-LB 便携式扩香仪 浅钢蓝色</t>
  </si>
  <si>
    <t>应收运费:&lt;134*4.1&gt;;应收报关费:&lt;200&gt;;清关费:&lt;300&gt;;</t>
  </si>
  <si>
    <t>D260305727-B1</t>
  </si>
  <si>
    <t>税金:&lt;428.10&gt;;</t>
  </si>
  <si>
    <t>46.8*9.1475=428.103</t>
  </si>
  <si>
    <t>D260313093</t>
  </si>
  <si>
    <t>FBA15LKVV9JS</t>
  </si>
  <si>
    <t>ANX-DT 便携式扩香仪 沙漠钛色;ANX-SG 便携式扩香仪 太空灰色;ANX-B 便携式扩香仪 黑色;AN6-G 便携式扩香仪 灰色;ANX-SILV 便携式扩香仪 银色</t>
  </si>
  <si>
    <t>应收运费:&lt;196*4.6&gt;;应收报关费:&lt;200&gt;;税金:&lt;635.94&gt;;清关费:&lt;350&gt;;</t>
  </si>
  <si>
    <t>68.4*9.2973=635.93532;</t>
  </si>
  <si>
    <t>D260402011</t>
  </si>
  <si>
    <t>FBA199J8WL2C,FBA199JBK252</t>
  </si>
  <si>
    <t>ANW-B 智能扩香仪 黑色;ANW-W 智能扩香仪 白色;ANP-W_US 墙插式智能扩香仪 白色</t>
  </si>
  <si>
    <t>应收运费:&lt;902*4.5&gt;;</t>
  </si>
  <si>
    <t>D260402011
D260402013
合并报关</t>
  </si>
  <si>
    <t>2026-04-04</t>
  </si>
  <si>
    <t>D260402013</t>
  </si>
  <si>
    <t>FBA199J9RQ5K,FBA199KPSFXM</t>
  </si>
  <si>
    <t>AN6KIT-B_4X10K04_TZ AN6黑色机器+4x10mL酒店（天竺）香氛油 机油套装(带精油）;AN8KIT-B_4X10K05_TZ AN8黑色机器+4x10mL（天竺）酒店香氛油 机油套装(带精油）;ANZKIT-W_4X10K04_TZ ANZ白色机器+4x10mL酒店（天竺）香氛油 机油套装(带精油）;ANZKIT-B_4X10K04_TZ ANZ黑色机器+4x10mL酒店（</t>
  </si>
  <si>
    <t>应收运费:&lt;2573*3.7&gt;;应收报关费:&lt;200.00&gt;;</t>
  </si>
  <si>
    <t>D260402014</t>
  </si>
  <si>
    <t>FBA199ND5Y2G</t>
  </si>
  <si>
    <t>RDXKIT-B_US_2X100K04 RDX黑色机器+2X100mL酒店香氛油（天竺） 机油套装（带精油）;RDX-B_US 智能扩香仪 黑色</t>
  </si>
  <si>
    <t>应收运费:&lt;759*4.8&gt;;</t>
  </si>
  <si>
    <t>D260402366</t>
  </si>
  <si>
    <t>FBA199KWXBZZ</t>
  </si>
  <si>
    <t>ANPKIT-WH_US_3X20K01_TZ ANP白色机器+3X20mL酒店香氛油（天竺） 机油套装（带精油）</t>
  </si>
  <si>
    <t>应收运费:&lt;84*4.5&gt;;应收报关费:&lt;200.00&gt;;</t>
  </si>
  <si>
    <t>D260402014
D260402366
合并报关</t>
  </si>
  <si>
    <t>D260409617</t>
  </si>
  <si>
    <t>FBA19B9HK18P</t>
  </si>
  <si>
    <t>美国海运-钻龙特运卡派(BS)-华南</t>
  </si>
  <si>
    <t>RD1-DT 便携式扩香仪 沙漠钛色;ADXKIT-DT_4X10K04_TZ AD钛色机器+4x10mL酒店（天竺）香氛油 机油套装（带精油）</t>
  </si>
  <si>
    <t>应收运费:&lt;329*7.9&gt;;</t>
  </si>
  <si>
    <t>D260409663</t>
  </si>
  <si>
    <t>FBA19B9LM3JV</t>
  </si>
  <si>
    <t>ANZKIT-B_4X10K04_TZ ANZ黑色机器+4x10mL酒店（天竺）香氛油 机油套装（带精油）</t>
  </si>
  <si>
    <t>应收运费:&lt;253*8.9&gt;;应收报关费:&lt;200&gt;;</t>
  </si>
  <si>
    <t>D260409617
D260409663
合并报关</t>
  </si>
  <si>
    <t>合计</t>
  </si>
  <si>
    <t>附我司帐户：</t>
  </si>
  <si>
    <t>公司名称： 深圳市嘀嗒嘀物流科技有限公司</t>
  </si>
  <si>
    <t>开户行名称:   中国银行深圳国贸支行</t>
  </si>
  <si>
    <t>公司账户:    758874458973  （RMB）</t>
  </si>
  <si>
    <t>我司开具的发票项目统一填写为：经济代理服务*代理国际运费，不开具其他项目明细；</t>
  </si>
  <si>
    <t>如贵司对开票项目有特殊要求的，请确认费用时特别说明，发票一经开出，不轻易更改；如需更改，需加收200元操作费；</t>
  </si>
  <si>
    <t>1.尊敬的客户，收到我司账单后请尽快核对，如有疑问请联系发账单同事。三天内不回复，则当默认无误。</t>
  </si>
  <si>
    <t>2.请及时付款并提供水单，汇款时，请注明我司工作单号，并请确保我司实际到账金额与对账金额一致！</t>
  </si>
  <si>
    <t>2026-05-07</t>
  </si>
  <si>
    <t>积米跨境供应链有限公司</t>
  </si>
  <si>
    <t xml:space="preserve"> Jimi cross border supply chain Co.,Ltd</t>
  </si>
  <si>
    <t>广州市白云区鹤龙街黄边北路146号汇金大厦 803-805室</t>
  </si>
  <si>
    <t>深圳市龙岗区坂田街道吉华路489号乐荟科创中心3栋4层A2室</t>
  </si>
  <si>
    <t xml:space="preserve">202606110064 </t>
  </si>
  <si>
    <t>101202-润点创新</t>
  </si>
  <si>
    <t>收费重(KG)</t>
  </si>
  <si>
    <t>仓库代码</t>
  </si>
  <si>
    <t>2026/05/09</t>
  </si>
  <si>
    <t>JM2605084051</t>
  </si>
  <si>
    <t>R6339000011</t>
  </si>
  <si>
    <t>20毫升精油,10毫升精油</t>
  </si>
  <si>
    <t>1Z765YW90312928840</t>
  </si>
  <si>
    <t>COSCO海派-NB</t>
  </si>
  <si>
    <t>08807</t>
  </si>
  <si>
    <t>16.30/KG</t>
  </si>
  <si>
    <t>非FBA派送附加费</t>
  </si>
  <si>
    <t>1.00/KG</t>
  </si>
  <si>
    <t>2026/05/15</t>
  </si>
  <si>
    <t>JM2605139386</t>
  </si>
  <si>
    <t>FBA19D4B6M9C</t>
  </si>
  <si>
    <t>100毫升精油,500毫升精油</t>
  </si>
  <si>
    <t>COSCO卡派-NB</t>
  </si>
  <si>
    <t>PSC2</t>
  </si>
  <si>
    <t>7.60/KG</t>
  </si>
  <si>
    <t>单证报关费</t>
  </si>
  <si>
    <t>2026/05/22</t>
  </si>
  <si>
    <t>JM2605219389</t>
  </si>
  <si>
    <t>FBA19D747B01</t>
  </si>
  <si>
    <t>100毫升精油,6*10毫升精油套装</t>
  </si>
  <si>
    <t>6.40/KG</t>
  </si>
  <si>
    <t>以下为我司指定收款账号，收到账单后请及时安排付款，务必将付款水单提供至我司销账，以便货物正常中转，谢谢配合！</t>
  </si>
  <si>
    <t xml:space="preserve">开户行及账号:  深圳积米跨境供应链有限公司 9550880232014100100 广发银行深圳福田支行 </t>
  </si>
  <si>
    <t>开户行及账号:  广州积米跨境供应链有限公司 3602184309100099261 工商银行广州金钟横路支行</t>
  </si>
  <si>
    <t>第三方平台付款，请汇至以下账号，以下账号可收人民币、美元</t>
  </si>
  <si>
    <t>账户信息： 
Account Number:747330470838
Company Name:Hong Kong Jimi Cross Border Supply Chain Limited
Beneficiary Bank Name: Hongkong and Shanghai Banking Corporation Limited
Bank Code:004（用于香港本地银行转账）
Beneficiary Bank Address:  No. 1 Queen's Road Central Hong Kong
Swift Code: HSBCHKHHHKH</t>
  </si>
  <si>
    <t>深圳市京奕达跨境物流科技有限公司</t>
  </si>
  <si>
    <t>5月8号</t>
  </si>
  <si>
    <t xml:space="preserve"> JYD2605080000041</t>
  </si>
  <si>
    <t>卡派</t>
  </si>
  <si>
    <t>FBA15LQTG88C</t>
  </si>
  <si>
    <t>欧洲海运（BS）</t>
  </si>
  <si>
    <t>BER8</t>
  </si>
  <si>
    <t>加湿器</t>
  </si>
  <si>
    <t>RMB</t>
  </si>
  <si>
    <t>报关费200</t>
  </si>
  <si>
    <t>5月21</t>
  </si>
  <si>
    <t>JYD2605200000123</t>
  </si>
  <si>
    <t>FBA15LRDVZJC</t>
  </si>
  <si>
    <t>香薰机</t>
  </si>
  <si>
    <t>JYD2605200000124</t>
  </si>
  <si>
    <t>FBA15LSK9KTJ</t>
  </si>
  <si>
    <t>5月22</t>
  </si>
  <si>
    <t>JYD2605220000129</t>
  </si>
  <si>
    <t>FBA15LTKZKLC</t>
  </si>
  <si>
    <t>DTM1</t>
  </si>
  <si>
    <t>合并报关</t>
  </si>
  <si>
    <t>公司名称： 深圳市京奕达跨境物流科技有限公司</t>
  </si>
  <si>
    <t>开户行名称:   招商银行股份有限公司深圳福田支行</t>
  </si>
  <si>
    <t>公司账户:    755983713510088  （RMB）</t>
  </si>
  <si>
    <t xml:space="preserve">202606060012 </t>
  </si>
  <si>
    <t>WB2605088524</t>
  </si>
  <si>
    <t>/</t>
  </si>
  <si>
    <t>美国海派限时达-普船</t>
  </si>
  <si>
    <t>CN6339</t>
  </si>
  <si>
    <t>16.90/KG</t>
  </si>
  <si>
    <t>WB2605087115</t>
  </si>
  <si>
    <t>FBA19CS2J6FM</t>
  </si>
  <si>
    <t>YOW1</t>
  </si>
  <si>
    <t>6.60/KG</t>
  </si>
  <si>
    <t>2026/05/10</t>
  </si>
  <si>
    <t>WB2605089744</t>
  </si>
  <si>
    <t>FBA19CVZRY66</t>
  </si>
  <si>
    <t>WB2605084875</t>
  </si>
  <si>
    <t>FBA19CVVZN2V</t>
  </si>
  <si>
    <t>美西拆柜专线-快船</t>
  </si>
  <si>
    <t>9.40/KG</t>
  </si>
  <si>
    <t>WB2605087434</t>
  </si>
  <si>
    <t>FBA19CVTGBRQ</t>
  </si>
  <si>
    <t>WB2605084974</t>
  </si>
  <si>
    <t>FBA19CKXTVFC</t>
  </si>
  <si>
    <t>QXY8</t>
  </si>
  <si>
    <t>4.60/KG</t>
  </si>
  <si>
    <t>WB2605081113</t>
  </si>
  <si>
    <t>FBA19CVTVQS7</t>
  </si>
  <si>
    <t>WB2605084491</t>
  </si>
  <si>
    <t>FBA19CSKJ9TY</t>
  </si>
  <si>
    <t>WB2605089861</t>
  </si>
  <si>
    <t>FBA19CJWGL14,FBA19CSDPQT6</t>
  </si>
  <si>
    <t>4.50/KG</t>
  </si>
  <si>
    <t>WB2605088504</t>
  </si>
  <si>
    <t>FBA19CKRNYM2</t>
  </si>
  <si>
    <t>2026/05/14</t>
  </si>
  <si>
    <t>WB2605135083</t>
  </si>
  <si>
    <t>FBA15LQT5NPH</t>
  </si>
  <si>
    <t>英国海卡专线-按方</t>
  </si>
  <si>
    <t>LBA4-DN110GU</t>
  </si>
  <si>
    <t>780.00/立方</t>
  </si>
  <si>
    <t>清关费</t>
  </si>
  <si>
    <t>0.10/票</t>
  </si>
  <si>
    <t>关税</t>
  </si>
  <si>
    <t>0.10</t>
  </si>
  <si>
    <t>待补</t>
  </si>
  <si>
    <t>WB2605149645</t>
  </si>
  <si>
    <t>FBA19CXL7FRP,FBA19CXM6Z07</t>
  </si>
  <si>
    <t>4.95/KG</t>
  </si>
  <si>
    <t>2026/05/16</t>
  </si>
  <si>
    <t>WB2605146378</t>
  </si>
  <si>
    <t>FBA19CY3DWCX,FBA19CY3S27T,FBA19D384MDF</t>
  </si>
  <si>
    <t>4.25/KG</t>
  </si>
  <si>
    <t>WB2605146909</t>
  </si>
  <si>
    <t>FBA19D93KMHJ,FBA19D94S4L0</t>
  </si>
  <si>
    <t>WB2605145920</t>
  </si>
  <si>
    <t>FBA19CYBYB8S,FBA19D0YVFRX,FBA19D4HMDZM</t>
  </si>
  <si>
    <t>4.35/KG</t>
  </si>
  <si>
    <t>2026/05/17</t>
  </si>
  <si>
    <t>WB2605156846</t>
  </si>
  <si>
    <t>FBA19DCQDFHJ</t>
  </si>
  <si>
    <t>美中拆柜专线-普船</t>
  </si>
  <si>
    <t>SAT4</t>
  </si>
  <si>
    <t>5.90/KG</t>
  </si>
  <si>
    <t>WB2605153991</t>
  </si>
  <si>
    <t>FBA19DCSKYDJ</t>
  </si>
  <si>
    <t>美东拆柜专线-普船</t>
  </si>
  <si>
    <t>HSV1</t>
  </si>
  <si>
    <t>6.30/KG</t>
  </si>
  <si>
    <t>WB2605159087</t>
  </si>
  <si>
    <t>FBA19DCNSFXR</t>
  </si>
  <si>
    <t>JVL1</t>
  </si>
  <si>
    <t>WB2605156368</t>
  </si>
  <si>
    <t>FBA19DCRKGGZ</t>
  </si>
  <si>
    <t>WB2605154584</t>
  </si>
  <si>
    <t>FBA19DCSC490</t>
  </si>
  <si>
    <t>FAT2</t>
  </si>
  <si>
    <t>5.10/KG</t>
  </si>
  <si>
    <t>WB2605218104</t>
  </si>
  <si>
    <t>FBA19DBRV3ML,FBA19DBWHMS4</t>
  </si>
  <si>
    <t>WB2605218948</t>
  </si>
  <si>
    <t>FBA19DCGXCHB</t>
  </si>
  <si>
    <t>2026/05/23</t>
  </si>
  <si>
    <t>WB2605217764</t>
  </si>
  <si>
    <t>FBA19DCLY68K</t>
  </si>
  <si>
    <t>WB2605218910</t>
  </si>
  <si>
    <t>FBA19CYJ3DZ0</t>
  </si>
  <si>
    <t>2026/05/29</t>
  </si>
  <si>
    <t>WB2605282485</t>
  </si>
  <si>
    <t>FBA19F1CKNMZ</t>
  </si>
  <si>
    <t>ABQ2</t>
  </si>
  <si>
    <t>WB2605288179</t>
  </si>
  <si>
    <t>FBA19DZDJ9ZD</t>
  </si>
  <si>
    <t>WB2605281639</t>
  </si>
  <si>
    <t>FBA19DZ91P1W</t>
  </si>
  <si>
    <t>WB2605283672</t>
  </si>
  <si>
    <t>FBA19DZB5TF6</t>
  </si>
  <si>
    <t>WB2605277823</t>
  </si>
  <si>
    <t>FBA19DVRJ4T5</t>
  </si>
  <si>
    <t>WB2605282358</t>
  </si>
  <si>
    <t>FBA19DX51Y1T</t>
  </si>
  <si>
    <t>WB2605286950</t>
  </si>
  <si>
    <t>FBA19DX4J71R</t>
  </si>
  <si>
    <t>WB2605286325</t>
  </si>
  <si>
    <t>FBA19F6GKFQ6</t>
  </si>
  <si>
    <t xml:space="preserve"> 82891.50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</si>
</sst>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0.00_);[Red]\(0.00\)"/>
    <numFmt numFmtId="178" formatCode="0.00_);\(0.00\)"/>
    <numFmt numFmtId="179" formatCode="m&quot;月&quot;d&quot;日&quot;;@"/>
    <numFmt numFmtId="180" formatCode="m/d;@"/>
    <numFmt numFmtId="181" formatCode="[$-409]d/mmm;@"/>
  </numFmts>
  <fonts count="55">
    <font>
      <sz val="11"/>
      <color theme="1"/>
      <name val="等线"/>
      <family val="2"/>
      <charset val="134"/>
      <scheme val="minor"/>
    </font>
    <font>
      <sz val="11"/>
      <color indexed="8"/>
      <name val="等线"/>
      <family val="3"/>
      <charset val="134"/>
      <scheme val="minor"/>
    </font>
    <font>
      <b/>
      <sz val="26"/>
      <name val="宋体"/>
      <family val="3"/>
      <charset val="134"/>
    </font>
    <font>
      <sz val="9"/>
      <name val="等线"/>
      <family val="2"/>
      <charset val="134"/>
      <scheme val="minor"/>
    </font>
    <font>
      <b/>
      <sz val="20"/>
      <name val="宋体"/>
      <family val="3"/>
      <charset val="134"/>
    </font>
    <font>
      <b/>
      <sz val="13"/>
      <name val="宋体"/>
      <family val="3"/>
      <charset val="134"/>
    </font>
    <font>
      <b/>
      <sz val="12"/>
      <name val="宋体"/>
      <family val="3"/>
      <charset val="134"/>
    </font>
    <font>
      <sz val="11"/>
      <name val="宋体"/>
      <family val="3"/>
      <charset val="134"/>
    </font>
    <font>
      <b/>
      <sz val="11"/>
      <color rgb="FFFF0000"/>
      <name val="等线"/>
      <family val="3"/>
      <charset val="134"/>
      <scheme val="minor"/>
    </font>
    <font>
      <b/>
      <sz val="12"/>
      <color rgb="FFFF0000"/>
      <name val="宋体"/>
      <family val="3"/>
      <charset val="134"/>
    </font>
    <font>
      <sz val="12"/>
      <color indexed="8"/>
      <name val="等线"/>
      <family val="3"/>
      <charset val="134"/>
      <scheme val="minor"/>
    </font>
    <font>
      <sz val="9"/>
      <color rgb="FF000000"/>
      <name val="微软雅黑"/>
      <family val="2"/>
      <charset val="134"/>
    </font>
    <font>
      <sz val="36"/>
      <color rgb="FF3366FF"/>
      <name val="微软雅黑"/>
      <family val="2"/>
      <charset val="134"/>
    </font>
    <font>
      <sz val="36"/>
      <color rgb="FF000000"/>
      <name val="微软雅黑"/>
      <family val="2"/>
      <charset val="134"/>
    </font>
    <font>
      <b/>
      <sz val="22"/>
      <color rgb="FF000000"/>
      <name val="微软雅黑"/>
      <family val="2"/>
      <charset val="134"/>
    </font>
    <font>
      <b/>
      <sz val="18"/>
      <color rgb="FF000000"/>
      <name val="微软雅黑"/>
      <family val="2"/>
      <charset val="134"/>
    </font>
    <font>
      <b/>
      <sz val="24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6"/>
      <color rgb="FF00000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20"/>
      <color rgb="FF000000"/>
      <name val="微软雅黑"/>
      <family val="2"/>
      <charset val="134"/>
    </font>
    <font>
      <b/>
      <sz val="18"/>
      <color rgb="FFFF0000"/>
      <name val="宋体"/>
      <family val="3"/>
      <charset val="134"/>
    </font>
    <font>
      <sz val="16"/>
      <color rgb="FFDD0806"/>
      <name val="微软雅黑"/>
      <family val="2"/>
      <charset val="134"/>
    </font>
    <font>
      <sz val="12"/>
      <color rgb="FF000000"/>
      <name val="宋体"/>
      <family val="3"/>
      <charset val="134"/>
    </font>
    <font>
      <b/>
      <sz val="28"/>
      <color rgb="FF00B0F0"/>
      <name val="方正公文小标宋"/>
      <charset val="134"/>
    </font>
    <font>
      <b/>
      <sz val="11"/>
      <color rgb="FF00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2"/>
      <color rgb="FF00B0F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22"/>
      <color indexed="8"/>
      <name val="宋体"/>
      <family val="3"/>
      <charset val="134"/>
    </font>
    <font>
      <b/>
      <sz val="11"/>
      <color indexed="8"/>
      <name val="Calibri"/>
      <family val="2"/>
    </font>
    <font>
      <b/>
      <sz val="9"/>
      <color indexed="10"/>
      <name val="微软雅黑"/>
      <family val="2"/>
      <charset val="134"/>
    </font>
    <font>
      <sz val="9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rgb="FFFF0000"/>
      <name val="宋体"/>
      <family val="3"/>
      <charset val="134"/>
    </font>
    <font>
      <b/>
      <sz val="12"/>
      <color indexed="8"/>
      <name val="宋体"/>
      <family val="3"/>
      <charset val="134"/>
    </font>
    <font>
      <sz val="9"/>
      <color indexed="8"/>
      <name val="宋体"/>
      <family val="3"/>
      <charset val="134"/>
    </font>
    <font>
      <sz val="9"/>
      <color indexed="10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0"/>
      <color indexed="8"/>
      <name val="宋体"/>
      <family val="3"/>
      <charset val="134"/>
    </font>
    <font>
      <sz val="36"/>
      <color rgb="FFFF0000"/>
      <name val="微软雅黑"/>
      <family val="2"/>
      <charset val="134"/>
    </font>
    <font>
      <b/>
      <sz val="14"/>
      <color rgb="FF000000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36"/>
      <color rgb="FF00FF00"/>
      <name val="微软雅黑"/>
      <family val="2"/>
      <charset val="134"/>
    </font>
    <font>
      <sz val="16"/>
      <color rgb="FF0000FF"/>
      <name val="微软雅黑"/>
      <family val="2"/>
      <charset val="134"/>
    </font>
    <font>
      <b/>
      <sz val="14"/>
      <color rgb="FF000000"/>
      <name val="宋体"/>
      <family val="3"/>
      <charset val="134"/>
    </font>
    <font>
      <sz val="18"/>
      <color rgb="FF000000"/>
      <name val="微软雅黑"/>
      <family val="2"/>
      <charset val="134"/>
    </font>
    <font>
      <sz val="1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26"/>
        <bgColor indexed="64"/>
      </patternFill>
    </fill>
    <fill>
      <patternFill patternType="solid">
        <fgColor rgb="FFFFFFCC"/>
        <bgColor rgb="FF000000"/>
      </patternFill>
    </fill>
  </fills>
  <borders count="3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22"/>
      </right>
      <top/>
      <bottom/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2"/>
      </left>
      <right/>
      <top/>
      <bottom/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11" fillId="0" borderId="0"/>
  </cellStyleXfs>
  <cellXfs count="233">
    <xf numFmtId="0" fontId="0" fillId="0" borderId="0" xfId="0">
      <alignment vertical="center"/>
    </xf>
    <xf numFmtId="0" fontId="1" fillId="0" borderId="0" xfId="1">
      <alignment vertical="center"/>
    </xf>
    <xf numFmtId="0" fontId="5" fillId="0" borderId="4" xfId="1" applyFont="1" applyBorder="1" applyAlignment="1">
      <alignment horizontal="center" vertical="center"/>
    </xf>
    <xf numFmtId="14" fontId="5" fillId="0" borderId="0" xfId="1" applyNumberFormat="1" applyFon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14" fontId="5" fillId="0" borderId="5" xfId="1" applyNumberFormat="1" applyFont="1" applyBorder="1">
      <alignment vertical="center"/>
    </xf>
    <xf numFmtId="14" fontId="5" fillId="0" borderId="6" xfId="1" applyNumberFormat="1" applyFont="1" applyBorder="1">
      <alignment vertical="center"/>
    </xf>
    <xf numFmtId="14" fontId="5" fillId="0" borderId="7" xfId="1" applyNumberFormat="1" applyFont="1" applyBorder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>
      <alignment vertical="center"/>
    </xf>
    <xf numFmtId="0" fontId="7" fillId="2" borderId="11" xfId="1" applyFont="1" applyFill="1" applyBorder="1" applyAlignment="1">
      <alignment horizontal="center" vertical="center"/>
    </xf>
    <xf numFmtId="0" fontId="1" fillId="0" borderId="12" xfId="1" applyBorder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8" fillId="0" borderId="11" xfId="1" applyFont="1" applyBorder="1" applyAlignment="1">
      <alignment horizontal="center" vertical="center"/>
    </xf>
    <xf numFmtId="176" fontId="1" fillId="0" borderId="11" xfId="1" applyNumberFormat="1" applyBorder="1" applyAlignment="1">
      <alignment horizontal="center" vertical="center"/>
    </xf>
    <xf numFmtId="0" fontId="1" fillId="0" borderId="13" xfId="1" applyBorder="1">
      <alignment vertical="center"/>
    </xf>
    <xf numFmtId="0" fontId="10" fillId="0" borderId="0" xfId="1" applyFont="1">
      <alignment vertical="center"/>
    </xf>
    <xf numFmtId="0" fontId="10" fillId="0" borderId="5" xfId="1" applyFont="1" applyBorder="1">
      <alignment vertical="center"/>
    </xf>
    <xf numFmtId="0" fontId="6" fillId="0" borderId="5" xfId="1" applyFont="1" applyBorder="1">
      <alignment vertical="center"/>
    </xf>
    <xf numFmtId="0" fontId="9" fillId="0" borderId="5" xfId="1" applyFont="1" applyBorder="1">
      <alignment vertical="center"/>
    </xf>
    <xf numFmtId="0" fontId="9" fillId="0" borderId="0" xfId="1" applyFont="1">
      <alignment vertical="center"/>
    </xf>
    <xf numFmtId="0" fontId="10" fillId="0" borderId="6" xfId="1" applyFont="1" applyBorder="1">
      <alignment vertical="center"/>
    </xf>
    <xf numFmtId="0" fontId="9" fillId="0" borderId="6" xfId="1" applyFont="1" applyBorder="1">
      <alignment vertical="center"/>
    </xf>
    <xf numFmtId="0" fontId="9" fillId="0" borderId="7" xfId="1" applyFont="1" applyBorder="1">
      <alignment vertical="center"/>
    </xf>
    <xf numFmtId="0" fontId="9" fillId="0" borderId="11" xfId="1" applyFont="1" applyBorder="1" applyAlignment="1">
      <alignment horizontal="left" vertical="center"/>
    </xf>
    <xf numFmtId="49" fontId="12" fillId="4" borderId="0" xfId="2" applyNumberFormat="1" applyFont="1" applyFill="1" applyAlignment="1">
      <alignment horizontal="center" vertical="top" wrapText="1"/>
    </xf>
    <xf numFmtId="49" fontId="13" fillId="4" borderId="0" xfId="2" applyNumberFormat="1" applyFont="1" applyFill="1" applyAlignment="1">
      <alignment vertical="center" wrapText="1"/>
    </xf>
    <xf numFmtId="49" fontId="15" fillId="4" borderId="0" xfId="2" applyNumberFormat="1" applyFont="1" applyFill="1" applyAlignment="1">
      <alignment vertical="center" wrapText="1"/>
    </xf>
    <xf numFmtId="0" fontId="11" fillId="0" borderId="0" xfId="2"/>
    <xf numFmtId="49" fontId="16" fillId="4" borderId="0" xfId="2" applyNumberFormat="1" applyFont="1" applyFill="1" applyAlignment="1">
      <alignment vertical="center"/>
    </xf>
    <xf numFmtId="49" fontId="17" fillId="4" borderId="0" xfId="2" applyNumberFormat="1" applyFont="1" applyFill="1" applyAlignment="1">
      <alignment horizontal="left" vertical="center"/>
    </xf>
    <xf numFmtId="49" fontId="17" fillId="4" borderId="0" xfId="2" applyNumberFormat="1" applyFont="1" applyFill="1" applyAlignment="1">
      <alignment vertical="center"/>
    </xf>
    <xf numFmtId="177" fontId="17" fillId="4" borderId="0" xfId="2" applyNumberFormat="1" applyFont="1" applyFill="1" applyAlignment="1">
      <alignment vertical="center"/>
    </xf>
    <xf numFmtId="49" fontId="16" fillId="4" borderId="0" xfId="2" applyNumberFormat="1" applyFont="1" applyFill="1" applyAlignment="1">
      <alignment horizontal="center" vertical="center"/>
    </xf>
    <xf numFmtId="49" fontId="17" fillId="4" borderId="0" xfId="2" applyNumberFormat="1" applyFont="1" applyFill="1" applyAlignment="1">
      <alignment horizontal="center" vertical="center"/>
    </xf>
    <xf numFmtId="177" fontId="17" fillId="4" borderId="0" xfId="2" applyNumberFormat="1" applyFont="1" applyFill="1" applyAlignment="1">
      <alignment horizontal="center" vertical="center"/>
    </xf>
    <xf numFmtId="49" fontId="18" fillId="4" borderId="0" xfId="2" applyNumberFormat="1" applyFont="1" applyFill="1"/>
    <xf numFmtId="49" fontId="18" fillId="4" borderId="0" xfId="2" applyNumberFormat="1" applyFont="1" applyFill="1" applyAlignment="1">
      <alignment horizontal="left" vertical="center"/>
    </xf>
    <xf numFmtId="49" fontId="18" fillId="4" borderId="0" xfId="2" applyNumberFormat="1" applyFont="1" applyFill="1" applyAlignment="1">
      <alignment vertical="center"/>
    </xf>
    <xf numFmtId="177" fontId="18" fillId="4" borderId="0" xfId="2" applyNumberFormat="1" applyFont="1" applyFill="1" applyAlignment="1">
      <alignment vertical="center"/>
    </xf>
    <xf numFmtId="49" fontId="17" fillId="4" borderId="18" xfId="2" applyNumberFormat="1" applyFont="1" applyFill="1" applyBorder="1" applyAlignment="1">
      <alignment horizontal="center" vertical="center"/>
    </xf>
    <xf numFmtId="177" fontId="17" fillId="4" borderId="18" xfId="2" applyNumberFormat="1" applyFont="1" applyFill="1" applyBorder="1" applyAlignment="1">
      <alignment horizontal="center" vertical="center"/>
    </xf>
    <xf numFmtId="49" fontId="19" fillId="4" borderId="0" xfId="2" applyNumberFormat="1" applyFont="1" applyFill="1" applyAlignment="1">
      <alignment horizontal="center" vertical="center"/>
    </xf>
    <xf numFmtId="49" fontId="19" fillId="0" borderId="18" xfId="2" applyNumberFormat="1" applyFont="1" applyBorder="1" applyAlignment="1">
      <alignment horizontal="center" vertical="center"/>
    </xf>
    <xf numFmtId="177" fontId="19" fillId="0" borderId="18" xfId="2" applyNumberFormat="1" applyFont="1" applyBorder="1" applyAlignment="1">
      <alignment horizontal="center" vertical="center"/>
    </xf>
    <xf numFmtId="49" fontId="19" fillId="4" borderId="18" xfId="2" applyNumberFormat="1" applyFont="1" applyFill="1" applyBorder="1" applyAlignment="1">
      <alignment horizontal="center" vertical="center"/>
    </xf>
    <xf numFmtId="49" fontId="20" fillId="4" borderId="0" xfId="2" applyNumberFormat="1" applyFont="1" applyFill="1"/>
    <xf numFmtId="177" fontId="19" fillId="4" borderId="18" xfId="2" applyNumberFormat="1" applyFont="1" applyFill="1" applyBorder="1" applyAlignment="1">
      <alignment horizontal="center" vertical="center"/>
    </xf>
    <xf numFmtId="49" fontId="20" fillId="4" borderId="0" xfId="2" applyNumberFormat="1" applyFont="1" applyFill="1" applyAlignment="1">
      <alignment horizontal="center" vertical="center"/>
    </xf>
    <xf numFmtId="49" fontId="23" fillId="4" borderId="0" xfId="2" applyNumberFormat="1" applyFont="1" applyFill="1" applyAlignment="1">
      <alignment vertical="center"/>
    </xf>
    <xf numFmtId="49" fontId="11" fillId="0" borderId="0" xfId="2" applyNumberFormat="1"/>
    <xf numFmtId="177" fontId="23" fillId="4" borderId="0" xfId="2" applyNumberFormat="1" applyFont="1" applyFill="1" applyAlignment="1">
      <alignment vertical="center"/>
    </xf>
    <xf numFmtId="49" fontId="25" fillId="4" borderId="0" xfId="2" applyNumberFormat="1" applyFont="1" applyFill="1" applyAlignment="1">
      <alignment vertical="center"/>
    </xf>
    <xf numFmtId="177" fontId="25" fillId="4" borderId="0" xfId="2" applyNumberFormat="1" applyFont="1" applyFill="1" applyAlignment="1">
      <alignment vertical="center"/>
    </xf>
    <xf numFmtId="177" fontId="20" fillId="4" borderId="0" xfId="2" applyNumberFormat="1" applyFont="1" applyFill="1"/>
    <xf numFmtId="0" fontId="26" fillId="0" borderId="0" xfId="2" applyFont="1"/>
    <xf numFmtId="49" fontId="27" fillId="0" borderId="23" xfId="2" applyNumberFormat="1" applyFont="1" applyBorder="1" applyAlignment="1">
      <alignment horizontal="center" vertical="center"/>
    </xf>
    <xf numFmtId="0" fontId="28" fillId="0" borderId="0" xfId="2" applyFont="1" applyAlignment="1">
      <alignment vertical="center"/>
    </xf>
    <xf numFmtId="0" fontId="28" fillId="0" borderId="0" xfId="2" applyFont="1" applyAlignment="1">
      <alignment vertical="center" wrapText="1"/>
    </xf>
    <xf numFmtId="0" fontId="26" fillId="0" borderId="0" xfId="2" applyFont="1" applyAlignment="1">
      <alignment vertical="center"/>
    </xf>
    <xf numFmtId="0" fontId="20" fillId="4" borderId="0" xfId="2" applyFont="1" applyFill="1"/>
    <xf numFmtId="0" fontId="18" fillId="4" borderId="0" xfId="2" applyFont="1" applyFill="1"/>
    <xf numFmtId="177" fontId="17" fillId="4" borderId="20" xfId="2" applyNumberFormat="1" applyFont="1" applyFill="1" applyBorder="1" applyAlignment="1">
      <alignment horizontal="center" vertical="center"/>
    </xf>
    <xf numFmtId="0" fontId="17" fillId="4" borderId="18" xfId="2" applyFont="1" applyFill="1" applyBorder="1" applyAlignment="1">
      <alignment horizontal="center" vertical="center"/>
    </xf>
    <xf numFmtId="177" fontId="19" fillId="0" borderId="20" xfId="2" applyNumberFormat="1" applyFont="1" applyBorder="1" applyAlignment="1">
      <alignment horizontal="center" vertical="center"/>
    </xf>
    <xf numFmtId="0" fontId="19" fillId="4" borderId="18" xfId="2" applyFont="1" applyFill="1" applyBorder="1" applyAlignment="1">
      <alignment horizontal="center" vertical="center"/>
    </xf>
    <xf numFmtId="177" fontId="19" fillId="4" borderId="20" xfId="2" applyNumberFormat="1" applyFont="1" applyFill="1" applyBorder="1" applyAlignment="1">
      <alignment horizontal="center" vertical="center"/>
    </xf>
    <xf numFmtId="49" fontId="19" fillId="4" borderId="19" xfId="2" applyNumberFormat="1" applyFont="1" applyFill="1" applyBorder="1" applyAlignment="1">
      <alignment horizontal="center" vertical="center"/>
    </xf>
    <xf numFmtId="49" fontId="19" fillId="0" borderId="19" xfId="2" applyNumberFormat="1" applyFont="1" applyBorder="1" applyAlignment="1">
      <alignment horizontal="center" vertical="center"/>
    </xf>
    <xf numFmtId="177" fontId="19" fillId="4" borderId="19" xfId="2" applyNumberFormat="1" applyFont="1" applyFill="1" applyBorder="1" applyAlignment="1">
      <alignment horizontal="center" vertical="center"/>
    </xf>
    <xf numFmtId="0" fontId="19" fillId="4" borderId="0" xfId="2" applyFont="1" applyFill="1" applyAlignment="1">
      <alignment horizontal="center" vertical="center"/>
    </xf>
    <xf numFmtId="49" fontId="21" fillId="4" borderId="0" xfId="2" applyNumberFormat="1" applyFont="1" applyFill="1" applyAlignment="1">
      <alignment horizontal="left" vertical="center"/>
    </xf>
    <xf numFmtId="0" fontId="20" fillId="4" borderId="0" xfId="2" applyFont="1" applyFill="1" applyAlignment="1">
      <alignment horizontal="center" vertical="center"/>
    </xf>
    <xf numFmtId="49" fontId="32" fillId="4" borderId="0" xfId="2" applyNumberFormat="1" applyFont="1" applyFill="1"/>
    <xf numFmtId="0" fontId="9" fillId="0" borderId="28" xfId="1" applyFont="1" applyBorder="1" applyAlignment="1">
      <alignment horizontal="left" vertical="center"/>
    </xf>
    <xf numFmtId="0" fontId="9" fillId="0" borderId="29" xfId="1" applyFont="1" applyBorder="1" applyAlignment="1">
      <alignment horizontal="left" vertical="center"/>
    </xf>
    <xf numFmtId="0" fontId="9" fillId="0" borderId="30" xfId="1" applyFont="1" applyBorder="1" applyAlignment="1">
      <alignment horizontal="left" vertical="center"/>
    </xf>
    <xf numFmtId="0" fontId="34" fillId="0" borderId="0" xfId="1" applyFont="1" applyAlignment="1">
      <alignment horizontal="center" vertical="center"/>
    </xf>
    <xf numFmtId="0" fontId="35" fillId="0" borderId="0" xfId="1" applyFont="1" applyAlignment="1">
      <alignment horizontal="left" vertical="center"/>
    </xf>
    <xf numFmtId="0" fontId="36" fillId="0" borderId="0" xfId="1" applyFont="1" applyAlignment="1">
      <alignment horizontal="center" vertical="center"/>
    </xf>
    <xf numFmtId="178" fontId="36" fillId="0" borderId="0" xfId="1" applyNumberFormat="1" applyFont="1" applyAlignment="1">
      <alignment horizontal="center" vertical="center"/>
    </xf>
    <xf numFmtId="178" fontId="1" fillId="0" borderId="0" xfId="1" applyNumberFormat="1">
      <alignment vertical="center"/>
    </xf>
    <xf numFmtId="179" fontId="37" fillId="5" borderId="11" xfId="1" applyNumberFormat="1" applyFont="1" applyFill="1" applyBorder="1" applyAlignment="1">
      <alignment horizontal="center" vertical="center" shrinkToFit="1"/>
    </xf>
    <xf numFmtId="180" fontId="37" fillId="5" borderId="11" xfId="1" applyNumberFormat="1" applyFont="1" applyFill="1" applyBorder="1" applyAlignment="1">
      <alignment horizontal="center" vertical="center" wrapText="1" shrinkToFit="1"/>
    </xf>
    <xf numFmtId="180" fontId="37" fillId="5" borderId="31" xfId="1" applyNumberFormat="1" applyFont="1" applyFill="1" applyBorder="1" applyAlignment="1">
      <alignment horizontal="center" vertical="center" wrapText="1" shrinkToFit="1"/>
    </xf>
    <xf numFmtId="0" fontId="37" fillId="5" borderId="11" xfId="1" applyFont="1" applyFill="1" applyBorder="1" applyAlignment="1">
      <alignment horizontal="center" vertical="center" shrinkToFit="1"/>
    </xf>
    <xf numFmtId="0" fontId="37" fillId="5" borderId="31" xfId="1" applyFont="1" applyFill="1" applyBorder="1" applyAlignment="1">
      <alignment horizontal="center" vertical="center" shrinkToFit="1"/>
    </xf>
    <xf numFmtId="181" fontId="37" fillId="5" borderId="11" xfId="1" applyNumberFormat="1" applyFont="1" applyFill="1" applyBorder="1" applyAlignment="1">
      <alignment horizontal="center" vertical="center" wrapText="1" shrinkToFit="1"/>
    </xf>
    <xf numFmtId="181" fontId="37" fillId="5" borderId="31" xfId="1" applyNumberFormat="1" applyFont="1" applyFill="1" applyBorder="1" applyAlignment="1">
      <alignment horizontal="center" vertical="center" wrapText="1" shrinkToFit="1"/>
    </xf>
    <xf numFmtId="0" fontId="37" fillId="5" borderId="11" xfId="1" applyFont="1" applyFill="1" applyBorder="1" applyAlignment="1">
      <alignment horizontal="center" vertical="center" wrapText="1" shrinkToFit="1"/>
    </xf>
    <xf numFmtId="49" fontId="37" fillId="5" borderId="11" xfId="1" applyNumberFormat="1" applyFont="1" applyFill="1" applyBorder="1" applyAlignment="1">
      <alignment horizontal="center" vertical="center" wrapText="1" shrinkToFit="1"/>
    </xf>
    <xf numFmtId="177" fontId="37" fillId="5" borderId="11" xfId="1" applyNumberFormat="1" applyFont="1" applyFill="1" applyBorder="1" applyAlignment="1">
      <alignment horizontal="center" vertical="center" wrapText="1" shrinkToFit="1"/>
    </xf>
    <xf numFmtId="178" fontId="37" fillId="5" borderId="32" xfId="1" applyNumberFormat="1" applyFont="1" applyFill="1" applyBorder="1" applyAlignment="1">
      <alignment horizontal="center" vertical="center" wrapText="1" shrinkToFit="1"/>
    </xf>
    <xf numFmtId="177" fontId="37" fillId="5" borderId="32" xfId="1" applyNumberFormat="1" applyFont="1" applyFill="1" applyBorder="1" applyAlignment="1">
      <alignment horizontal="center" vertical="center" wrapText="1" shrinkToFit="1"/>
    </xf>
    <xf numFmtId="178" fontId="37" fillId="5" borderId="11" xfId="1" applyNumberFormat="1" applyFont="1" applyFill="1" applyBorder="1" applyAlignment="1">
      <alignment horizontal="center" vertical="center" wrapText="1" shrinkToFit="1"/>
    </xf>
    <xf numFmtId="0" fontId="38" fillId="0" borderId="33" xfId="1" applyFont="1" applyBorder="1" applyAlignment="1">
      <alignment horizontal="left"/>
    </xf>
    <xf numFmtId="178" fontId="38" fillId="0" borderId="33" xfId="1" applyNumberFormat="1" applyFont="1" applyBorder="1" applyAlignment="1">
      <alignment horizontal="left"/>
    </xf>
    <xf numFmtId="0" fontId="38" fillId="0" borderId="33" xfId="1" applyFont="1" applyBorder="1" applyAlignment="1">
      <alignment horizontal="left" wrapText="1"/>
    </xf>
    <xf numFmtId="0" fontId="39" fillId="0" borderId="33" xfId="1" applyFont="1" applyBorder="1" applyAlignment="1">
      <alignment horizontal="left"/>
    </xf>
    <xf numFmtId="0" fontId="40" fillId="0" borderId="11" xfId="1" applyFont="1" applyBorder="1" applyAlignment="1">
      <alignment horizontal="center" vertical="center"/>
    </xf>
    <xf numFmtId="178" fontId="40" fillId="0" borderId="32" xfId="1" applyNumberFormat="1" applyFont="1" applyBorder="1" applyAlignment="1">
      <alignment horizontal="center" vertical="center"/>
    </xf>
    <xf numFmtId="0" fontId="40" fillId="0" borderId="32" xfId="1" applyFont="1" applyBorder="1" applyAlignment="1">
      <alignment horizontal="center" vertical="center"/>
    </xf>
    <xf numFmtId="178" fontId="40" fillId="0" borderId="32" xfId="1" applyNumberFormat="1" applyFont="1" applyBorder="1">
      <alignment vertical="center"/>
    </xf>
    <xf numFmtId="0" fontId="40" fillId="0" borderId="11" xfId="1" applyFont="1" applyBorder="1">
      <alignment vertical="center"/>
    </xf>
    <xf numFmtId="0" fontId="41" fillId="0" borderId="0" xfId="1" applyFont="1" applyAlignment="1">
      <alignment horizontal="center" vertical="center"/>
    </xf>
    <xf numFmtId="178" fontId="41" fillId="0" borderId="0" xfId="1" applyNumberFormat="1" applyFont="1" applyAlignment="1">
      <alignment horizontal="center" vertical="center"/>
    </xf>
    <xf numFmtId="178" fontId="41" fillId="0" borderId="0" xfId="1" applyNumberFormat="1" applyFont="1">
      <alignment vertical="center"/>
    </xf>
    <xf numFmtId="0" fontId="41" fillId="0" borderId="0" xfId="1" applyFont="1">
      <alignment vertical="center"/>
    </xf>
    <xf numFmtId="178" fontId="41" fillId="0" borderId="0" xfId="1" applyNumberFormat="1" applyFont="1" applyAlignment="1">
      <alignment horizontal="left" vertical="center"/>
    </xf>
    <xf numFmtId="0" fontId="36" fillId="0" borderId="34" xfId="1" applyFont="1" applyBorder="1" applyAlignment="1">
      <alignment horizontal="left"/>
    </xf>
    <xf numFmtId="0" fontId="36" fillId="0" borderId="0" xfId="1" applyFont="1" applyAlignment="1">
      <alignment horizontal="left"/>
    </xf>
    <xf numFmtId="0" fontId="41" fillId="0" borderId="0" xfId="1" applyFont="1" applyAlignment="1">
      <alignment vertical="center" wrapText="1"/>
    </xf>
    <xf numFmtId="0" fontId="41" fillId="0" borderId="0" xfId="1" applyFont="1" applyAlignment="1">
      <alignment horizontal="center" vertical="center" wrapText="1"/>
    </xf>
    <xf numFmtId="0" fontId="41" fillId="0" borderId="0" xfId="1" applyFont="1" applyAlignment="1">
      <alignment horizontal="center" wrapText="1"/>
    </xf>
    <xf numFmtId="0" fontId="41" fillId="0" borderId="0" xfId="1" applyFont="1" applyAlignment="1">
      <alignment wrapText="1"/>
    </xf>
    <xf numFmtId="0" fontId="36" fillId="0" borderId="0" xfId="1" applyFont="1" applyAlignment="1">
      <alignment horizontal="left" wrapText="1"/>
    </xf>
    <xf numFmtId="0" fontId="36" fillId="0" borderId="0" xfId="1" applyFont="1" applyAlignment="1">
      <alignment horizontal="center" wrapText="1"/>
    </xf>
    <xf numFmtId="178" fontId="36" fillId="0" borderId="0" xfId="1" applyNumberFormat="1" applyFont="1" applyAlignment="1">
      <alignment horizontal="left" wrapText="1"/>
    </xf>
    <xf numFmtId="0" fontId="41" fillId="0" borderId="0" xfId="1" applyFont="1" applyAlignment="1">
      <alignment horizontal="left" vertical="center"/>
    </xf>
    <xf numFmtId="0" fontId="43" fillId="0" borderId="0" xfId="1" applyFont="1" applyAlignment="1">
      <alignment horizontal="center" wrapText="1"/>
    </xf>
    <xf numFmtId="0" fontId="43" fillId="0" borderId="0" xfId="1" applyFont="1" applyAlignment="1">
      <alignment horizontal="left" vertical="center" wrapText="1"/>
    </xf>
    <xf numFmtId="0" fontId="44" fillId="0" borderId="0" xfId="1" applyFont="1" applyAlignment="1">
      <alignment horizontal="center" vertical="center"/>
    </xf>
    <xf numFmtId="178" fontId="44" fillId="0" borderId="0" xfId="1" applyNumberFormat="1" applyFont="1" applyAlignment="1">
      <alignment horizontal="center" vertical="center"/>
    </xf>
    <xf numFmtId="178" fontId="43" fillId="0" borderId="0" xfId="1" applyNumberFormat="1" applyFont="1" applyAlignment="1">
      <alignment horizontal="center" wrapText="1"/>
    </xf>
    <xf numFmtId="0" fontId="45" fillId="0" borderId="0" xfId="1" applyFont="1" applyAlignment="1">
      <alignment horizontal="center" vertical="center"/>
    </xf>
    <xf numFmtId="178" fontId="45" fillId="0" borderId="0" xfId="1" applyNumberFormat="1" applyFont="1" applyAlignment="1">
      <alignment horizontal="center" vertical="center"/>
    </xf>
    <xf numFmtId="0" fontId="46" fillId="0" borderId="0" xfId="1" applyFont="1" applyAlignment="1">
      <alignment horizontal="left" vertical="center" wrapText="1"/>
    </xf>
    <xf numFmtId="178" fontId="46" fillId="0" borderId="0" xfId="1" applyNumberFormat="1" applyFont="1" applyAlignment="1">
      <alignment horizontal="left" vertical="center" wrapText="1"/>
    </xf>
    <xf numFmtId="49" fontId="47" fillId="4" borderId="0" xfId="2" applyNumberFormat="1" applyFont="1" applyFill="1" applyAlignment="1">
      <alignment horizontal="center" vertical="top" wrapText="1"/>
    </xf>
    <xf numFmtId="49" fontId="13" fillId="4" borderId="0" xfId="2" applyNumberFormat="1" applyFont="1" applyFill="1" applyAlignment="1">
      <alignment horizontal="left" vertical="center" wrapText="1"/>
    </xf>
    <xf numFmtId="49" fontId="50" fillId="4" borderId="0" xfId="2" applyNumberFormat="1" applyFont="1" applyFill="1" applyAlignment="1">
      <alignment horizontal="center" vertical="top" wrapText="1"/>
    </xf>
    <xf numFmtId="49" fontId="19" fillId="0" borderId="18" xfId="2" applyNumberFormat="1" applyFont="1" applyBorder="1" applyAlignment="1">
      <alignment horizontal="left" vertical="center"/>
    </xf>
    <xf numFmtId="0" fontId="11" fillId="0" borderId="0" xfId="2" applyAlignment="1">
      <alignment vertical="center"/>
    </xf>
    <xf numFmtId="49" fontId="19" fillId="4" borderId="18" xfId="2" applyNumberFormat="1" applyFont="1" applyFill="1" applyBorder="1" applyAlignment="1">
      <alignment horizontal="left" vertical="center"/>
    </xf>
    <xf numFmtId="177" fontId="21" fillId="4" borderId="0" xfId="2" applyNumberFormat="1" applyFont="1" applyFill="1" applyAlignment="1">
      <alignment horizontal="left" vertical="center"/>
    </xf>
    <xf numFmtId="0" fontId="52" fillId="0" borderId="0" xfId="2" applyFont="1" applyAlignment="1">
      <alignment vertical="center"/>
    </xf>
    <xf numFmtId="49" fontId="49" fillId="4" borderId="0" xfId="2" applyNumberFormat="1" applyFont="1" applyFill="1"/>
    <xf numFmtId="49" fontId="49" fillId="4" borderId="0" xfId="2" applyNumberFormat="1" applyFont="1" applyFill="1" applyAlignment="1">
      <alignment horizontal="left"/>
    </xf>
    <xf numFmtId="49" fontId="20" fillId="4" borderId="0" xfId="2" applyNumberFormat="1" applyFont="1" applyFill="1" applyAlignment="1">
      <alignment horizontal="left"/>
    </xf>
    <xf numFmtId="0" fontId="38" fillId="0" borderId="33" xfId="1" applyFont="1" applyBorder="1" applyAlignment="1">
      <alignment horizontal="center"/>
    </xf>
    <xf numFmtId="0" fontId="54" fillId="0" borderId="11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8" fillId="0" borderId="11" xfId="1" applyFont="1" applyBorder="1" applyAlignment="1">
      <alignment horizontal="center"/>
    </xf>
    <xf numFmtId="0" fontId="38" fillId="0" borderId="32" xfId="1" applyFont="1" applyBorder="1" applyAlignment="1">
      <alignment horizontal="center"/>
    </xf>
    <xf numFmtId="0" fontId="38" fillId="0" borderId="11" xfId="1" applyFont="1" applyBorder="1" applyAlignment="1">
      <alignment horizontal="center" vertical="center"/>
    </xf>
    <xf numFmtId="0" fontId="38" fillId="0" borderId="32" xfId="1" applyFont="1" applyBorder="1" applyAlignment="1">
      <alignment horizontal="center" vertical="center"/>
    </xf>
    <xf numFmtId="14" fontId="43" fillId="0" borderId="0" xfId="1" applyNumberFormat="1" applyFont="1" applyAlignment="1">
      <alignment horizontal="center" wrapText="1"/>
    </xf>
    <xf numFmtId="0" fontId="36" fillId="0" borderId="0" xfId="1" applyFont="1" applyAlignment="1">
      <alignment horizontal="left" wrapText="1"/>
    </xf>
    <xf numFmtId="0" fontId="36" fillId="0" borderId="0" xfId="1" applyFont="1" applyAlignment="1">
      <alignment horizontal="center" wrapText="1"/>
    </xf>
    <xf numFmtId="0" fontId="43" fillId="0" borderId="34" xfId="1" applyFont="1" applyBorder="1" applyAlignment="1">
      <alignment horizontal="left" wrapText="1"/>
    </xf>
    <xf numFmtId="0" fontId="43" fillId="0" borderId="35" xfId="1" applyFont="1" applyBorder="1" applyAlignment="1">
      <alignment horizontal="center" wrapText="1"/>
    </xf>
    <xf numFmtId="0" fontId="43" fillId="0" borderId="36" xfId="1" applyFont="1" applyBorder="1" applyAlignment="1">
      <alignment horizontal="center" wrapText="1"/>
    </xf>
    <xf numFmtId="0" fontId="36" fillId="0" borderId="34" xfId="1" applyFont="1" applyBorder="1" applyAlignment="1">
      <alignment horizontal="left" wrapText="1"/>
    </xf>
    <xf numFmtId="0" fontId="36" fillId="0" borderId="35" xfId="1" applyFont="1" applyBorder="1" applyAlignment="1">
      <alignment horizontal="center" wrapText="1"/>
    </xf>
    <xf numFmtId="0" fontId="36" fillId="0" borderId="36" xfId="1" applyFont="1" applyBorder="1" applyAlignment="1">
      <alignment horizontal="center" wrapText="1"/>
    </xf>
    <xf numFmtId="0" fontId="46" fillId="0" borderId="0" xfId="1" applyFont="1" applyAlignment="1">
      <alignment horizontal="left" vertical="center" wrapText="1"/>
    </xf>
    <xf numFmtId="0" fontId="33" fillId="0" borderId="0" xfId="1" applyFont="1" applyAlignment="1">
      <alignment horizontal="center" vertical="center"/>
    </xf>
    <xf numFmtId="0" fontId="42" fillId="0" borderId="34" xfId="1" applyFont="1" applyBorder="1" applyAlignment="1">
      <alignment horizontal="left" wrapText="1"/>
    </xf>
    <xf numFmtId="0" fontId="42" fillId="0" borderId="35" xfId="1" applyFont="1" applyBorder="1" applyAlignment="1">
      <alignment horizontal="center" wrapText="1"/>
    </xf>
    <xf numFmtId="0" fontId="42" fillId="0" borderId="36" xfId="1" applyFont="1" applyBorder="1" applyAlignment="1">
      <alignment horizontal="center" wrapText="1"/>
    </xf>
    <xf numFmtId="0" fontId="36" fillId="0" borderId="0" xfId="1" applyFont="1" applyAlignment="1">
      <alignment horizontal="left" vertical="top" wrapText="1"/>
    </xf>
    <xf numFmtId="0" fontId="36" fillId="0" borderId="0" xfId="1" applyFont="1" applyAlignment="1">
      <alignment horizontal="center" vertical="top" wrapText="1"/>
    </xf>
    <xf numFmtId="49" fontId="12" fillId="4" borderId="0" xfId="2" applyNumberFormat="1" applyFont="1" applyFill="1" applyAlignment="1">
      <alignment horizontal="center" vertical="top" wrapText="1"/>
    </xf>
    <xf numFmtId="49" fontId="14" fillId="4" borderId="0" xfId="2" applyNumberFormat="1" applyFont="1" applyFill="1" applyAlignment="1">
      <alignment horizontal="center" vertical="center" wrapText="1"/>
    </xf>
    <xf numFmtId="49" fontId="14" fillId="4" borderId="0" xfId="2" applyNumberFormat="1" applyFont="1" applyFill="1" applyAlignment="1">
      <alignment horizontal="center" vertical="top" wrapText="1"/>
    </xf>
    <xf numFmtId="49" fontId="15" fillId="4" borderId="0" xfId="2" applyNumberFormat="1" applyFont="1" applyFill="1" applyAlignment="1">
      <alignment horizontal="left" vertical="center" wrapText="1"/>
    </xf>
    <xf numFmtId="49" fontId="17" fillId="4" borderId="0" xfId="2" applyNumberFormat="1" applyFont="1" applyFill="1" applyAlignment="1">
      <alignment horizontal="left" vertical="center"/>
    </xf>
    <xf numFmtId="49" fontId="18" fillId="4" borderId="20" xfId="2" applyNumberFormat="1" applyFont="1" applyFill="1" applyBorder="1" applyAlignment="1">
      <alignment horizontal="left" vertical="center"/>
    </xf>
    <xf numFmtId="49" fontId="18" fillId="4" borderId="21" xfId="2" applyNumberFormat="1" applyFont="1" applyFill="1" applyBorder="1" applyAlignment="1">
      <alignment horizontal="left" vertical="center"/>
    </xf>
    <xf numFmtId="49" fontId="18" fillId="4" borderId="22" xfId="2" applyNumberFormat="1" applyFont="1" applyFill="1" applyBorder="1" applyAlignment="1">
      <alignment horizontal="left" vertical="center"/>
    </xf>
    <xf numFmtId="0" fontId="24" fillId="0" borderId="0" xfId="2" applyFont="1" applyAlignment="1">
      <alignment horizontal="left" vertical="center" wrapText="1" shrinkToFit="1"/>
    </xf>
    <xf numFmtId="49" fontId="18" fillId="4" borderId="0" xfId="2" applyNumberFormat="1" applyFont="1" applyFill="1" applyAlignment="1">
      <alignment horizontal="left" vertical="center"/>
    </xf>
    <xf numFmtId="49" fontId="21" fillId="4" borderId="19" xfId="2" applyNumberFormat="1" applyFont="1" applyFill="1" applyBorder="1" applyAlignment="1">
      <alignment horizontal="left" vertical="center"/>
    </xf>
    <xf numFmtId="49" fontId="22" fillId="4" borderId="0" xfId="2" applyNumberFormat="1" applyFont="1" applyFill="1" applyAlignment="1">
      <alignment horizontal="left" vertical="center"/>
    </xf>
    <xf numFmtId="49" fontId="18" fillId="4" borderId="18" xfId="2" applyNumberFormat="1" applyFont="1" applyFill="1" applyBorder="1" applyAlignment="1">
      <alignment horizontal="left" vertical="center"/>
    </xf>
    <xf numFmtId="49" fontId="27" fillId="0" borderId="0" xfId="2" applyNumberFormat="1" applyFont="1" applyAlignment="1">
      <alignment horizontal="center" vertical="center"/>
    </xf>
    <xf numFmtId="49" fontId="27" fillId="0" borderId="23" xfId="2" applyNumberFormat="1" applyFont="1" applyBorder="1" applyAlignment="1">
      <alignment horizontal="center" vertical="center"/>
    </xf>
    <xf numFmtId="0" fontId="14" fillId="0" borderId="23" xfId="2" applyFont="1" applyBorder="1" applyAlignment="1">
      <alignment horizontal="center" vertical="center"/>
    </xf>
    <xf numFmtId="49" fontId="29" fillId="4" borderId="20" xfId="2" applyNumberFormat="1" applyFont="1" applyFill="1" applyBorder="1" applyAlignment="1">
      <alignment horizontal="center" vertical="center"/>
    </xf>
    <xf numFmtId="49" fontId="29" fillId="4" borderId="21" xfId="2" applyNumberFormat="1" applyFont="1" applyFill="1" applyBorder="1" applyAlignment="1">
      <alignment horizontal="center" vertical="center"/>
    </xf>
    <xf numFmtId="49" fontId="29" fillId="4" borderId="22" xfId="2" applyNumberFormat="1" applyFont="1" applyFill="1" applyBorder="1" applyAlignment="1">
      <alignment horizontal="center" vertical="center"/>
    </xf>
    <xf numFmtId="49" fontId="19" fillId="4" borderId="20" xfId="2" applyNumberFormat="1" applyFont="1" applyFill="1" applyBorder="1" applyAlignment="1">
      <alignment horizontal="center" vertical="center"/>
    </xf>
    <xf numFmtId="49" fontId="19" fillId="4" borderId="21" xfId="2" applyNumberFormat="1" applyFont="1" applyFill="1" applyBorder="1" applyAlignment="1">
      <alignment horizontal="center" vertical="center"/>
    </xf>
    <xf numFmtId="49" fontId="19" fillId="4" borderId="22" xfId="2" applyNumberFormat="1" applyFont="1" applyFill="1" applyBorder="1" applyAlignment="1">
      <alignment horizontal="center" vertical="center"/>
    </xf>
    <xf numFmtId="0" fontId="19" fillId="4" borderId="20" xfId="2" applyFont="1" applyFill="1" applyBorder="1" applyAlignment="1">
      <alignment horizontal="center" vertical="center"/>
    </xf>
    <xf numFmtId="0" fontId="19" fillId="4" borderId="21" xfId="2" applyFont="1" applyFill="1" applyBorder="1" applyAlignment="1">
      <alignment horizontal="center" vertical="center"/>
    </xf>
    <xf numFmtId="0" fontId="19" fillId="4" borderId="22" xfId="2" applyFont="1" applyFill="1" applyBorder="1" applyAlignment="1">
      <alignment horizontal="center" vertical="center"/>
    </xf>
    <xf numFmtId="0" fontId="19" fillId="4" borderId="18" xfId="2" applyFont="1" applyFill="1" applyBorder="1" applyAlignment="1">
      <alignment horizontal="center" vertical="center"/>
    </xf>
    <xf numFmtId="49" fontId="21" fillId="4" borderId="0" xfId="2" applyNumberFormat="1" applyFont="1" applyFill="1" applyAlignment="1">
      <alignment horizontal="left" vertical="center"/>
    </xf>
    <xf numFmtId="49" fontId="22" fillId="4" borderId="0" xfId="2" applyNumberFormat="1" applyFont="1" applyFill="1" applyAlignment="1">
      <alignment horizontal="center" vertical="center"/>
    </xf>
    <xf numFmtId="49" fontId="20" fillId="4" borderId="26" xfId="2" applyNumberFormat="1" applyFont="1" applyFill="1" applyBorder="1" applyAlignment="1">
      <alignment horizontal="left" vertical="center"/>
    </xf>
    <xf numFmtId="49" fontId="20" fillId="4" borderId="23" xfId="2" applyNumberFormat="1" applyFont="1" applyFill="1" applyBorder="1" applyAlignment="1">
      <alignment horizontal="left" vertical="center"/>
    </xf>
    <xf numFmtId="49" fontId="20" fillId="4" borderId="27" xfId="2" applyNumberFormat="1" applyFont="1" applyFill="1" applyBorder="1" applyAlignment="1">
      <alignment horizontal="left" vertical="center"/>
    </xf>
    <xf numFmtId="49" fontId="31" fillId="4" borderId="20" xfId="2" applyNumberFormat="1" applyFont="1" applyFill="1" applyBorder="1" applyAlignment="1">
      <alignment horizontal="center" vertical="center"/>
    </xf>
    <xf numFmtId="49" fontId="31" fillId="4" borderId="21" xfId="2" applyNumberFormat="1" applyFont="1" applyFill="1" applyBorder="1" applyAlignment="1">
      <alignment horizontal="center" vertical="center"/>
    </xf>
    <xf numFmtId="49" fontId="31" fillId="4" borderId="22" xfId="2" applyNumberFormat="1" applyFont="1" applyFill="1" applyBorder="1" applyAlignment="1">
      <alignment horizontal="center" vertical="center"/>
    </xf>
    <xf numFmtId="49" fontId="30" fillId="4" borderId="24" xfId="2" applyNumberFormat="1" applyFont="1" applyFill="1" applyBorder="1" applyAlignment="1">
      <alignment horizontal="left" vertical="center"/>
    </xf>
    <xf numFmtId="49" fontId="30" fillId="4" borderId="0" xfId="2" applyNumberFormat="1" applyFont="1" applyFill="1" applyAlignment="1">
      <alignment horizontal="left" vertical="center"/>
    </xf>
    <xf numFmtId="49" fontId="30" fillId="4" borderId="25" xfId="2" applyNumberFormat="1" applyFont="1" applyFill="1" applyBorder="1" applyAlignment="1">
      <alignment horizontal="left" vertical="center"/>
    </xf>
    <xf numFmtId="49" fontId="20" fillId="4" borderId="24" xfId="2" applyNumberFormat="1" applyFont="1" applyFill="1" applyBorder="1" applyAlignment="1">
      <alignment horizontal="left" vertical="center"/>
    </xf>
    <xf numFmtId="49" fontId="20" fillId="4" borderId="0" xfId="2" applyNumberFormat="1" applyFont="1" applyFill="1" applyAlignment="1">
      <alignment horizontal="left" vertical="center"/>
    </xf>
    <xf numFmtId="49" fontId="20" fillId="4" borderId="25" xfId="2" applyNumberFormat="1" applyFont="1" applyFill="1" applyBorder="1" applyAlignment="1">
      <alignment horizontal="left" vertical="center"/>
    </xf>
    <xf numFmtId="0" fontId="9" fillId="0" borderId="4" xfId="1" applyFont="1" applyBorder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9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left" vertical="center"/>
    </xf>
    <xf numFmtId="0" fontId="9" fillId="0" borderId="16" xfId="1" applyFont="1" applyBorder="1" applyAlignment="1">
      <alignment horizontal="left" vertical="center"/>
    </xf>
    <xf numFmtId="0" fontId="10" fillId="0" borderId="4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6" fillId="0" borderId="4" xfId="1" applyFont="1" applyBorder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6" fillId="3" borderId="17" xfId="1" applyFont="1" applyFill="1" applyBorder="1" applyAlignment="1">
      <alignment horizontal="left" vertical="center"/>
    </xf>
    <xf numFmtId="0" fontId="6" fillId="3" borderId="6" xfId="1" applyFont="1" applyFill="1" applyBorder="1" applyAlignment="1">
      <alignment horizontal="left" vertical="center"/>
    </xf>
    <xf numFmtId="0" fontId="9" fillId="0" borderId="17" xfId="1" applyFont="1" applyBorder="1" applyAlignment="1">
      <alignment horizontal="left" vertical="center"/>
    </xf>
    <xf numFmtId="0" fontId="9" fillId="0" borderId="6" xfId="1" applyFont="1" applyBorder="1" applyAlignment="1">
      <alignment horizontal="left" vertical="center"/>
    </xf>
    <xf numFmtId="178" fontId="36" fillId="0" borderId="0" xfId="1" applyNumberFormat="1" applyFont="1" applyAlignment="1">
      <alignment horizontal="center" wrapText="1"/>
    </xf>
    <xf numFmtId="0" fontId="46" fillId="0" borderId="0" xfId="1" applyFont="1" applyAlignment="1">
      <alignment horizontal="center" vertical="center" wrapText="1"/>
    </xf>
    <xf numFmtId="178" fontId="33" fillId="0" borderId="0" xfId="1" applyNumberFormat="1" applyFont="1" applyAlignment="1">
      <alignment horizontal="center" vertical="center"/>
    </xf>
    <xf numFmtId="178" fontId="36" fillId="0" borderId="0" xfId="1" applyNumberFormat="1" applyFont="1" applyAlignment="1">
      <alignment horizontal="center" vertical="top" wrapText="1"/>
    </xf>
    <xf numFmtId="49" fontId="51" fillId="4" borderId="0" xfId="2" applyNumberFormat="1" applyFont="1" applyFill="1" applyAlignment="1">
      <alignment horizontal="left" vertical="center"/>
    </xf>
    <xf numFmtId="49" fontId="53" fillId="6" borderId="18" xfId="2" applyNumberFormat="1" applyFont="1" applyFill="1" applyBorder="1" applyAlignment="1">
      <alignment horizontal="left"/>
    </xf>
    <xf numFmtId="49" fontId="53" fillId="6" borderId="18" xfId="2" applyNumberFormat="1" applyFont="1" applyFill="1" applyBorder="1" applyAlignment="1">
      <alignment horizontal="left" vertical="center" wrapText="1"/>
    </xf>
    <xf numFmtId="49" fontId="14" fillId="4" borderId="0" xfId="2" applyNumberFormat="1" applyFont="1" applyFill="1" applyAlignment="1">
      <alignment horizontal="left" wrapText="1"/>
    </xf>
    <xf numFmtId="49" fontId="48" fillId="4" borderId="0" xfId="2" applyNumberFormat="1" applyFont="1" applyFill="1" applyAlignment="1">
      <alignment horizontal="left" vertical="center" wrapText="1"/>
    </xf>
    <xf numFmtId="49" fontId="49" fillId="4" borderId="0" xfId="2" applyNumberFormat="1" applyFont="1" applyFill="1" applyAlignment="1">
      <alignment horizontal="left" vertical="center" wrapText="1"/>
    </xf>
  </cellXfs>
  <cellStyles count="3">
    <cellStyle name="常规" xfId="0" builtinId="0"/>
    <cellStyle name="常规 2" xfId="1" xr:uid="{C2F2A383-E98D-437E-8FE8-A1005ACE41B6}"/>
    <cellStyle name="常规 3" xfId="2" xr:uid="{4459166E-A61C-4C4F-83F6-6DD76A9A73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5023</xdr:colOff>
      <xdr:row>0</xdr:row>
      <xdr:rowOff>6139</xdr:rowOff>
    </xdr:from>
    <xdr:ext cx="1943100" cy="1447800"/>
    <xdr:pic>
      <xdr:nvPicPr>
        <xdr:cNvPr id="2" name="图片 1">
          <a:extLst>
            <a:ext uri="{FF2B5EF4-FFF2-40B4-BE49-F238E27FC236}">
              <a16:creationId xmlns:a16="http://schemas.microsoft.com/office/drawing/2014/main" id="{F8A76C42-98E9-4038-8D3E-228F2C16F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23" y="6139"/>
          <a:ext cx="1943100" cy="1447800"/>
        </a:xfrm>
        <a:prstGeom prst="rect">
          <a:avLst/>
        </a:prstGeom>
        <a:solidFill>
          <a:srgbClr val="FFFFFF"/>
        </a:solidFill>
      </xdr:spPr>
    </xdr:pic>
    <xdr:clientData/>
  </xdr:oneCellAnchor>
  <xdr:oneCellAnchor>
    <xdr:from>
      <xdr:col>5</xdr:col>
      <xdr:colOff>34379</xdr:colOff>
      <xdr:row>44</xdr:row>
      <xdr:rowOff>273807</xdr:rowOff>
    </xdr:from>
    <xdr:ext cx="1924050" cy="1704975"/>
    <xdr:pic>
      <xdr:nvPicPr>
        <xdr:cNvPr id="3" name="图片 2">
          <a:extLst>
            <a:ext uri="{FF2B5EF4-FFF2-40B4-BE49-F238E27FC236}">
              <a16:creationId xmlns:a16="http://schemas.microsoft.com/office/drawing/2014/main" id="{B117CA21-3D3D-4428-80A0-987B9235C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52379" y="13964407"/>
          <a:ext cx="1924050" cy="1704975"/>
        </a:xfrm>
        <a:prstGeom prst="rect">
          <a:avLst/>
        </a:prstGeom>
        <a:solidFill>
          <a:srgbClr val="FFFFFF"/>
        </a:solidFill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190453</xdr:colOff>
      <xdr:row>0</xdr:row>
      <xdr:rowOff>67866</xdr:rowOff>
    </xdr:from>
    <xdr:ext cx="2019300" cy="971550"/>
    <xdr:pic>
      <xdr:nvPicPr>
        <xdr:cNvPr id="2" name="图片 1">
          <a:extLst>
            <a:ext uri="{FF2B5EF4-FFF2-40B4-BE49-F238E27FC236}">
              <a16:creationId xmlns:a16="http://schemas.microsoft.com/office/drawing/2014/main" id="{3BC35401-46AC-4017-ABED-E586CDFB7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6503" y="67866"/>
          <a:ext cx="2019300" cy="971550"/>
        </a:xfrm>
        <a:prstGeom prst="rect">
          <a:avLst/>
        </a:prstGeom>
        <a:solidFill>
          <a:srgbClr val="FFFFFF"/>
        </a:solidFill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775335</xdr:colOff>
      <xdr:row>0</xdr:row>
      <xdr:rowOff>24130</xdr:rowOff>
    </xdr:from>
    <xdr:to>
      <xdr:col>4</xdr:col>
      <xdr:colOff>929640</xdr:colOff>
      <xdr:row>0</xdr:row>
      <xdr:rowOff>1075055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06916-5590-4447-BFA2-B1851EDB9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4235" y="24130"/>
          <a:ext cx="1138555" cy="10509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0</xdr:row>
      <xdr:rowOff>68580</xdr:rowOff>
    </xdr:from>
    <xdr:to>
      <xdr:col>1</xdr:col>
      <xdr:colOff>883918</xdr:colOff>
      <xdr:row>1</xdr:row>
      <xdr:rowOff>304800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1C4F9869-CF34-446C-8BC2-CA58C8F5D5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" y="68580"/>
          <a:ext cx="1816098" cy="7950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181310</xdr:colOff>
      <xdr:row>0</xdr:row>
      <xdr:rowOff>106040</xdr:rowOff>
    </xdr:from>
    <xdr:ext cx="1209675" cy="1171575"/>
    <xdr:pic>
      <xdr:nvPicPr>
        <xdr:cNvPr id="2" name="图片 1">
          <a:extLst>
            <a:ext uri="{FF2B5EF4-FFF2-40B4-BE49-F238E27FC236}">
              <a16:creationId xmlns:a16="http://schemas.microsoft.com/office/drawing/2014/main" id="{9E89A080-60C6-47C2-9E87-52A953863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1310" y="106040"/>
          <a:ext cx="1209675" cy="1171575"/>
        </a:xfrm>
        <a:prstGeom prst="rect">
          <a:avLst/>
        </a:prstGeom>
        <a:solidFill>
          <a:srgbClr val="FFFFFF"/>
        </a:solidFill>
      </xdr:spPr>
    </xdr:pic>
    <xdr:clientData/>
  </xdr:oneCellAnchor>
  <xdr:oneCellAnchor>
    <xdr:from>
      <xdr:col>16</xdr:col>
      <xdr:colOff>62322</xdr:colOff>
      <xdr:row>24</xdr:row>
      <xdr:rowOff>85948</xdr:rowOff>
    </xdr:from>
    <xdr:ext cx="1695450" cy="1819275"/>
    <xdr:pic>
      <xdr:nvPicPr>
        <xdr:cNvPr id="3" name="图片 2">
          <a:extLst>
            <a:ext uri="{FF2B5EF4-FFF2-40B4-BE49-F238E27FC236}">
              <a16:creationId xmlns:a16="http://schemas.microsoft.com/office/drawing/2014/main" id="{DCDCDB3E-D338-462B-AC66-30881EA45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67372" y="7680548"/>
          <a:ext cx="1695450" cy="1819275"/>
        </a:xfrm>
        <a:prstGeom prst="rect">
          <a:avLst/>
        </a:prstGeom>
        <a:solidFill>
          <a:srgbClr val="FFFFFF"/>
        </a:solidFill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</xdr:colOff>
      <xdr:row>0</xdr:row>
      <xdr:rowOff>267335</xdr:rowOff>
    </xdr:from>
    <xdr:to>
      <xdr:col>2</xdr:col>
      <xdr:colOff>316865</xdr:colOff>
      <xdr:row>1</xdr:row>
      <xdr:rowOff>358140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31500930-DEBA-4B38-87C3-1CE7472FB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" y="267335"/>
          <a:ext cx="2195195" cy="6496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5023</xdr:colOff>
      <xdr:row>0</xdr:row>
      <xdr:rowOff>6139</xdr:rowOff>
    </xdr:from>
    <xdr:ext cx="1943100" cy="1447800"/>
    <xdr:pic>
      <xdr:nvPicPr>
        <xdr:cNvPr id="2" name="图片 1">
          <a:extLst>
            <a:ext uri="{FF2B5EF4-FFF2-40B4-BE49-F238E27FC236}">
              <a16:creationId xmlns:a16="http://schemas.microsoft.com/office/drawing/2014/main" id="{57904A2B-122F-495C-A77F-28E698416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23" y="6139"/>
          <a:ext cx="1943100" cy="1447800"/>
        </a:xfrm>
        <a:prstGeom prst="rect">
          <a:avLst/>
        </a:prstGeom>
        <a:solidFill>
          <a:srgbClr val="FFFFFF"/>
        </a:solidFill>
      </xdr:spPr>
    </xdr:pic>
    <xdr:clientData/>
  </xdr:oneCellAnchor>
  <xdr:oneCellAnchor>
    <xdr:from>
      <xdr:col>5</xdr:col>
      <xdr:colOff>34379</xdr:colOff>
      <xdr:row>71</xdr:row>
      <xdr:rowOff>273807</xdr:rowOff>
    </xdr:from>
    <xdr:ext cx="1924050" cy="1704975"/>
    <xdr:pic>
      <xdr:nvPicPr>
        <xdr:cNvPr id="3" name="图片 2">
          <a:extLst>
            <a:ext uri="{FF2B5EF4-FFF2-40B4-BE49-F238E27FC236}">
              <a16:creationId xmlns:a16="http://schemas.microsoft.com/office/drawing/2014/main" id="{9486C473-96F7-408A-AC74-281CD42038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4579" y="22365457"/>
          <a:ext cx="1924050" cy="1704975"/>
        </a:xfrm>
        <a:prstGeom prst="rect">
          <a:avLst/>
        </a:prstGeom>
        <a:solidFill>
          <a:srgbClr val="FFFFFF"/>
        </a:solidFill>
      </xdr:spPr>
    </xdr:pic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56482-1699-46C2-B7C0-3412484ADE7D}">
  <sheetPr>
    <pageSetUpPr fitToPage="1"/>
  </sheetPr>
  <dimension ref="A1:N53"/>
  <sheetViews>
    <sheetView showGridLines="0" topLeftCell="A3" zoomScale="80" zoomScaleNormal="80" workbookViewId="0">
      <selection activeCell="E19" sqref="E19"/>
    </sheetView>
  </sheetViews>
  <sheetFormatPr defaultColWidth="10.08203125" defaultRowHeight="24.75" customHeight="1"/>
  <cols>
    <col min="1" max="1" width="1.9140625" style="48" customWidth="1"/>
    <col min="2" max="2" width="5.58203125" style="48" customWidth="1"/>
    <col min="3" max="3" width="11.5" style="48" customWidth="1"/>
    <col min="4" max="4" width="16.6640625" style="48" customWidth="1"/>
    <col min="5" max="5" width="21" style="48" customWidth="1"/>
    <col min="6" max="6" width="20.1640625" style="48" customWidth="1"/>
    <col min="7" max="11" width="11.08203125" style="48" customWidth="1"/>
    <col min="12" max="12" width="11.08203125" style="56" customWidth="1"/>
    <col min="13" max="13" width="18.6640625" style="48" customWidth="1"/>
    <col min="14" max="16384" width="10.08203125" style="30"/>
  </cols>
  <sheetData>
    <row r="1" spans="1:14" ht="24.75" customHeight="1">
      <c r="A1" s="164"/>
      <c r="B1" s="164"/>
      <c r="C1" s="28"/>
      <c r="D1" s="28"/>
      <c r="E1" s="165" t="s">
        <v>78</v>
      </c>
      <c r="F1" s="165"/>
      <c r="G1" s="165"/>
      <c r="H1" s="165"/>
      <c r="I1" s="165"/>
      <c r="J1" s="165"/>
      <c r="K1" s="165"/>
      <c r="L1" s="165"/>
      <c r="M1" s="29"/>
    </row>
    <row r="2" spans="1:14" ht="24.75" customHeight="1">
      <c r="A2" s="27"/>
      <c r="B2" s="27"/>
      <c r="C2" s="28"/>
      <c r="D2" s="28"/>
      <c r="E2" s="165"/>
      <c r="F2" s="165"/>
      <c r="G2" s="165"/>
      <c r="H2" s="165"/>
      <c r="I2" s="165"/>
      <c r="J2" s="165"/>
      <c r="K2" s="165"/>
      <c r="L2" s="165"/>
      <c r="M2" s="29"/>
    </row>
    <row r="3" spans="1:14" ht="24.75" customHeight="1">
      <c r="A3" s="27"/>
      <c r="B3" s="27"/>
      <c r="C3" s="28"/>
      <c r="D3" s="28"/>
      <c r="E3" s="166" t="s">
        <v>79</v>
      </c>
      <c r="F3" s="166"/>
      <c r="G3" s="166"/>
      <c r="H3" s="166"/>
      <c r="I3" s="166"/>
      <c r="J3" s="166"/>
      <c r="K3" s="166"/>
      <c r="L3" s="166"/>
      <c r="M3" s="29"/>
    </row>
    <row r="4" spans="1:14" ht="24.75" customHeight="1">
      <c r="A4" s="164"/>
      <c r="B4" s="164"/>
      <c r="C4" s="28"/>
      <c r="D4" s="28"/>
      <c r="E4" s="166"/>
      <c r="F4" s="166"/>
      <c r="G4" s="166"/>
      <c r="H4" s="166"/>
      <c r="I4" s="166"/>
      <c r="J4" s="166"/>
      <c r="K4" s="166"/>
      <c r="L4" s="166"/>
      <c r="M4" s="29"/>
    </row>
    <row r="5" spans="1:14" ht="24.75" customHeight="1">
      <c r="A5" s="164"/>
      <c r="B5" s="164"/>
      <c r="C5" s="28"/>
      <c r="D5" s="28"/>
      <c r="E5" s="28"/>
      <c r="F5" s="29"/>
      <c r="G5" s="29"/>
      <c r="H5" s="29"/>
      <c r="I5" s="167"/>
      <c r="J5" s="167"/>
      <c r="K5" s="167"/>
      <c r="L5" s="167"/>
      <c r="M5" s="167"/>
    </row>
    <row r="6" spans="1:14" ht="24.75" customHeight="1">
      <c r="A6" s="31"/>
      <c r="B6" s="168" t="s">
        <v>2</v>
      </c>
      <c r="C6" s="168"/>
      <c r="D6" s="168" t="s">
        <v>80</v>
      </c>
      <c r="E6" s="168"/>
      <c r="F6" s="33"/>
      <c r="G6" s="33"/>
      <c r="H6" s="33"/>
      <c r="I6" s="33"/>
      <c r="J6" s="33"/>
      <c r="K6" s="33"/>
      <c r="L6" s="34"/>
      <c r="M6" s="33"/>
    </row>
    <row r="7" spans="1:14" ht="24.75" customHeight="1">
      <c r="A7" s="31"/>
      <c r="B7" s="168" t="s">
        <v>7</v>
      </c>
      <c r="C7" s="168"/>
      <c r="D7" s="168" t="s">
        <v>81</v>
      </c>
      <c r="E7" s="168"/>
      <c r="F7" s="33"/>
      <c r="G7" s="33"/>
      <c r="H7" s="33"/>
      <c r="I7" s="33"/>
      <c r="J7" s="33"/>
      <c r="K7" s="33"/>
      <c r="L7" s="34"/>
      <c r="M7" s="33"/>
    </row>
    <row r="8" spans="1:14" ht="24.75" customHeight="1">
      <c r="A8" s="35"/>
      <c r="B8" s="168" t="s">
        <v>10</v>
      </c>
      <c r="C8" s="168"/>
      <c r="D8" s="168" t="s">
        <v>81</v>
      </c>
      <c r="E8" s="168"/>
      <c r="F8" s="36"/>
      <c r="G8" s="36"/>
      <c r="H8" s="36"/>
      <c r="I8" s="36"/>
      <c r="J8" s="36"/>
      <c r="K8" s="36"/>
      <c r="L8" s="37"/>
      <c r="M8" s="36"/>
    </row>
    <row r="9" spans="1:14" s="38" customFormat="1" ht="24.75" customHeight="1">
      <c r="B9" s="168" t="s">
        <v>5</v>
      </c>
      <c r="C9" s="168"/>
      <c r="D9" s="173" t="s">
        <v>82</v>
      </c>
      <c r="E9" s="173"/>
      <c r="F9" s="40"/>
      <c r="G9" s="40"/>
      <c r="H9" s="40"/>
      <c r="I9" s="40"/>
      <c r="J9" s="40"/>
      <c r="K9" s="40"/>
      <c r="L9" s="41"/>
      <c r="M9" s="40"/>
    </row>
    <row r="10" spans="1:14" s="36" customFormat="1" ht="24.75" customHeight="1">
      <c r="B10" s="42" t="s">
        <v>12</v>
      </c>
      <c r="C10" s="42" t="s">
        <v>13</v>
      </c>
      <c r="D10" s="42" t="s">
        <v>15</v>
      </c>
      <c r="E10" s="42" t="s">
        <v>83</v>
      </c>
      <c r="F10" s="42" t="s">
        <v>84</v>
      </c>
      <c r="G10" s="42" t="s">
        <v>85</v>
      </c>
      <c r="H10" s="42" t="s">
        <v>86</v>
      </c>
      <c r="I10" s="42" t="s">
        <v>19</v>
      </c>
      <c r="J10" s="42" t="s">
        <v>20</v>
      </c>
      <c r="K10" s="42" t="s">
        <v>26</v>
      </c>
      <c r="L10" s="43" t="s">
        <v>24</v>
      </c>
      <c r="M10" s="42" t="s">
        <v>27</v>
      </c>
      <c r="N10" s="42" t="s">
        <v>28</v>
      </c>
    </row>
    <row r="11" spans="1:14" s="44" customFormat="1" ht="24.75" customHeight="1">
      <c r="B11" s="45">
        <v>1</v>
      </c>
      <c r="C11" s="45" t="s">
        <v>87</v>
      </c>
      <c r="D11" s="45" t="s">
        <v>88</v>
      </c>
      <c r="E11" s="45" t="s">
        <v>89</v>
      </c>
      <c r="F11" s="45" t="s">
        <v>90</v>
      </c>
      <c r="G11" s="45" t="s">
        <v>91</v>
      </c>
      <c r="H11" s="45" t="s">
        <v>92</v>
      </c>
      <c r="I11" s="45">
        <v>141</v>
      </c>
      <c r="J11" s="45">
        <v>1899</v>
      </c>
      <c r="K11" s="45" t="s">
        <v>93</v>
      </c>
      <c r="L11" s="46" t="s">
        <v>94</v>
      </c>
      <c r="M11" s="45">
        <v>6836.4</v>
      </c>
      <c r="N11" s="47"/>
    </row>
    <row r="12" spans="1:14" ht="24.75" customHeight="1">
      <c r="B12" s="45">
        <v>2</v>
      </c>
      <c r="C12" s="45" t="s">
        <v>87</v>
      </c>
      <c r="D12" s="45" t="s">
        <v>88</v>
      </c>
      <c r="E12" s="45" t="s">
        <v>89</v>
      </c>
      <c r="F12" s="45" t="s">
        <v>90</v>
      </c>
      <c r="G12" s="45" t="s">
        <v>91</v>
      </c>
      <c r="H12" s="45" t="s">
        <v>92</v>
      </c>
      <c r="I12" s="45">
        <v>141</v>
      </c>
      <c r="J12" s="45">
        <v>1899</v>
      </c>
      <c r="K12" s="45" t="s">
        <v>95</v>
      </c>
      <c r="L12" s="46" t="s">
        <v>96</v>
      </c>
      <c r="M12" s="45">
        <v>200</v>
      </c>
      <c r="N12" s="47"/>
    </row>
    <row r="13" spans="1:14" ht="24.75" customHeight="1">
      <c r="B13" s="45">
        <v>3</v>
      </c>
      <c r="C13" s="45" t="s">
        <v>87</v>
      </c>
      <c r="D13" s="45" t="s">
        <v>88</v>
      </c>
      <c r="E13" s="45" t="s">
        <v>89</v>
      </c>
      <c r="F13" s="45" t="s">
        <v>90</v>
      </c>
      <c r="G13" s="45" t="s">
        <v>91</v>
      </c>
      <c r="H13" s="45" t="s">
        <v>92</v>
      </c>
      <c r="I13" s="45">
        <v>141</v>
      </c>
      <c r="J13" s="45">
        <v>1899</v>
      </c>
      <c r="K13" s="45" t="s">
        <v>97</v>
      </c>
      <c r="L13" s="46" t="s">
        <v>98</v>
      </c>
      <c r="M13" s="45">
        <v>50</v>
      </c>
      <c r="N13" s="47"/>
    </row>
    <row r="14" spans="1:14" ht="24.75" customHeight="1">
      <c r="B14" s="45">
        <v>4</v>
      </c>
      <c r="C14" s="45" t="s">
        <v>99</v>
      </c>
      <c r="D14" s="45" t="s">
        <v>100</v>
      </c>
      <c r="E14" s="45" t="s">
        <v>101</v>
      </c>
      <c r="F14" s="45" t="s">
        <v>102</v>
      </c>
      <c r="G14" s="45" t="s">
        <v>103</v>
      </c>
      <c r="H14" s="45" t="s">
        <v>104</v>
      </c>
      <c r="I14" s="45">
        <v>12</v>
      </c>
      <c r="J14" s="45">
        <v>178</v>
      </c>
      <c r="K14" s="45" t="s">
        <v>105</v>
      </c>
      <c r="L14" s="46" t="s">
        <v>94</v>
      </c>
      <c r="M14" s="45">
        <v>1317.2</v>
      </c>
      <c r="N14" s="47"/>
    </row>
    <row r="15" spans="1:14" ht="24.75" customHeight="1">
      <c r="B15" s="45">
        <v>5</v>
      </c>
      <c r="C15" s="45" t="s">
        <v>99</v>
      </c>
      <c r="D15" s="45" t="s">
        <v>100</v>
      </c>
      <c r="E15" s="45" t="s">
        <v>101</v>
      </c>
      <c r="F15" s="45" t="s">
        <v>102</v>
      </c>
      <c r="G15" s="45" t="s">
        <v>103</v>
      </c>
      <c r="H15" s="45" t="s">
        <v>104</v>
      </c>
      <c r="I15" s="45">
        <v>12</v>
      </c>
      <c r="J15" s="45">
        <v>178</v>
      </c>
      <c r="K15" s="45" t="s">
        <v>106</v>
      </c>
      <c r="L15" s="46" t="s">
        <v>96</v>
      </c>
      <c r="M15" s="45">
        <v>250</v>
      </c>
      <c r="N15" s="47"/>
    </row>
    <row r="16" spans="1:14" ht="24.75" customHeight="1">
      <c r="B16" s="45">
        <v>6</v>
      </c>
      <c r="C16" s="45" t="s">
        <v>99</v>
      </c>
      <c r="D16" s="45" t="s">
        <v>107</v>
      </c>
      <c r="E16" s="45" t="s">
        <v>108</v>
      </c>
      <c r="F16" s="45" t="s">
        <v>90</v>
      </c>
      <c r="G16" s="45" t="s">
        <v>91</v>
      </c>
      <c r="H16" s="45" t="s">
        <v>92</v>
      </c>
      <c r="I16" s="45">
        <v>115</v>
      </c>
      <c r="J16" s="45">
        <v>1561</v>
      </c>
      <c r="K16" s="45" t="s">
        <v>109</v>
      </c>
      <c r="L16" s="46" t="s">
        <v>94</v>
      </c>
      <c r="M16" s="45">
        <v>6244</v>
      </c>
      <c r="N16" s="47"/>
    </row>
    <row r="17" spans="2:14" ht="24.75" customHeight="1">
      <c r="B17" s="45">
        <v>7</v>
      </c>
      <c r="C17" s="45" t="s">
        <v>99</v>
      </c>
      <c r="D17" s="45" t="s">
        <v>107</v>
      </c>
      <c r="E17" s="45" t="s">
        <v>108</v>
      </c>
      <c r="F17" s="45" t="s">
        <v>90</v>
      </c>
      <c r="G17" s="45" t="s">
        <v>91</v>
      </c>
      <c r="H17" s="45" t="s">
        <v>92</v>
      </c>
      <c r="I17" s="45">
        <v>115</v>
      </c>
      <c r="J17" s="45">
        <v>1561</v>
      </c>
      <c r="K17" s="45" t="s">
        <v>95</v>
      </c>
      <c r="L17" s="46" t="s">
        <v>96</v>
      </c>
      <c r="M17" s="45">
        <v>200</v>
      </c>
      <c r="N17" s="47"/>
    </row>
    <row r="18" spans="2:14" ht="24.75" customHeight="1">
      <c r="B18" s="45">
        <v>8</v>
      </c>
      <c r="C18" s="45" t="s">
        <v>99</v>
      </c>
      <c r="D18" s="45" t="s">
        <v>110</v>
      </c>
      <c r="E18" s="45" t="s">
        <v>111</v>
      </c>
      <c r="F18" s="45" t="s">
        <v>90</v>
      </c>
      <c r="G18" s="45" t="s">
        <v>91</v>
      </c>
      <c r="H18" s="45" t="s">
        <v>92</v>
      </c>
      <c r="I18" s="45">
        <v>17</v>
      </c>
      <c r="J18" s="45">
        <v>201</v>
      </c>
      <c r="K18" s="45" t="s">
        <v>112</v>
      </c>
      <c r="L18" s="46" t="s">
        <v>94</v>
      </c>
      <c r="M18" s="45">
        <v>964.8</v>
      </c>
      <c r="N18" s="47"/>
    </row>
    <row r="19" spans="2:14" ht="24.75" customHeight="1">
      <c r="B19" s="45">
        <v>9</v>
      </c>
      <c r="C19" s="45" t="s">
        <v>99</v>
      </c>
      <c r="D19" s="45" t="s">
        <v>113</v>
      </c>
      <c r="E19" s="45" t="s">
        <v>114</v>
      </c>
      <c r="F19" s="45" t="s">
        <v>115</v>
      </c>
      <c r="G19" s="45" t="s">
        <v>91</v>
      </c>
      <c r="H19" s="45" t="s">
        <v>92</v>
      </c>
      <c r="I19" s="45">
        <v>6</v>
      </c>
      <c r="J19" s="45">
        <v>75</v>
      </c>
      <c r="K19" s="45" t="s">
        <v>116</v>
      </c>
      <c r="L19" s="46" t="s">
        <v>94</v>
      </c>
      <c r="M19" s="45">
        <v>390</v>
      </c>
      <c r="N19" s="47"/>
    </row>
    <row r="20" spans="2:14" ht="24.75" customHeight="1">
      <c r="B20" s="45">
        <v>10</v>
      </c>
      <c r="C20" s="45" t="s">
        <v>99</v>
      </c>
      <c r="D20" s="45" t="s">
        <v>113</v>
      </c>
      <c r="E20" s="45" t="s">
        <v>114</v>
      </c>
      <c r="F20" s="45" t="s">
        <v>115</v>
      </c>
      <c r="G20" s="45" t="s">
        <v>91</v>
      </c>
      <c r="H20" s="45" t="s">
        <v>92</v>
      </c>
      <c r="I20" s="45">
        <v>6</v>
      </c>
      <c r="J20" s="45">
        <v>75</v>
      </c>
      <c r="K20" s="45" t="s">
        <v>95</v>
      </c>
      <c r="L20" s="46" t="s">
        <v>96</v>
      </c>
      <c r="M20" s="45">
        <v>200</v>
      </c>
      <c r="N20" s="47"/>
    </row>
    <row r="21" spans="2:14" ht="24.75" customHeight="1">
      <c r="B21" s="45">
        <v>11</v>
      </c>
      <c r="C21" s="45" t="s">
        <v>99</v>
      </c>
      <c r="D21" s="45" t="s">
        <v>117</v>
      </c>
      <c r="E21" s="45" t="s">
        <v>118</v>
      </c>
      <c r="F21" s="45" t="s">
        <v>90</v>
      </c>
      <c r="G21" s="45" t="s">
        <v>91</v>
      </c>
      <c r="H21" s="45" t="s">
        <v>38</v>
      </c>
      <c r="I21" s="45">
        <v>32</v>
      </c>
      <c r="J21" s="45">
        <v>468</v>
      </c>
      <c r="K21" s="45" t="s">
        <v>112</v>
      </c>
      <c r="L21" s="46" t="s">
        <v>94</v>
      </c>
      <c r="M21" s="45">
        <v>2246.4</v>
      </c>
      <c r="N21" s="47"/>
    </row>
    <row r="22" spans="2:14" ht="24.75" customHeight="1">
      <c r="B22" s="45">
        <v>12</v>
      </c>
      <c r="C22" s="45" t="s">
        <v>119</v>
      </c>
      <c r="D22" s="45" t="s">
        <v>120</v>
      </c>
      <c r="E22" s="45" t="s">
        <v>121</v>
      </c>
      <c r="F22" s="45" t="s">
        <v>90</v>
      </c>
      <c r="G22" s="45" t="s">
        <v>91</v>
      </c>
      <c r="H22" s="45" t="s">
        <v>92</v>
      </c>
      <c r="I22" s="45">
        <v>32</v>
      </c>
      <c r="J22" s="45">
        <v>557</v>
      </c>
      <c r="K22" s="45" t="s">
        <v>112</v>
      </c>
      <c r="L22" s="46" t="s">
        <v>94</v>
      </c>
      <c r="M22" s="45">
        <v>2673.6</v>
      </c>
      <c r="N22" s="47"/>
    </row>
    <row r="23" spans="2:14" ht="24.75" customHeight="1">
      <c r="B23" s="45">
        <v>13</v>
      </c>
      <c r="C23" s="45" t="s">
        <v>119</v>
      </c>
      <c r="D23" s="45" t="s">
        <v>120</v>
      </c>
      <c r="E23" s="45" t="s">
        <v>121</v>
      </c>
      <c r="F23" s="45" t="s">
        <v>90</v>
      </c>
      <c r="G23" s="45" t="s">
        <v>91</v>
      </c>
      <c r="H23" s="45" t="s">
        <v>92</v>
      </c>
      <c r="I23" s="45">
        <v>32</v>
      </c>
      <c r="J23" s="45">
        <v>557</v>
      </c>
      <c r="K23" s="45" t="s">
        <v>95</v>
      </c>
      <c r="L23" s="46" t="s">
        <v>96</v>
      </c>
      <c r="M23" s="45">
        <v>200</v>
      </c>
      <c r="N23" s="47"/>
    </row>
    <row r="24" spans="2:14" ht="24.75" customHeight="1">
      <c r="B24" s="45">
        <v>14</v>
      </c>
      <c r="C24" s="45" t="s">
        <v>119</v>
      </c>
      <c r="D24" s="45" t="s">
        <v>122</v>
      </c>
      <c r="E24" s="45" t="s">
        <v>123</v>
      </c>
      <c r="F24" s="45" t="s">
        <v>124</v>
      </c>
      <c r="G24" s="45" t="s">
        <v>125</v>
      </c>
      <c r="H24" s="45" t="s">
        <v>126</v>
      </c>
      <c r="I24" s="45">
        <v>32</v>
      </c>
      <c r="J24" s="45">
        <v>440</v>
      </c>
      <c r="K24" s="45" t="s">
        <v>127</v>
      </c>
      <c r="L24" s="46" t="s">
        <v>94</v>
      </c>
      <c r="M24" s="45">
        <v>2376</v>
      </c>
      <c r="N24" s="47"/>
    </row>
    <row r="25" spans="2:14" ht="24.75" customHeight="1">
      <c r="B25" s="45">
        <v>15</v>
      </c>
      <c r="C25" s="45" t="s">
        <v>119</v>
      </c>
      <c r="D25" s="45" t="s">
        <v>122</v>
      </c>
      <c r="E25" s="45" t="s">
        <v>123</v>
      </c>
      <c r="F25" s="45" t="s">
        <v>124</v>
      </c>
      <c r="G25" s="45" t="s">
        <v>125</v>
      </c>
      <c r="H25" s="45" t="s">
        <v>126</v>
      </c>
      <c r="I25" s="45">
        <v>32</v>
      </c>
      <c r="J25" s="45">
        <v>440</v>
      </c>
      <c r="K25" s="45" t="s">
        <v>106</v>
      </c>
      <c r="L25" s="46" t="s">
        <v>96</v>
      </c>
      <c r="M25" s="45">
        <v>250</v>
      </c>
      <c r="N25" s="47"/>
    </row>
    <row r="26" spans="2:14" ht="24.75" customHeight="1">
      <c r="B26" s="45">
        <v>16</v>
      </c>
      <c r="C26" s="45" t="s">
        <v>119</v>
      </c>
      <c r="D26" s="45" t="s">
        <v>128</v>
      </c>
      <c r="E26" s="45" t="s">
        <v>129</v>
      </c>
      <c r="F26" s="45" t="s">
        <v>124</v>
      </c>
      <c r="G26" s="45" t="s">
        <v>125</v>
      </c>
      <c r="H26" s="45" t="s">
        <v>126</v>
      </c>
      <c r="I26" s="45">
        <v>7</v>
      </c>
      <c r="J26" s="45">
        <v>101</v>
      </c>
      <c r="K26" s="45" t="s">
        <v>127</v>
      </c>
      <c r="L26" s="46" t="s">
        <v>94</v>
      </c>
      <c r="M26" s="45">
        <v>545.4</v>
      </c>
      <c r="N26" s="47"/>
    </row>
    <row r="27" spans="2:14" ht="24.75" customHeight="1">
      <c r="B27" s="45">
        <v>17</v>
      </c>
      <c r="C27" s="45" t="s">
        <v>130</v>
      </c>
      <c r="D27" s="45" t="s">
        <v>131</v>
      </c>
      <c r="E27" s="45" t="s">
        <v>132</v>
      </c>
      <c r="F27" s="45" t="s">
        <v>90</v>
      </c>
      <c r="G27" s="45" t="s">
        <v>91</v>
      </c>
      <c r="H27" s="45" t="s">
        <v>92</v>
      </c>
      <c r="I27" s="45">
        <v>101</v>
      </c>
      <c r="J27" s="45">
        <v>1713</v>
      </c>
      <c r="K27" s="45" t="s">
        <v>133</v>
      </c>
      <c r="L27" s="46" t="s">
        <v>94</v>
      </c>
      <c r="M27" s="45">
        <v>7194.6</v>
      </c>
      <c r="N27" s="47"/>
    </row>
    <row r="28" spans="2:14" ht="24.75" customHeight="1">
      <c r="B28" s="45">
        <v>18</v>
      </c>
      <c r="C28" s="45" t="s">
        <v>130</v>
      </c>
      <c r="D28" s="45" t="s">
        <v>131</v>
      </c>
      <c r="E28" s="45" t="s">
        <v>132</v>
      </c>
      <c r="F28" s="45" t="s">
        <v>90</v>
      </c>
      <c r="G28" s="45" t="s">
        <v>91</v>
      </c>
      <c r="H28" s="45" t="s">
        <v>92</v>
      </c>
      <c r="I28" s="45">
        <v>101</v>
      </c>
      <c r="J28" s="45">
        <v>1713</v>
      </c>
      <c r="K28" s="45" t="s">
        <v>95</v>
      </c>
      <c r="L28" s="46" t="s">
        <v>96</v>
      </c>
      <c r="M28" s="45">
        <v>200</v>
      </c>
      <c r="N28" s="47"/>
    </row>
    <row r="29" spans="2:14" ht="24.75" customHeight="1">
      <c r="B29" s="45">
        <v>19</v>
      </c>
      <c r="C29" s="45" t="s">
        <v>134</v>
      </c>
      <c r="D29" s="45" t="s">
        <v>135</v>
      </c>
      <c r="E29" s="45" t="s">
        <v>136</v>
      </c>
      <c r="F29" s="45" t="s">
        <v>102</v>
      </c>
      <c r="G29" s="45" t="s">
        <v>103</v>
      </c>
      <c r="H29" s="45" t="s">
        <v>104</v>
      </c>
      <c r="I29" s="45">
        <v>16</v>
      </c>
      <c r="J29" s="45">
        <v>231</v>
      </c>
      <c r="K29" s="45" t="s">
        <v>137</v>
      </c>
      <c r="L29" s="46" t="s">
        <v>94</v>
      </c>
      <c r="M29" s="45">
        <v>1663.2</v>
      </c>
      <c r="N29" s="47"/>
    </row>
    <row r="30" spans="2:14" ht="24.75" customHeight="1">
      <c r="B30" s="45">
        <v>20</v>
      </c>
      <c r="C30" s="45" t="s">
        <v>134</v>
      </c>
      <c r="D30" s="45" t="s">
        <v>135</v>
      </c>
      <c r="E30" s="45" t="s">
        <v>136</v>
      </c>
      <c r="F30" s="45" t="s">
        <v>102</v>
      </c>
      <c r="G30" s="45" t="s">
        <v>103</v>
      </c>
      <c r="H30" s="45" t="s">
        <v>104</v>
      </c>
      <c r="I30" s="45">
        <v>16</v>
      </c>
      <c r="J30" s="45">
        <v>231</v>
      </c>
      <c r="K30" s="45" t="s">
        <v>106</v>
      </c>
      <c r="L30" s="46" t="s">
        <v>96</v>
      </c>
      <c r="M30" s="45">
        <v>250</v>
      </c>
      <c r="N30" s="47"/>
    </row>
    <row r="31" spans="2:14" ht="24.75" customHeight="1">
      <c r="B31" s="45">
        <v>21</v>
      </c>
      <c r="C31" s="45" t="s">
        <v>138</v>
      </c>
      <c r="D31" s="45" t="s">
        <v>139</v>
      </c>
      <c r="E31" s="45" t="s">
        <v>140</v>
      </c>
      <c r="F31" s="45" t="s">
        <v>90</v>
      </c>
      <c r="G31" s="45" t="s">
        <v>91</v>
      </c>
      <c r="H31" s="45" t="s">
        <v>141</v>
      </c>
      <c r="I31" s="45">
        <v>124</v>
      </c>
      <c r="J31" s="45">
        <v>2096</v>
      </c>
      <c r="K31" s="45" t="s">
        <v>133</v>
      </c>
      <c r="L31" s="46" t="s">
        <v>94</v>
      </c>
      <c r="M31" s="45">
        <v>8803.2000000000007</v>
      </c>
      <c r="N31" s="47"/>
    </row>
    <row r="32" spans="2:14" ht="24.75" customHeight="1">
      <c r="B32" s="45">
        <v>22</v>
      </c>
      <c r="C32" s="45" t="s">
        <v>138</v>
      </c>
      <c r="D32" s="45" t="s">
        <v>139</v>
      </c>
      <c r="E32" s="45" t="s">
        <v>140</v>
      </c>
      <c r="F32" s="45" t="s">
        <v>90</v>
      </c>
      <c r="G32" s="45" t="s">
        <v>91</v>
      </c>
      <c r="H32" s="45" t="s">
        <v>141</v>
      </c>
      <c r="I32" s="45">
        <v>124</v>
      </c>
      <c r="J32" s="45">
        <v>2096</v>
      </c>
      <c r="K32" s="45" t="s">
        <v>95</v>
      </c>
      <c r="L32" s="46" t="s">
        <v>96</v>
      </c>
      <c r="M32" s="45">
        <v>200</v>
      </c>
      <c r="N32" s="47"/>
    </row>
    <row r="33" spans="2:14" ht="24.75" customHeight="1">
      <c r="B33" s="45">
        <v>23</v>
      </c>
      <c r="C33" s="45" t="s">
        <v>142</v>
      </c>
      <c r="D33" s="45" t="s">
        <v>143</v>
      </c>
      <c r="E33" s="45" t="s">
        <v>144</v>
      </c>
      <c r="F33" s="45" t="s">
        <v>90</v>
      </c>
      <c r="G33" s="45" t="s">
        <v>91</v>
      </c>
      <c r="H33" s="45" t="s">
        <v>141</v>
      </c>
      <c r="I33" s="45">
        <v>19</v>
      </c>
      <c r="J33" s="45">
        <v>322</v>
      </c>
      <c r="K33" s="45" t="s">
        <v>133</v>
      </c>
      <c r="L33" s="46" t="s">
        <v>94</v>
      </c>
      <c r="M33" s="45">
        <v>1352.4</v>
      </c>
      <c r="N33" s="47"/>
    </row>
    <row r="34" spans="2:14" ht="24.75" customHeight="1">
      <c r="B34" s="45">
        <v>24</v>
      </c>
      <c r="C34" s="45" t="s">
        <v>142</v>
      </c>
      <c r="D34" s="45" t="s">
        <v>145</v>
      </c>
      <c r="E34" s="45" t="s">
        <v>146</v>
      </c>
      <c r="F34" s="45" t="s">
        <v>90</v>
      </c>
      <c r="G34" s="45" t="s">
        <v>91</v>
      </c>
      <c r="H34" s="45" t="s">
        <v>147</v>
      </c>
      <c r="I34" s="45">
        <v>21</v>
      </c>
      <c r="J34" s="45">
        <v>262</v>
      </c>
      <c r="K34" s="45" t="s">
        <v>148</v>
      </c>
      <c r="L34" s="46" t="s">
        <v>94</v>
      </c>
      <c r="M34" s="45">
        <v>1152.8</v>
      </c>
      <c r="N34" s="47"/>
    </row>
    <row r="35" spans="2:14" ht="24.75" customHeight="1">
      <c r="B35" s="45">
        <v>25</v>
      </c>
      <c r="C35" s="45" t="s">
        <v>142</v>
      </c>
      <c r="D35" s="45" t="s">
        <v>149</v>
      </c>
      <c r="E35" s="45" t="s">
        <v>150</v>
      </c>
      <c r="F35" s="45" t="s">
        <v>90</v>
      </c>
      <c r="G35" s="45" t="s">
        <v>91</v>
      </c>
      <c r="H35" s="45" t="s">
        <v>141</v>
      </c>
      <c r="I35" s="45">
        <v>10</v>
      </c>
      <c r="J35" s="45">
        <v>157</v>
      </c>
      <c r="K35" s="45" t="s">
        <v>133</v>
      </c>
      <c r="L35" s="46" t="s">
        <v>94</v>
      </c>
      <c r="M35" s="45">
        <v>659.4</v>
      </c>
      <c r="N35" s="47"/>
    </row>
    <row r="36" spans="2:14" ht="24.75" customHeight="1">
      <c r="B36" s="45">
        <v>26</v>
      </c>
      <c r="C36" s="45" t="s">
        <v>142</v>
      </c>
      <c r="D36" s="45" t="s">
        <v>149</v>
      </c>
      <c r="E36" s="45" t="s">
        <v>150</v>
      </c>
      <c r="F36" s="45" t="s">
        <v>90</v>
      </c>
      <c r="G36" s="45" t="s">
        <v>91</v>
      </c>
      <c r="H36" s="45" t="s">
        <v>141</v>
      </c>
      <c r="I36" s="45">
        <v>10</v>
      </c>
      <c r="J36" s="45">
        <v>157</v>
      </c>
      <c r="K36" s="45" t="s">
        <v>95</v>
      </c>
      <c r="L36" s="46" t="s">
        <v>96</v>
      </c>
      <c r="M36" s="45">
        <v>200</v>
      </c>
      <c r="N36" s="47"/>
    </row>
    <row r="37" spans="2:14" ht="24.75" customHeight="1">
      <c r="B37" s="45">
        <v>27</v>
      </c>
      <c r="C37" s="45" t="s">
        <v>142</v>
      </c>
      <c r="D37" s="45" t="s">
        <v>151</v>
      </c>
      <c r="E37" s="45" t="s">
        <v>152</v>
      </c>
      <c r="F37" s="45" t="s">
        <v>90</v>
      </c>
      <c r="G37" s="45" t="s">
        <v>91</v>
      </c>
      <c r="H37" s="45" t="s">
        <v>38</v>
      </c>
      <c r="I37" s="45">
        <v>46</v>
      </c>
      <c r="J37" s="45">
        <v>681</v>
      </c>
      <c r="K37" s="45" t="s">
        <v>153</v>
      </c>
      <c r="L37" s="46" t="s">
        <v>94</v>
      </c>
      <c r="M37" s="45">
        <v>3336.9</v>
      </c>
      <c r="N37" s="47"/>
    </row>
    <row r="38" spans="2:14" ht="24.75" customHeight="1">
      <c r="B38" s="45">
        <v>28</v>
      </c>
      <c r="C38" s="45" t="s">
        <v>142</v>
      </c>
      <c r="D38" s="45" t="s">
        <v>151</v>
      </c>
      <c r="E38" s="45" t="s">
        <v>152</v>
      </c>
      <c r="F38" s="45" t="s">
        <v>90</v>
      </c>
      <c r="G38" s="45" t="s">
        <v>91</v>
      </c>
      <c r="H38" s="45" t="s">
        <v>38</v>
      </c>
      <c r="I38" s="45">
        <v>46</v>
      </c>
      <c r="J38" s="45">
        <v>681</v>
      </c>
      <c r="K38" s="45" t="s">
        <v>95</v>
      </c>
      <c r="L38" s="46" t="s">
        <v>96</v>
      </c>
      <c r="M38" s="45">
        <v>200</v>
      </c>
      <c r="N38" s="47"/>
    </row>
    <row r="39" spans="2:14" ht="24.75" customHeight="1">
      <c r="B39" s="45">
        <v>29</v>
      </c>
      <c r="C39" s="45" t="s">
        <v>142</v>
      </c>
      <c r="D39" s="45" t="s">
        <v>154</v>
      </c>
      <c r="E39" s="45" t="s">
        <v>155</v>
      </c>
      <c r="F39" s="45" t="s">
        <v>124</v>
      </c>
      <c r="G39" s="45" t="s">
        <v>125</v>
      </c>
      <c r="H39" s="45" t="s">
        <v>156</v>
      </c>
      <c r="I39" s="45">
        <v>7</v>
      </c>
      <c r="J39" s="45">
        <v>88</v>
      </c>
      <c r="K39" s="45" t="s">
        <v>157</v>
      </c>
      <c r="L39" s="46" t="s">
        <v>94</v>
      </c>
      <c r="M39" s="45">
        <v>528</v>
      </c>
      <c r="N39" s="47"/>
    </row>
    <row r="40" spans="2:14" ht="24.75" customHeight="1">
      <c r="B40" s="45">
        <v>30</v>
      </c>
      <c r="C40" s="45" t="s">
        <v>142</v>
      </c>
      <c r="D40" s="45" t="s">
        <v>154</v>
      </c>
      <c r="E40" s="45" t="s">
        <v>155</v>
      </c>
      <c r="F40" s="45" t="s">
        <v>124</v>
      </c>
      <c r="G40" s="45" t="s">
        <v>125</v>
      </c>
      <c r="H40" s="45" t="s">
        <v>156</v>
      </c>
      <c r="I40" s="45">
        <v>7</v>
      </c>
      <c r="J40" s="45">
        <v>88</v>
      </c>
      <c r="K40" s="45" t="s">
        <v>106</v>
      </c>
      <c r="L40" s="46" t="s">
        <v>96</v>
      </c>
      <c r="M40" s="45">
        <v>250</v>
      </c>
      <c r="N40" s="47"/>
    </row>
    <row r="41" spans="2:14" ht="24.75" customHeight="1"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6" t="s">
        <v>158</v>
      </c>
      <c r="M41" s="45" t="s">
        <v>159</v>
      </c>
      <c r="N41" s="47"/>
    </row>
    <row r="42" spans="2:14" s="44" customFormat="1" ht="24.75" customHeight="1">
      <c r="B42" s="47"/>
      <c r="C42" s="47"/>
      <c r="D42" s="45"/>
      <c r="E42" s="45"/>
      <c r="F42" s="45"/>
      <c r="G42" s="45"/>
      <c r="H42" s="45"/>
      <c r="I42" s="45"/>
      <c r="J42" s="45"/>
      <c r="K42" s="47"/>
      <c r="L42" s="49"/>
      <c r="M42" s="47"/>
      <c r="N42" s="47"/>
    </row>
    <row r="43" spans="2:14" s="44" customFormat="1" ht="24.75" customHeight="1">
      <c r="B43" s="47"/>
      <c r="C43" s="45"/>
      <c r="D43" s="47"/>
      <c r="E43" s="47"/>
      <c r="F43" s="47"/>
      <c r="G43" s="47"/>
      <c r="H43" s="47"/>
      <c r="I43" s="47"/>
      <c r="J43" s="47"/>
      <c r="K43" s="47"/>
      <c r="L43" s="49"/>
      <c r="M43" s="47"/>
      <c r="N43" s="47"/>
    </row>
    <row r="44" spans="2:14" s="50" customFormat="1" ht="24.75" customHeight="1">
      <c r="B44" s="174"/>
      <c r="C44" s="174"/>
      <c r="D44" s="174"/>
      <c r="E44" s="174"/>
      <c r="F44" s="174"/>
      <c r="G44" s="174"/>
      <c r="H44" s="174"/>
      <c r="I44" s="174"/>
      <c r="J44" s="174"/>
      <c r="K44" s="174"/>
      <c r="L44" s="174"/>
      <c r="M44" s="174"/>
    </row>
    <row r="45" spans="2:14" s="50" customFormat="1" ht="24.75" customHeight="1">
      <c r="B45" s="175"/>
      <c r="C45" s="175"/>
      <c r="D45" s="175"/>
      <c r="E45" s="175"/>
      <c r="F45" s="175"/>
      <c r="G45" s="175"/>
      <c r="H45" s="175"/>
      <c r="I45" s="175"/>
      <c r="J45" s="175"/>
      <c r="K45" s="175"/>
      <c r="L45" s="175"/>
      <c r="M45" s="175"/>
    </row>
    <row r="46" spans="2:14" s="50" customFormat="1" ht="24.75" customHeight="1">
      <c r="B46" s="175" t="s">
        <v>160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5"/>
      <c r="M46" s="175"/>
    </row>
    <row r="47" spans="2:14" ht="24.75" customHeight="1">
      <c r="B47" s="176" t="s">
        <v>161</v>
      </c>
      <c r="C47" s="176"/>
      <c r="D47" s="176"/>
      <c r="E47" s="176"/>
      <c r="F47" s="51"/>
      <c r="G47" s="51"/>
      <c r="H47" s="51"/>
      <c r="I47" s="51"/>
      <c r="J47" s="51"/>
      <c r="K47" s="52"/>
      <c r="L47" s="53"/>
      <c r="M47" s="51"/>
    </row>
    <row r="48" spans="2:14" ht="24.75" customHeight="1">
      <c r="B48" s="169" t="s">
        <v>162</v>
      </c>
      <c r="C48" s="170"/>
      <c r="D48" s="170"/>
      <c r="E48" s="171"/>
      <c r="F48" s="51"/>
      <c r="G48" s="51"/>
      <c r="H48" s="51"/>
      <c r="I48" s="51"/>
      <c r="J48" s="51"/>
      <c r="K48" s="51"/>
      <c r="L48" s="53"/>
      <c r="M48" s="51"/>
    </row>
    <row r="49" spans="2:13" ht="24.75" customHeight="1">
      <c r="B49" s="169" t="s">
        <v>163</v>
      </c>
      <c r="C49" s="170"/>
      <c r="D49" s="170"/>
      <c r="E49" s="171"/>
      <c r="F49" s="51"/>
      <c r="G49" s="51"/>
      <c r="H49" s="51"/>
      <c r="I49" s="51"/>
      <c r="J49" s="51"/>
      <c r="K49" s="51"/>
      <c r="L49" s="53"/>
      <c r="M49" s="51"/>
    </row>
    <row r="50" spans="2:13" ht="24.75" customHeight="1"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3"/>
      <c r="M50" s="51"/>
    </row>
    <row r="51" spans="2:13" ht="24.75" customHeight="1">
      <c r="B51" s="172" t="s">
        <v>164</v>
      </c>
      <c r="C51" s="172"/>
      <c r="D51" s="172"/>
      <c r="E51" s="172"/>
      <c r="F51" s="172"/>
      <c r="G51" s="172"/>
      <c r="H51" s="172"/>
      <c r="I51" s="172"/>
      <c r="J51" s="54"/>
      <c r="K51" s="54"/>
      <c r="L51" s="55"/>
      <c r="M51" s="54"/>
    </row>
    <row r="52" spans="2:13" ht="24.75" customHeight="1">
      <c r="B52" s="172"/>
      <c r="C52" s="172"/>
      <c r="D52" s="172"/>
      <c r="E52" s="172"/>
      <c r="F52" s="172"/>
      <c r="G52" s="172"/>
      <c r="H52" s="172"/>
      <c r="I52" s="172"/>
      <c r="J52" s="54"/>
      <c r="K52" s="54"/>
      <c r="L52" s="55"/>
      <c r="M52" s="54"/>
    </row>
    <row r="53" spans="2:13" ht="24.75" customHeight="1">
      <c r="B53" s="172"/>
      <c r="C53" s="172"/>
      <c r="D53" s="172"/>
      <c r="E53" s="172"/>
      <c r="F53" s="172"/>
      <c r="G53" s="172"/>
      <c r="H53" s="172"/>
      <c r="I53" s="172"/>
    </row>
  </sheetData>
  <mergeCells count="21">
    <mergeCell ref="B48:E48"/>
    <mergeCell ref="B49:E49"/>
    <mergeCell ref="B51:I53"/>
    <mergeCell ref="B9:C9"/>
    <mergeCell ref="D9:E9"/>
    <mergeCell ref="B44:M44"/>
    <mergeCell ref="B45:M45"/>
    <mergeCell ref="B46:M46"/>
    <mergeCell ref="B47:E47"/>
    <mergeCell ref="B6:C6"/>
    <mergeCell ref="D6:E6"/>
    <mergeCell ref="B7:C7"/>
    <mergeCell ref="D7:E7"/>
    <mergeCell ref="B8:C8"/>
    <mergeCell ref="D8:E8"/>
    <mergeCell ref="A1:B1"/>
    <mergeCell ref="E1:L2"/>
    <mergeCell ref="E3:L4"/>
    <mergeCell ref="A4:B4"/>
    <mergeCell ref="A5:B5"/>
    <mergeCell ref="I5:M5"/>
  </mergeCells>
  <phoneticPr fontId="3" type="noConversion"/>
  <pageMargins left="0.75" right="0.75" top="1" bottom="1" header="0.3" footer="0.3"/>
  <pageSetup paperSize="9" scale="4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C560E-13E7-4532-A76B-C389F6632820}">
  <sheetPr>
    <pageSetUpPr fitToPage="1"/>
  </sheetPr>
  <dimension ref="A1:P49"/>
  <sheetViews>
    <sheetView showGridLines="0" topLeftCell="A20" workbookViewId="0">
      <selection activeCell="F34" sqref="F34"/>
    </sheetView>
  </sheetViews>
  <sheetFormatPr defaultColWidth="8.25" defaultRowHeight="24.75" customHeight="1"/>
  <cols>
    <col min="1" max="1" width="1.9140625" style="48" customWidth="1"/>
    <col min="2" max="2" width="5.58203125" style="48" customWidth="1"/>
    <col min="3" max="3" width="11.4140625" style="48" customWidth="1"/>
    <col min="4" max="4" width="15.08203125" style="48" customWidth="1"/>
    <col min="5" max="5" width="18.6640625" style="48" customWidth="1"/>
    <col min="6" max="6" width="20.1640625" style="48" customWidth="1"/>
    <col min="7" max="12" width="11.08203125" style="48" customWidth="1"/>
    <col min="13" max="13" width="11.08203125" style="56" customWidth="1"/>
    <col min="14" max="14" width="18.6640625" style="48" customWidth="1"/>
    <col min="15" max="15" width="13.4140625" style="30" customWidth="1"/>
    <col min="16" max="16" width="12.58203125" style="30" customWidth="1"/>
    <col min="17" max="16384" width="8.25" style="30"/>
  </cols>
  <sheetData>
    <row r="1" spans="1:16" s="57" customFormat="1" ht="42.75" customHeight="1">
      <c r="B1" s="177" t="s">
        <v>165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</row>
    <row r="2" spans="1:16" s="57" customFormat="1" ht="42.75" customHeight="1">
      <c r="B2" s="58"/>
      <c r="C2" s="178" t="s">
        <v>166</v>
      </c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</row>
    <row r="3" spans="1:16" s="57" customFormat="1" ht="15.75" customHeight="1">
      <c r="B3" s="59" t="s">
        <v>167</v>
      </c>
      <c r="C3" s="60"/>
      <c r="D3" s="60"/>
      <c r="E3" s="60"/>
      <c r="F3" s="60"/>
      <c r="G3" s="60"/>
      <c r="H3" s="60"/>
      <c r="I3" s="60"/>
      <c r="J3" s="61"/>
      <c r="K3" s="61"/>
      <c r="L3" s="61"/>
    </row>
    <row r="4" spans="1:16" s="57" customFormat="1" ht="31.5" customHeight="1">
      <c r="B4" s="179" t="s">
        <v>1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</row>
    <row r="5" spans="1:16" s="48" customFormat="1" ht="24.75" customHeight="1">
      <c r="A5" s="31"/>
      <c r="B5" s="168" t="s">
        <v>7</v>
      </c>
      <c r="C5" s="168"/>
      <c r="D5" s="168" t="s">
        <v>168</v>
      </c>
      <c r="E5" s="168"/>
      <c r="F5" s="33"/>
      <c r="G5" s="33"/>
      <c r="H5" s="33"/>
      <c r="I5" s="33"/>
      <c r="J5" s="33"/>
      <c r="K5" s="33"/>
      <c r="L5" s="33"/>
      <c r="M5" s="33"/>
      <c r="N5" s="34"/>
      <c r="O5" s="33"/>
      <c r="P5" s="62"/>
    </row>
    <row r="6" spans="1:16" s="38" customFormat="1" ht="24.75" customHeight="1">
      <c r="B6" s="168" t="s">
        <v>5</v>
      </c>
      <c r="C6" s="168"/>
      <c r="D6" s="173" t="s">
        <v>169</v>
      </c>
      <c r="E6" s="173"/>
      <c r="F6" s="40"/>
      <c r="G6" s="40"/>
      <c r="H6" s="40"/>
      <c r="I6" s="40"/>
      <c r="J6" s="40"/>
      <c r="K6" s="40"/>
      <c r="L6" s="40"/>
      <c r="M6" s="40"/>
      <c r="N6" s="41"/>
      <c r="O6" s="40"/>
      <c r="P6" s="63"/>
    </row>
    <row r="7" spans="1:16" s="36" customFormat="1" ht="24.75" customHeight="1">
      <c r="B7" s="42" t="s">
        <v>12</v>
      </c>
      <c r="C7" s="42" t="s">
        <v>13</v>
      </c>
      <c r="D7" s="42" t="s">
        <v>15</v>
      </c>
      <c r="E7" s="42" t="s">
        <v>170</v>
      </c>
      <c r="F7" s="42" t="s">
        <v>16</v>
      </c>
      <c r="G7" s="42" t="s">
        <v>23</v>
      </c>
      <c r="H7" s="42" t="s">
        <v>17</v>
      </c>
      <c r="I7" s="42" t="s">
        <v>18</v>
      </c>
      <c r="J7" s="42" t="s">
        <v>171</v>
      </c>
      <c r="K7" s="42" t="s">
        <v>85</v>
      </c>
      <c r="L7" s="42" t="s">
        <v>24</v>
      </c>
      <c r="M7" s="42" t="s">
        <v>19</v>
      </c>
      <c r="N7" s="64" t="s">
        <v>20</v>
      </c>
      <c r="O7" s="42" t="s">
        <v>26</v>
      </c>
      <c r="P7" s="65" t="s">
        <v>27</v>
      </c>
    </row>
    <row r="8" spans="1:16" ht="24.75" customHeight="1">
      <c r="B8" s="45">
        <v>1</v>
      </c>
      <c r="C8" s="45" t="s">
        <v>172</v>
      </c>
      <c r="D8" s="45" t="s">
        <v>173</v>
      </c>
      <c r="E8" s="45" t="s">
        <v>174</v>
      </c>
      <c r="F8" s="45"/>
      <c r="G8" s="45" t="s">
        <v>175</v>
      </c>
      <c r="H8" s="45" t="s">
        <v>176</v>
      </c>
      <c r="I8" s="45" t="s">
        <v>126</v>
      </c>
      <c r="J8" s="45" t="s">
        <v>177</v>
      </c>
      <c r="K8" s="45" t="s">
        <v>125</v>
      </c>
      <c r="L8" s="45" t="s">
        <v>94</v>
      </c>
      <c r="M8" s="45">
        <v>45</v>
      </c>
      <c r="N8" s="66">
        <v>610</v>
      </c>
      <c r="O8" s="45" t="s">
        <v>178</v>
      </c>
      <c r="P8" s="67">
        <v>3050</v>
      </c>
    </row>
    <row r="9" spans="1:16" ht="24.75" customHeight="1">
      <c r="B9" s="45">
        <v>2</v>
      </c>
      <c r="C9" s="45" t="s">
        <v>172</v>
      </c>
      <c r="D9" s="45" t="s">
        <v>173</v>
      </c>
      <c r="E9" s="45" t="s">
        <v>174</v>
      </c>
      <c r="F9" s="45"/>
      <c r="G9" s="45" t="s">
        <v>175</v>
      </c>
      <c r="H9" s="45" t="s">
        <v>176</v>
      </c>
      <c r="I9" s="45" t="s">
        <v>126</v>
      </c>
      <c r="J9" s="45" t="s">
        <v>177</v>
      </c>
      <c r="K9" s="45" t="s">
        <v>125</v>
      </c>
      <c r="L9" s="45" t="s">
        <v>179</v>
      </c>
      <c r="M9" s="45">
        <v>45</v>
      </c>
      <c r="N9" s="66">
        <v>610</v>
      </c>
      <c r="O9" s="45" t="s">
        <v>180</v>
      </c>
      <c r="P9" s="67">
        <v>350</v>
      </c>
    </row>
    <row r="10" spans="1:16" ht="24.75" customHeight="1">
      <c r="B10" s="45">
        <v>3</v>
      </c>
      <c r="C10" s="45" t="s">
        <v>172</v>
      </c>
      <c r="D10" s="45" t="s">
        <v>181</v>
      </c>
      <c r="E10" s="45" t="s">
        <v>182</v>
      </c>
      <c r="F10" s="45"/>
      <c r="G10" s="45" t="s">
        <v>183</v>
      </c>
      <c r="H10" s="45" t="s">
        <v>184</v>
      </c>
      <c r="I10" s="45" t="s">
        <v>185</v>
      </c>
      <c r="J10" s="45" t="s">
        <v>186</v>
      </c>
      <c r="K10" s="45" t="s">
        <v>91</v>
      </c>
      <c r="L10" s="45" t="s">
        <v>94</v>
      </c>
      <c r="M10" s="45">
        <v>19</v>
      </c>
      <c r="N10" s="66">
        <v>256</v>
      </c>
      <c r="O10" s="45" t="s">
        <v>187</v>
      </c>
      <c r="P10" s="67">
        <v>819.2</v>
      </c>
    </row>
    <row r="11" spans="1:16" ht="24.75" customHeight="1">
      <c r="B11" s="45">
        <v>4</v>
      </c>
      <c r="C11" s="45" t="s">
        <v>172</v>
      </c>
      <c r="D11" s="45" t="s">
        <v>181</v>
      </c>
      <c r="E11" s="45" t="s">
        <v>182</v>
      </c>
      <c r="F11" s="45"/>
      <c r="G11" s="45" t="s">
        <v>183</v>
      </c>
      <c r="H11" s="45" t="s">
        <v>184</v>
      </c>
      <c r="I11" s="45" t="s">
        <v>185</v>
      </c>
      <c r="J11" s="45" t="s">
        <v>186</v>
      </c>
      <c r="K11" s="45" t="s">
        <v>91</v>
      </c>
      <c r="L11" s="45" t="s">
        <v>179</v>
      </c>
      <c r="M11" s="45">
        <v>19</v>
      </c>
      <c r="N11" s="66">
        <v>256</v>
      </c>
      <c r="O11" s="45" t="s">
        <v>95</v>
      </c>
      <c r="P11" s="67">
        <v>200</v>
      </c>
    </row>
    <row r="12" spans="1:16" ht="24.75" customHeight="1">
      <c r="B12" s="45">
        <v>5</v>
      </c>
      <c r="C12" s="45" t="s">
        <v>99</v>
      </c>
      <c r="D12" s="45" t="s">
        <v>188</v>
      </c>
      <c r="E12" s="45" t="s">
        <v>189</v>
      </c>
      <c r="F12" s="45"/>
      <c r="G12" s="45" t="s">
        <v>183</v>
      </c>
      <c r="H12" s="45">
        <v>95215</v>
      </c>
      <c r="I12" s="45" t="s">
        <v>52</v>
      </c>
      <c r="J12" s="45" t="s">
        <v>190</v>
      </c>
      <c r="K12" s="45" t="s">
        <v>91</v>
      </c>
      <c r="L12" s="45" t="s">
        <v>94</v>
      </c>
      <c r="M12" s="45">
        <v>20</v>
      </c>
      <c r="N12" s="66">
        <v>265</v>
      </c>
      <c r="O12" s="45" t="s">
        <v>191</v>
      </c>
      <c r="P12" s="67">
        <v>1139.5</v>
      </c>
    </row>
    <row r="13" spans="1:16" ht="24.75" customHeight="1">
      <c r="B13" s="45">
        <v>6</v>
      </c>
      <c r="C13" s="45" t="s">
        <v>99</v>
      </c>
      <c r="D13" s="45" t="s">
        <v>188</v>
      </c>
      <c r="E13" s="45" t="s">
        <v>189</v>
      </c>
      <c r="F13" s="45"/>
      <c r="G13" s="45" t="s">
        <v>183</v>
      </c>
      <c r="H13" s="45">
        <v>95215</v>
      </c>
      <c r="I13" s="45" t="s">
        <v>52</v>
      </c>
      <c r="J13" s="45" t="s">
        <v>190</v>
      </c>
      <c r="K13" s="45" t="s">
        <v>91</v>
      </c>
      <c r="L13" s="45" t="s">
        <v>179</v>
      </c>
      <c r="M13" s="45">
        <v>20</v>
      </c>
      <c r="N13" s="66">
        <v>265</v>
      </c>
      <c r="O13" s="45" t="s">
        <v>95</v>
      </c>
      <c r="P13" s="67">
        <v>200</v>
      </c>
    </row>
    <row r="14" spans="1:16" ht="24.75" customHeight="1">
      <c r="B14" s="45">
        <v>7</v>
      </c>
      <c r="C14" s="45" t="s">
        <v>119</v>
      </c>
      <c r="D14" s="45" t="s">
        <v>192</v>
      </c>
      <c r="E14" s="45" t="s">
        <v>193</v>
      </c>
      <c r="F14" s="45"/>
      <c r="G14" s="45" t="s">
        <v>194</v>
      </c>
      <c r="H14" s="45">
        <v>85340</v>
      </c>
      <c r="I14" s="45" t="s">
        <v>92</v>
      </c>
      <c r="J14" s="45" t="s">
        <v>195</v>
      </c>
      <c r="K14" s="45" t="s">
        <v>91</v>
      </c>
      <c r="L14" s="45" t="s">
        <v>94</v>
      </c>
      <c r="M14" s="45">
        <v>116</v>
      </c>
      <c r="N14" s="66">
        <v>1665</v>
      </c>
      <c r="O14" s="45" t="s">
        <v>196</v>
      </c>
      <c r="P14" s="67">
        <v>6826.5</v>
      </c>
    </row>
    <row r="15" spans="1:16" ht="24.75" customHeight="1">
      <c r="B15" s="45">
        <v>8</v>
      </c>
      <c r="C15" s="45" t="s">
        <v>119</v>
      </c>
      <c r="D15" s="45" t="s">
        <v>192</v>
      </c>
      <c r="E15" s="45" t="s">
        <v>193</v>
      </c>
      <c r="F15" s="45"/>
      <c r="G15" s="45" t="s">
        <v>194</v>
      </c>
      <c r="H15" s="45">
        <v>85340</v>
      </c>
      <c r="I15" s="45" t="s">
        <v>92</v>
      </c>
      <c r="J15" s="45" t="s">
        <v>195</v>
      </c>
      <c r="K15" s="45" t="s">
        <v>91</v>
      </c>
      <c r="L15" s="45" t="s">
        <v>179</v>
      </c>
      <c r="M15" s="45">
        <v>116</v>
      </c>
      <c r="N15" s="66">
        <v>1665</v>
      </c>
      <c r="O15" s="45" t="s">
        <v>95</v>
      </c>
      <c r="P15" s="67">
        <v>200</v>
      </c>
    </row>
    <row r="16" spans="1:16" ht="24.75" customHeight="1">
      <c r="B16" s="45">
        <v>9</v>
      </c>
      <c r="C16" s="45" t="s">
        <v>119</v>
      </c>
      <c r="D16" s="45" t="s">
        <v>197</v>
      </c>
      <c r="E16" s="45" t="s">
        <v>198</v>
      </c>
      <c r="F16" s="45"/>
      <c r="G16" s="45" t="s">
        <v>183</v>
      </c>
      <c r="H16" s="45">
        <v>80018</v>
      </c>
      <c r="I16" s="45" t="s">
        <v>199</v>
      </c>
      <c r="J16" s="45" t="s">
        <v>200</v>
      </c>
      <c r="K16" s="45" t="s">
        <v>91</v>
      </c>
      <c r="L16" s="45" t="s">
        <v>94</v>
      </c>
      <c r="M16" s="45">
        <v>18</v>
      </c>
      <c r="N16" s="66">
        <v>437</v>
      </c>
      <c r="O16" s="45" t="s">
        <v>201</v>
      </c>
      <c r="P16" s="67">
        <v>2534.6</v>
      </c>
    </row>
    <row r="17" spans="2:16" ht="24.75" customHeight="1">
      <c r="B17" s="45">
        <v>10</v>
      </c>
      <c r="C17" s="45" t="s">
        <v>119</v>
      </c>
      <c r="D17" s="45" t="s">
        <v>202</v>
      </c>
      <c r="E17" s="45" t="s">
        <v>203</v>
      </c>
      <c r="F17" s="45"/>
      <c r="G17" s="45" t="s">
        <v>204</v>
      </c>
      <c r="H17" s="45">
        <v>33811</v>
      </c>
      <c r="I17" s="45" t="s">
        <v>205</v>
      </c>
      <c r="J17" s="45" t="s">
        <v>200</v>
      </c>
      <c r="K17" s="45" t="s">
        <v>91</v>
      </c>
      <c r="L17" s="45" t="s">
        <v>94</v>
      </c>
      <c r="M17" s="45">
        <v>18</v>
      </c>
      <c r="N17" s="66">
        <v>438</v>
      </c>
      <c r="O17" s="45" t="s">
        <v>116</v>
      </c>
      <c r="P17" s="67">
        <v>2277.6</v>
      </c>
    </row>
    <row r="18" spans="2:16" ht="24.75" customHeight="1">
      <c r="B18" s="45">
        <v>11</v>
      </c>
      <c r="C18" s="45" t="s">
        <v>119</v>
      </c>
      <c r="D18" s="45" t="s">
        <v>206</v>
      </c>
      <c r="E18" s="45" t="s">
        <v>207</v>
      </c>
      <c r="F18" s="45"/>
      <c r="G18" s="45" t="s">
        <v>208</v>
      </c>
      <c r="H18" s="45" t="s">
        <v>209</v>
      </c>
      <c r="I18" s="45" t="s">
        <v>210</v>
      </c>
      <c r="J18" s="45" t="s">
        <v>200</v>
      </c>
      <c r="K18" s="45" t="s">
        <v>91</v>
      </c>
      <c r="L18" s="45" t="s">
        <v>94</v>
      </c>
      <c r="M18" s="45">
        <v>18</v>
      </c>
      <c r="N18" s="66">
        <v>437</v>
      </c>
      <c r="O18" s="45" t="s">
        <v>211</v>
      </c>
      <c r="P18" s="67">
        <v>2053.9</v>
      </c>
    </row>
    <row r="19" spans="2:16" ht="24.75" customHeight="1">
      <c r="B19" s="45">
        <v>12</v>
      </c>
      <c r="C19" s="45" t="s">
        <v>119</v>
      </c>
      <c r="D19" s="45" t="s">
        <v>206</v>
      </c>
      <c r="E19" s="45" t="s">
        <v>207</v>
      </c>
      <c r="F19" s="45"/>
      <c r="G19" s="45" t="s">
        <v>208</v>
      </c>
      <c r="H19" s="45" t="s">
        <v>209</v>
      </c>
      <c r="I19" s="45" t="s">
        <v>210</v>
      </c>
      <c r="J19" s="45" t="s">
        <v>200</v>
      </c>
      <c r="K19" s="45" t="s">
        <v>91</v>
      </c>
      <c r="L19" s="45" t="s">
        <v>179</v>
      </c>
      <c r="M19" s="45">
        <v>18</v>
      </c>
      <c r="N19" s="66">
        <v>437</v>
      </c>
      <c r="O19" s="45" t="s">
        <v>95</v>
      </c>
      <c r="P19" s="67">
        <v>200</v>
      </c>
    </row>
    <row r="20" spans="2:16" ht="24.75" customHeight="1">
      <c r="B20" s="45">
        <v>13</v>
      </c>
      <c r="C20" s="45" t="s">
        <v>119</v>
      </c>
      <c r="D20" s="45" t="s">
        <v>212</v>
      </c>
      <c r="E20" s="45" t="s">
        <v>213</v>
      </c>
      <c r="F20" s="45"/>
      <c r="G20" s="45" t="s">
        <v>204</v>
      </c>
      <c r="H20" s="45">
        <v>30549</v>
      </c>
      <c r="I20" s="45" t="s">
        <v>214</v>
      </c>
      <c r="J20" s="45" t="s">
        <v>200</v>
      </c>
      <c r="K20" s="45" t="s">
        <v>91</v>
      </c>
      <c r="L20" s="45" t="s">
        <v>94</v>
      </c>
      <c r="M20" s="45">
        <v>18</v>
      </c>
      <c r="N20" s="66">
        <v>438</v>
      </c>
      <c r="O20" s="45" t="s">
        <v>178</v>
      </c>
      <c r="P20" s="67">
        <v>2190</v>
      </c>
    </row>
    <row r="21" spans="2:16" ht="24.75" customHeight="1">
      <c r="B21" s="45">
        <v>14</v>
      </c>
      <c r="C21" s="45" t="s">
        <v>119</v>
      </c>
      <c r="D21" s="45" t="s">
        <v>212</v>
      </c>
      <c r="E21" s="45" t="s">
        <v>213</v>
      </c>
      <c r="F21" s="45"/>
      <c r="G21" s="45" t="s">
        <v>204</v>
      </c>
      <c r="H21" s="45">
        <v>30549</v>
      </c>
      <c r="I21" s="45" t="s">
        <v>214</v>
      </c>
      <c r="J21" s="45" t="s">
        <v>200</v>
      </c>
      <c r="K21" s="45" t="s">
        <v>91</v>
      </c>
      <c r="L21" s="45" t="s">
        <v>179</v>
      </c>
      <c r="M21" s="45">
        <v>18</v>
      </c>
      <c r="N21" s="66">
        <v>438</v>
      </c>
      <c r="O21" s="45" t="s">
        <v>95</v>
      </c>
      <c r="P21" s="67">
        <v>200</v>
      </c>
    </row>
    <row r="22" spans="2:16" ht="24.75" customHeight="1">
      <c r="B22" s="45">
        <v>15</v>
      </c>
      <c r="C22" s="45" t="s">
        <v>215</v>
      </c>
      <c r="D22" s="45" t="s">
        <v>216</v>
      </c>
      <c r="E22" s="45" t="s">
        <v>217</v>
      </c>
      <c r="F22" s="45"/>
      <c r="G22" s="45" t="s">
        <v>183</v>
      </c>
      <c r="H22" s="45">
        <v>93263</v>
      </c>
      <c r="I22" s="45" t="s">
        <v>218</v>
      </c>
      <c r="J22" s="45" t="s">
        <v>219</v>
      </c>
      <c r="K22" s="45" t="s">
        <v>91</v>
      </c>
      <c r="L22" s="45" t="s">
        <v>94</v>
      </c>
      <c r="M22" s="45">
        <v>106</v>
      </c>
      <c r="N22" s="66">
        <v>1471</v>
      </c>
      <c r="O22" s="45" t="s">
        <v>220</v>
      </c>
      <c r="P22" s="67">
        <v>5589.8</v>
      </c>
    </row>
    <row r="23" spans="2:16" ht="24.75" customHeight="1">
      <c r="B23" s="45">
        <v>16</v>
      </c>
      <c r="C23" s="45" t="s">
        <v>215</v>
      </c>
      <c r="D23" s="45" t="s">
        <v>216</v>
      </c>
      <c r="E23" s="45" t="s">
        <v>217</v>
      </c>
      <c r="F23" s="45"/>
      <c r="G23" s="45" t="s">
        <v>183</v>
      </c>
      <c r="H23" s="45">
        <v>93263</v>
      </c>
      <c r="I23" s="45" t="s">
        <v>218</v>
      </c>
      <c r="J23" s="45" t="s">
        <v>219</v>
      </c>
      <c r="K23" s="45" t="s">
        <v>91</v>
      </c>
      <c r="L23" s="45" t="s">
        <v>179</v>
      </c>
      <c r="M23" s="45">
        <v>106</v>
      </c>
      <c r="N23" s="66">
        <v>1471</v>
      </c>
      <c r="O23" s="45" t="s">
        <v>95</v>
      </c>
      <c r="P23" s="67">
        <v>200</v>
      </c>
    </row>
    <row r="24" spans="2:16" ht="24.75" customHeight="1">
      <c r="B24" s="45">
        <v>17</v>
      </c>
      <c r="C24" s="45" t="s">
        <v>138</v>
      </c>
      <c r="D24" s="45" t="s">
        <v>221</v>
      </c>
      <c r="E24" s="45" t="s">
        <v>222</v>
      </c>
      <c r="F24" s="45"/>
      <c r="G24" s="45" t="s">
        <v>175</v>
      </c>
      <c r="H24" s="45" t="s">
        <v>223</v>
      </c>
      <c r="I24" s="45"/>
      <c r="J24" s="45" t="s">
        <v>224</v>
      </c>
      <c r="K24" s="45" t="s">
        <v>125</v>
      </c>
      <c r="L24" s="45" t="s">
        <v>94</v>
      </c>
      <c r="M24" s="45">
        <v>38</v>
      </c>
      <c r="N24" s="66">
        <v>526</v>
      </c>
      <c r="O24" s="45" t="s">
        <v>225</v>
      </c>
      <c r="P24" s="67">
        <v>2787.8</v>
      </c>
    </row>
    <row r="25" spans="2:16" ht="24.75" customHeight="1">
      <c r="B25" s="45">
        <v>18</v>
      </c>
      <c r="C25" s="45" t="s">
        <v>138</v>
      </c>
      <c r="D25" s="45" t="s">
        <v>221</v>
      </c>
      <c r="E25" s="45" t="s">
        <v>222</v>
      </c>
      <c r="F25" s="45"/>
      <c r="G25" s="45" t="s">
        <v>175</v>
      </c>
      <c r="H25" s="45" t="s">
        <v>223</v>
      </c>
      <c r="I25" s="45"/>
      <c r="J25" s="45" t="s">
        <v>224</v>
      </c>
      <c r="K25" s="45" t="s">
        <v>125</v>
      </c>
      <c r="L25" s="45" t="s">
        <v>179</v>
      </c>
      <c r="M25" s="45">
        <v>38</v>
      </c>
      <c r="N25" s="66">
        <v>526</v>
      </c>
      <c r="O25" s="45" t="s">
        <v>180</v>
      </c>
      <c r="P25" s="67">
        <v>350</v>
      </c>
    </row>
    <row r="26" spans="2:16" ht="24.75" customHeight="1">
      <c r="B26" s="45">
        <v>19</v>
      </c>
      <c r="C26" s="45" t="s">
        <v>138</v>
      </c>
      <c r="D26" s="45" t="s">
        <v>226</v>
      </c>
      <c r="E26" s="45" t="s">
        <v>227</v>
      </c>
      <c r="F26" s="45"/>
      <c r="G26" s="45" t="s">
        <v>183</v>
      </c>
      <c r="H26" s="45">
        <v>85396</v>
      </c>
      <c r="I26" s="45" t="s">
        <v>38</v>
      </c>
      <c r="J26" s="45" t="s">
        <v>228</v>
      </c>
      <c r="K26" s="45" t="s">
        <v>91</v>
      </c>
      <c r="L26" s="45" t="s">
        <v>94</v>
      </c>
      <c r="M26" s="45">
        <v>83</v>
      </c>
      <c r="N26" s="66">
        <v>1209</v>
      </c>
      <c r="O26" s="45" t="s">
        <v>220</v>
      </c>
      <c r="P26" s="67">
        <v>4594.2</v>
      </c>
    </row>
    <row r="27" spans="2:16" ht="24.75" customHeight="1">
      <c r="B27" s="45">
        <v>20</v>
      </c>
      <c r="C27" s="45" t="s">
        <v>138</v>
      </c>
      <c r="D27" s="45" t="s">
        <v>226</v>
      </c>
      <c r="E27" s="45" t="s">
        <v>227</v>
      </c>
      <c r="F27" s="45"/>
      <c r="G27" s="45" t="s">
        <v>183</v>
      </c>
      <c r="H27" s="45">
        <v>85396</v>
      </c>
      <c r="I27" s="45" t="s">
        <v>38</v>
      </c>
      <c r="J27" s="45" t="s">
        <v>228</v>
      </c>
      <c r="K27" s="45" t="s">
        <v>91</v>
      </c>
      <c r="L27" s="45" t="s">
        <v>179</v>
      </c>
      <c r="M27" s="45">
        <v>83</v>
      </c>
      <c r="N27" s="66">
        <v>1209</v>
      </c>
      <c r="O27" s="45" t="s">
        <v>95</v>
      </c>
      <c r="P27" s="67">
        <v>200</v>
      </c>
    </row>
    <row r="28" spans="2:16" ht="24.75" customHeight="1">
      <c r="B28" s="45">
        <v>21</v>
      </c>
      <c r="C28" s="45" t="s">
        <v>142</v>
      </c>
      <c r="D28" s="45" t="s">
        <v>229</v>
      </c>
      <c r="E28" s="45" t="s">
        <v>230</v>
      </c>
      <c r="F28" s="45"/>
      <c r="G28" s="45" t="s">
        <v>183</v>
      </c>
      <c r="H28" s="45">
        <v>85340</v>
      </c>
      <c r="I28" s="45" t="s">
        <v>92</v>
      </c>
      <c r="J28" s="45" t="s">
        <v>231</v>
      </c>
      <c r="K28" s="45" t="s">
        <v>91</v>
      </c>
      <c r="L28" s="45" t="s">
        <v>94</v>
      </c>
      <c r="M28" s="45">
        <v>50</v>
      </c>
      <c r="N28" s="66">
        <v>774</v>
      </c>
      <c r="O28" s="45" t="s">
        <v>220</v>
      </c>
      <c r="P28" s="67">
        <v>2941.2</v>
      </c>
    </row>
    <row r="29" spans="2:16" ht="24.75" customHeight="1">
      <c r="B29" s="45">
        <v>22</v>
      </c>
      <c r="C29" s="45" t="s">
        <v>142</v>
      </c>
      <c r="D29" s="45" t="s">
        <v>229</v>
      </c>
      <c r="E29" s="45" t="s">
        <v>230</v>
      </c>
      <c r="F29" s="45"/>
      <c r="G29" s="45" t="s">
        <v>183</v>
      </c>
      <c r="H29" s="45">
        <v>85340</v>
      </c>
      <c r="I29" s="45" t="s">
        <v>92</v>
      </c>
      <c r="J29" s="45" t="s">
        <v>231</v>
      </c>
      <c r="K29" s="45" t="s">
        <v>91</v>
      </c>
      <c r="L29" s="45" t="s">
        <v>179</v>
      </c>
      <c r="M29" s="45">
        <v>50</v>
      </c>
      <c r="N29" s="66">
        <v>774</v>
      </c>
      <c r="O29" s="45" t="s">
        <v>95</v>
      </c>
      <c r="P29" s="67">
        <v>200</v>
      </c>
    </row>
    <row r="30" spans="2:16" ht="24.75" customHeight="1">
      <c r="B30" s="45">
        <v>23</v>
      </c>
      <c r="C30" s="45" t="s">
        <v>142</v>
      </c>
      <c r="D30" s="45" t="s">
        <v>232</v>
      </c>
      <c r="E30" s="45" t="s">
        <v>233</v>
      </c>
      <c r="F30" s="45"/>
      <c r="G30" s="45" t="s">
        <v>183</v>
      </c>
      <c r="H30" s="45">
        <v>85340</v>
      </c>
      <c r="I30" s="45" t="s">
        <v>92</v>
      </c>
      <c r="J30" s="45" t="s">
        <v>234</v>
      </c>
      <c r="K30" s="45" t="s">
        <v>91</v>
      </c>
      <c r="L30" s="45" t="s">
        <v>94</v>
      </c>
      <c r="M30" s="45">
        <v>91</v>
      </c>
      <c r="N30" s="66">
        <v>1222</v>
      </c>
      <c r="O30" s="45" t="s">
        <v>220</v>
      </c>
      <c r="P30" s="67">
        <v>4643.6000000000004</v>
      </c>
    </row>
    <row r="31" spans="2:16" ht="24.75" customHeight="1"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66"/>
      <c r="O31" s="45" t="s">
        <v>158</v>
      </c>
      <c r="P31" s="67">
        <f>SUM(P8:P30)</f>
        <v>43747.899999999994</v>
      </c>
    </row>
    <row r="32" spans="2:16" s="44" customFormat="1" ht="24.75" customHeight="1">
      <c r="B32" s="47"/>
      <c r="C32" s="47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68"/>
      <c r="O32" s="47" t="s">
        <v>235</v>
      </c>
      <c r="P32" s="67">
        <v>0</v>
      </c>
    </row>
    <row r="33" spans="2:16" s="44" customFormat="1" ht="24.75" customHeight="1">
      <c r="B33" s="47"/>
      <c r="C33" s="45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68"/>
      <c r="O33" s="47" t="s">
        <v>236</v>
      </c>
      <c r="P33" s="67">
        <f>P31-P32</f>
        <v>43747.899999999994</v>
      </c>
    </row>
    <row r="34" spans="2:16" s="44" customFormat="1" ht="24.75" customHeight="1">
      <c r="B34" s="69"/>
      <c r="C34" s="70"/>
      <c r="D34" s="69"/>
      <c r="E34" s="69"/>
      <c r="F34" s="69"/>
      <c r="G34" s="69"/>
      <c r="H34" s="69"/>
      <c r="I34" s="69"/>
      <c r="J34" s="69"/>
      <c r="K34" s="69"/>
      <c r="L34" s="69"/>
      <c r="M34" s="71"/>
      <c r="N34" s="69"/>
      <c r="P34" s="72"/>
    </row>
    <row r="35" spans="2:16" s="44" customFormat="1" ht="24.75" customHeight="1">
      <c r="B35" s="183" t="s">
        <v>237</v>
      </c>
      <c r="C35" s="184"/>
      <c r="D35" s="185"/>
      <c r="E35" s="186"/>
      <c r="F35" s="187"/>
      <c r="G35" s="187"/>
      <c r="H35" s="187"/>
      <c r="I35" s="187"/>
      <c r="J35" s="187"/>
      <c r="K35" s="187"/>
      <c r="L35" s="187"/>
      <c r="M35" s="187"/>
      <c r="N35" s="188"/>
      <c r="O35" s="189"/>
      <c r="P35" s="189"/>
    </row>
    <row r="36" spans="2:16" s="44" customFormat="1" ht="24.75" customHeight="1">
      <c r="B36" s="183" t="s">
        <v>238</v>
      </c>
      <c r="C36" s="184"/>
      <c r="D36" s="185"/>
      <c r="E36" s="186" t="s">
        <v>239</v>
      </c>
      <c r="F36" s="187"/>
      <c r="G36" s="187"/>
      <c r="H36" s="187"/>
      <c r="I36" s="187"/>
      <c r="J36" s="187"/>
      <c r="K36" s="187"/>
      <c r="L36" s="187"/>
      <c r="M36" s="187"/>
      <c r="N36" s="188"/>
      <c r="O36" s="189">
        <f>P33</f>
        <v>43747.899999999994</v>
      </c>
      <c r="P36" s="189"/>
    </row>
    <row r="37" spans="2:16" s="44" customFormat="1" ht="24.75" customHeight="1">
      <c r="B37" s="183" t="s">
        <v>240</v>
      </c>
      <c r="C37" s="184"/>
      <c r="D37" s="185"/>
      <c r="E37" s="186"/>
      <c r="F37" s="187"/>
      <c r="G37" s="187"/>
      <c r="H37" s="187"/>
      <c r="I37" s="187"/>
      <c r="J37" s="187"/>
      <c r="K37" s="187"/>
      <c r="L37" s="187"/>
      <c r="M37" s="187"/>
      <c r="N37" s="188"/>
      <c r="O37" s="189">
        <f>SUM(O35:P36)</f>
        <v>43747.899999999994</v>
      </c>
      <c r="P37" s="189"/>
    </row>
    <row r="38" spans="2:16" s="50" customFormat="1" ht="24.75" customHeight="1"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P38" s="74"/>
    </row>
    <row r="39" spans="2:16" s="50" customFormat="1" ht="24.75" customHeight="1">
      <c r="B39" s="175" t="s">
        <v>241</v>
      </c>
      <c r="C39" s="191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P39" s="74"/>
    </row>
    <row r="40" spans="2:16" ht="24.75" customHeight="1">
      <c r="B40" s="180" t="s">
        <v>242</v>
      </c>
      <c r="C40" s="181"/>
      <c r="D40" s="181"/>
      <c r="E40" s="181"/>
      <c r="F40" s="181"/>
      <c r="G40" s="181"/>
      <c r="H40" s="181"/>
      <c r="I40" s="181"/>
      <c r="J40" s="182"/>
    </row>
    <row r="41" spans="2:16" ht="24.75" customHeight="1">
      <c r="B41" s="198" t="s">
        <v>243</v>
      </c>
      <c r="C41" s="199"/>
      <c r="D41" s="199"/>
      <c r="E41" s="200"/>
      <c r="F41" s="198" t="s">
        <v>244</v>
      </c>
      <c r="G41" s="199"/>
      <c r="H41" s="199"/>
      <c r="I41" s="199"/>
      <c r="J41" s="200"/>
    </row>
    <row r="42" spans="2:16" ht="24.75" customHeight="1">
      <c r="B42" s="201" t="s">
        <v>245</v>
      </c>
      <c r="C42" s="202"/>
      <c r="D42" s="202"/>
      <c r="E42" s="203"/>
      <c r="F42" s="201" t="s">
        <v>246</v>
      </c>
      <c r="G42" s="202"/>
      <c r="H42" s="202"/>
      <c r="I42" s="202"/>
      <c r="J42" s="203"/>
    </row>
    <row r="43" spans="2:16" ht="24.75" customHeight="1">
      <c r="B43" s="201" t="s">
        <v>247</v>
      </c>
      <c r="C43" s="202"/>
      <c r="D43" s="202"/>
      <c r="E43" s="203"/>
      <c r="F43" s="201" t="s">
        <v>248</v>
      </c>
      <c r="G43" s="202"/>
      <c r="H43" s="202"/>
      <c r="I43" s="202"/>
      <c r="J43" s="203"/>
    </row>
    <row r="44" spans="2:16" ht="24.75" customHeight="1">
      <c r="B44" s="192" t="s">
        <v>249</v>
      </c>
      <c r="C44" s="193"/>
      <c r="D44" s="193"/>
      <c r="E44" s="194"/>
      <c r="F44" s="192" t="s">
        <v>250</v>
      </c>
      <c r="G44" s="193"/>
      <c r="H44" s="193"/>
      <c r="I44" s="193"/>
      <c r="J44" s="194"/>
    </row>
    <row r="45" spans="2:16" ht="24.75" customHeight="1">
      <c r="B45" s="195" t="s">
        <v>251</v>
      </c>
      <c r="C45" s="196"/>
      <c r="D45" s="196"/>
      <c r="E45" s="196"/>
      <c r="F45" s="196"/>
      <c r="G45" s="196"/>
      <c r="H45" s="196"/>
      <c r="I45" s="196"/>
      <c r="J45" s="197"/>
    </row>
    <row r="46" spans="2:16" ht="24.75" customHeight="1">
      <c r="B46" s="75" t="s">
        <v>252</v>
      </c>
    </row>
    <row r="47" spans="2:16" ht="24.75" customHeight="1">
      <c r="B47" s="75" t="s">
        <v>253</v>
      </c>
    </row>
    <row r="48" spans="2:16" ht="24.75" customHeight="1">
      <c r="B48" s="75" t="s">
        <v>254</v>
      </c>
    </row>
    <row r="49" spans="2:2" ht="24.75" customHeight="1">
      <c r="B49" s="75" t="s">
        <v>255</v>
      </c>
    </row>
  </sheetData>
  <mergeCells count="28">
    <mergeCell ref="B44:E44"/>
    <mergeCell ref="F44:J44"/>
    <mergeCell ref="B45:J45"/>
    <mergeCell ref="B41:E41"/>
    <mergeCell ref="F41:J41"/>
    <mergeCell ref="B42:E42"/>
    <mergeCell ref="F42:J42"/>
    <mergeCell ref="B43:E43"/>
    <mergeCell ref="F43:J43"/>
    <mergeCell ref="B40:J40"/>
    <mergeCell ref="B35:D35"/>
    <mergeCell ref="E35:N35"/>
    <mergeCell ref="O35:P35"/>
    <mergeCell ref="B36:D36"/>
    <mergeCell ref="E36:N36"/>
    <mergeCell ref="O36:P36"/>
    <mergeCell ref="B37:D37"/>
    <mergeCell ref="E37:N37"/>
    <mergeCell ref="O37:P37"/>
    <mergeCell ref="B38:N38"/>
    <mergeCell ref="B39:N39"/>
    <mergeCell ref="B6:C6"/>
    <mergeCell ref="D6:E6"/>
    <mergeCell ref="B1:N1"/>
    <mergeCell ref="C2:N2"/>
    <mergeCell ref="B4:N4"/>
    <mergeCell ref="B5:C5"/>
    <mergeCell ref="D5:E5"/>
  </mergeCells>
  <phoneticPr fontId="3" type="noConversion"/>
  <pageMargins left="0.75" right="0.75" top="1" bottom="1" header="0.3" footer="0.3"/>
  <pageSetup paperSize="9" scale="47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1A77B-A4BD-46EB-B8AC-5053FD4465FC}">
  <sheetPr>
    <pageSetUpPr fitToPage="1"/>
  </sheetPr>
  <dimension ref="A1:Q35"/>
  <sheetViews>
    <sheetView topLeftCell="A4" workbookViewId="0">
      <selection activeCell="A29" sqref="A29:L29"/>
    </sheetView>
  </sheetViews>
  <sheetFormatPr defaultColWidth="8.25" defaultRowHeight="14"/>
  <cols>
    <col min="1" max="1" width="9.83203125" style="4" customWidth="1"/>
    <col min="2" max="2" width="23.58203125" style="4" customWidth="1"/>
    <col min="3" max="3" width="17.75" style="4" customWidth="1"/>
    <col min="4" max="4" width="12.9140625" style="4" customWidth="1"/>
    <col min="5" max="5" width="19.6640625" style="4" customWidth="1"/>
    <col min="6" max="6" width="10.5" style="4" customWidth="1"/>
    <col min="7" max="7" width="10.1640625" style="4" customWidth="1"/>
    <col min="8" max="8" width="5.1640625" style="4" customWidth="1"/>
    <col min="9" max="9" width="8.33203125" style="4" customWidth="1"/>
    <col min="10" max="10" width="6.83203125" style="4" customWidth="1"/>
    <col min="11" max="11" width="7.1640625" style="4" customWidth="1"/>
    <col min="12" max="12" width="13.75" style="4" customWidth="1"/>
    <col min="13" max="13" width="10" style="4" customWidth="1"/>
    <col min="14" max="14" width="7.58203125" style="4" customWidth="1"/>
    <col min="15" max="15" width="10.33203125" style="4" customWidth="1"/>
    <col min="16" max="16" width="17.33203125" style="4" customWidth="1"/>
    <col min="17" max="17" width="12.9140625" style="1" customWidth="1"/>
    <col min="18" max="16384" width="8.25" style="1"/>
  </cols>
  <sheetData>
    <row r="1" spans="1:17" ht="89" customHeight="1">
      <c r="A1" s="206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8"/>
    </row>
    <row r="2" spans="1:17" ht="25.5">
      <c r="A2" s="209" t="s">
        <v>1</v>
      </c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1"/>
    </row>
    <row r="3" spans="1:17" ht="18" customHeight="1">
      <c r="A3" s="2" t="s">
        <v>2</v>
      </c>
      <c r="B3" s="3" t="s">
        <v>256</v>
      </c>
      <c r="C3" s="3"/>
      <c r="D3" s="3"/>
      <c r="E3" s="3"/>
      <c r="F3" s="3"/>
      <c r="G3" s="3"/>
      <c r="H3" s="3"/>
      <c r="I3" s="3"/>
      <c r="J3" s="3"/>
      <c r="K3" s="3"/>
      <c r="N3" s="3"/>
      <c r="O3" s="5" t="s">
        <v>3</v>
      </c>
      <c r="P3" s="3" t="s">
        <v>4</v>
      </c>
      <c r="Q3" s="6"/>
    </row>
    <row r="4" spans="1:17" ht="18" customHeight="1">
      <c r="A4" s="2" t="s">
        <v>5</v>
      </c>
      <c r="B4" s="3" t="s">
        <v>6</v>
      </c>
      <c r="C4" s="3"/>
      <c r="D4" s="3"/>
      <c r="E4" s="3"/>
      <c r="F4" s="3"/>
      <c r="G4" s="3"/>
      <c r="H4" s="3"/>
      <c r="I4" s="3"/>
      <c r="J4" s="3"/>
      <c r="K4" s="3"/>
      <c r="N4" s="3"/>
      <c r="O4" s="5" t="s">
        <v>7</v>
      </c>
      <c r="P4" s="3" t="s">
        <v>257</v>
      </c>
      <c r="Q4" s="6"/>
    </row>
    <row r="5" spans="1:17" ht="18" customHeight="1">
      <c r="A5" s="2" t="s">
        <v>8</v>
      </c>
      <c r="B5" s="3" t="s">
        <v>9</v>
      </c>
      <c r="C5" s="3"/>
      <c r="D5" s="3"/>
      <c r="E5" s="3"/>
      <c r="F5" s="3"/>
      <c r="G5" s="3"/>
      <c r="H5" s="3"/>
      <c r="I5" s="3"/>
      <c r="J5" s="3"/>
      <c r="K5" s="3"/>
      <c r="N5" s="3"/>
      <c r="O5" s="5" t="s">
        <v>10</v>
      </c>
      <c r="P5" s="3" t="s">
        <v>258</v>
      </c>
      <c r="Q5" s="6"/>
    </row>
    <row r="6" spans="1:17" ht="18" customHeight="1" thickBot="1">
      <c r="A6" s="2" t="s">
        <v>11</v>
      </c>
      <c r="B6" s="3" t="s">
        <v>259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8"/>
    </row>
    <row r="7" spans="1:17" ht="20" customHeight="1">
      <c r="A7" s="9" t="s">
        <v>12</v>
      </c>
      <c r="B7" s="10" t="s">
        <v>13</v>
      </c>
      <c r="C7" s="10" t="s">
        <v>14</v>
      </c>
      <c r="D7" s="10" t="s">
        <v>15</v>
      </c>
      <c r="E7" s="10" t="s">
        <v>16</v>
      </c>
      <c r="F7" s="10" t="s">
        <v>17</v>
      </c>
      <c r="G7" s="10" t="s">
        <v>18</v>
      </c>
      <c r="H7" s="10" t="s">
        <v>19</v>
      </c>
      <c r="I7" s="10" t="s">
        <v>20</v>
      </c>
      <c r="J7" s="10" t="s">
        <v>21</v>
      </c>
      <c r="K7" s="10" t="s">
        <v>22</v>
      </c>
      <c r="L7" s="10" t="s">
        <v>23</v>
      </c>
      <c r="M7" s="10" t="s">
        <v>24</v>
      </c>
      <c r="N7" s="10" t="s">
        <v>25</v>
      </c>
      <c r="O7" s="10" t="s">
        <v>26</v>
      </c>
      <c r="P7" s="10" t="s">
        <v>27</v>
      </c>
      <c r="Q7" s="11" t="s">
        <v>28</v>
      </c>
    </row>
    <row r="8" spans="1:17">
      <c r="A8" s="12" t="s">
        <v>29</v>
      </c>
      <c r="B8" s="12" t="s">
        <v>260</v>
      </c>
      <c r="C8" s="12" t="s">
        <v>261</v>
      </c>
      <c r="D8" s="12" t="s">
        <v>262</v>
      </c>
      <c r="E8" s="12" t="s">
        <v>30</v>
      </c>
      <c r="F8" s="12" t="s">
        <v>48</v>
      </c>
      <c r="G8" s="12" t="s">
        <v>49</v>
      </c>
      <c r="H8" s="12">
        <v>28</v>
      </c>
      <c r="I8" s="12">
        <v>1.29</v>
      </c>
      <c r="J8" s="12">
        <v>465.78</v>
      </c>
      <c r="K8" s="12" t="s">
        <v>30</v>
      </c>
      <c r="L8" s="12" t="s">
        <v>31</v>
      </c>
      <c r="M8" s="12" t="s">
        <v>35</v>
      </c>
      <c r="N8" s="12" t="s">
        <v>33</v>
      </c>
      <c r="O8" s="12">
        <v>200</v>
      </c>
      <c r="P8" s="12">
        <v>258</v>
      </c>
      <c r="Q8" s="12" t="s">
        <v>56</v>
      </c>
    </row>
    <row r="9" spans="1:17">
      <c r="A9" s="12" t="s">
        <v>34</v>
      </c>
      <c r="B9" s="12" t="s">
        <v>260</v>
      </c>
      <c r="C9" s="12" t="s">
        <v>261</v>
      </c>
      <c r="D9" s="12" t="s">
        <v>262</v>
      </c>
      <c r="E9" s="12" t="s">
        <v>30</v>
      </c>
      <c r="F9" s="12" t="s">
        <v>48</v>
      </c>
      <c r="G9" s="12" t="s">
        <v>49</v>
      </c>
      <c r="H9" s="12">
        <v>28</v>
      </c>
      <c r="I9" s="12">
        <v>1.29</v>
      </c>
      <c r="J9" s="12">
        <v>465.78</v>
      </c>
      <c r="K9" s="12"/>
      <c r="L9" s="12" t="s">
        <v>31</v>
      </c>
      <c r="M9" s="12" t="s">
        <v>32</v>
      </c>
      <c r="N9" s="12" t="s">
        <v>33</v>
      </c>
      <c r="O9" s="12">
        <v>830</v>
      </c>
      <c r="P9" s="12">
        <v>1070.7</v>
      </c>
      <c r="Q9" s="12"/>
    </row>
    <row r="10" spans="1:17">
      <c r="A10" s="12" t="s">
        <v>36</v>
      </c>
      <c r="B10" s="12" t="s">
        <v>263</v>
      </c>
      <c r="C10" s="12" t="s">
        <v>264</v>
      </c>
      <c r="D10" s="12" t="s">
        <v>265</v>
      </c>
      <c r="E10" s="12" t="s">
        <v>30</v>
      </c>
      <c r="F10" s="12" t="s">
        <v>266</v>
      </c>
      <c r="G10" s="12" t="s">
        <v>185</v>
      </c>
      <c r="H10" s="12">
        <v>47</v>
      </c>
      <c r="I10" s="12">
        <v>2.06</v>
      </c>
      <c r="J10" s="12">
        <v>631.64</v>
      </c>
      <c r="K10" s="12"/>
      <c r="L10" s="12" t="s">
        <v>46</v>
      </c>
      <c r="M10" s="12" t="s">
        <v>32</v>
      </c>
      <c r="N10" s="12" t="s">
        <v>33</v>
      </c>
      <c r="O10" s="12">
        <v>1890</v>
      </c>
      <c r="P10" s="12">
        <v>3893.4</v>
      </c>
      <c r="Q10" s="12"/>
    </row>
    <row r="11" spans="1:17">
      <c r="A11" s="12" t="s">
        <v>68</v>
      </c>
      <c r="B11" s="12" t="s">
        <v>267</v>
      </c>
      <c r="C11" s="12" t="s">
        <v>268</v>
      </c>
      <c r="D11" s="12" t="s">
        <v>269</v>
      </c>
      <c r="E11" s="12" t="s">
        <v>30</v>
      </c>
      <c r="F11" s="12" t="s">
        <v>270</v>
      </c>
      <c r="G11" s="12" t="s">
        <v>141</v>
      </c>
      <c r="H11" s="12">
        <v>11</v>
      </c>
      <c r="I11" s="12">
        <v>163</v>
      </c>
      <c r="J11" s="12">
        <v>162.38999999999999</v>
      </c>
      <c r="K11" s="12">
        <v>61.72</v>
      </c>
      <c r="L11" s="12" t="s">
        <v>39</v>
      </c>
      <c r="M11" s="12" t="s">
        <v>32</v>
      </c>
      <c r="N11" s="12" t="s">
        <v>40</v>
      </c>
      <c r="O11" s="12">
        <v>5.3</v>
      </c>
      <c r="P11" s="12">
        <v>863.9</v>
      </c>
      <c r="Q11" s="12"/>
    </row>
    <row r="12" spans="1:17">
      <c r="A12" s="12" t="s">
        <v>41</v>
      </c>
      <c r="B12" s="12" t="s">
        <v>267</v>
      </c>
      <c r="C12" s="12" t="s">
        <v>268</v>
      </c>
      <c r="D12" s="12" t="s">
        <v>269</v>
      </c>
      <c r="E12" s="12" t="s">
        <v>30</v>
      </c>
      <c r="F12" s="12" t="s">
        <v>270</v>
      </c>
      <c r="G12" s="12" t="s">
        <v>141</v>
      </c>
      <c r="H12" s="12">
        <v>11</v>
      </c>
      <c r="I12" s="12">
        <v>163</v>
      </c>
      <c r="J12" s="12">
        <v>162.38999999999999</v>
      </c>
      <c r="K12" s="12">
        <v>61.72</v>
      </c>
      <c r="L12" s="12" t="s">
        <v>39</v>
      </c>
      <c r="M12" s="12" t="s">
        <v>35</v>
      </c>
      <c r="N12" s="12" t="s">
        <v>40</v>
      </c>
      <c r="O12" s="12">
        <v>1</v>
      </c>
      <c r="P12" s="12">
        <v>163</v>
      </c>
      <c r="Q12" s="12" t="s">
        <v>271</v>
      </c>
    </row>
    <row r="13" spans="1:17">
      <c r="A13" s="12" t="s">
        <v>42</v>
      </c>
      <c r="B13" s="12" t="s">
        <v>272</v>
      </c>
      <c r="C13" s="12" t="s">
        <v>273</v>
      </c>
      <c r="D13" s="12" t="s">
        <v>274</v>
      </c>
      <c r="E13" s="12" t="s">
        <v>30</v>
      </c>
      <c r="F13" s="12" t="s">
        <v>275</v>
      </c>
      <c r="G13" s="12" t="s">
        <v>92</v>
      </c>
      <c r="H13" s="12">
        <v>9</v>
      </c>
      <c r="I13" s="12">
        <v>183</v>
      </c>
      <c r="J13" s="12">
        <v>182.91</v>
      </c>
      <c r="K13" s="12">
        <v>63.97</v>
      </c>
      <c r="L13" s="12" t="s">
        <v>39</v>
      </c>
      <c r="M13" s="12" t="s">
        <v>32</v>
      </c>
      <c r="N13" s="12" t="s">
        <v>40</v>
      </c>
      <c r="O13" s="12">
        <v>5.2</v>
      </c>
      <c r="P13" s="12">
        <v>951.6</v>
      </c>
      <c r="Q13" s="12"/>
    </row>
    <row r="14" spans="1:17">
      <c r="A14" s="12" t="s">
        <v>43</v>
      </c>
      <c r="B14" s="12" t="s">
        <v>272</v>
      </c>
      <c r="C14" s="12" t="s">
        <v>273</v>
      </c>
      <c r="D14" s="12" t="s">
        <v>274</v>
      </c>
      <c r="E14" s="12" t="s">
        <v>30</v>
      </c>
      <c r="F14" s="12" t="s">
        <v>275</v>
      </c>
      <c r="G14" s="12" t="s">
        <v>92</v>
      </c>
      <c r="H14" s="12">
        <v>9</v>
      </c>
      <c r="I14" s="12">
        <v>183</v>
      </c>
      <c r="J14" s="12">
        <v>182.91</v>
      </c>
      <c r="K14" s="12">
        <v>63.97</v>
      </c>
      <c r="L14" s="12" t="s">
        <v>39</v>
      </c>
      <c r="M14" s="12" t="s">
        <v>35</v>
      </c>
      <c r="N14" s="12" t="s">
        <v>40</v>
      </c>
      <c r="O14" s="12">
        <v>1</v>
      </c>
      <c r="P14" s="12">
        <v>183</v>
      </c>
      <c r="Q14" s="12" t="s">
        <v>271</v>
      </c>
    </row>
    <row r="15" spans="1:17">
      <c r="A15" s="12" t="s">
        <v>71</v>
      </c>
      <c r="B15" s="12" t="s">
        <v>276</v>
      </c>
      <c r="C15" s="12" t="s">
        <v>277</v>
      </c>
      <c r="D15" s="12" t="s">
        <v>278</v>
      </c>
      <c r="E15" s="12" t="s">
        <v>30</v>
      </c>
      <c r="F15" s="12" t="s">
        <v>37</v>
      </c>
      <c r="G15" s="12" t="s">
        <v>38</v>
      </c>
      <c r="H15" s="12">
        <v>31</v>
      </c>
      <c r="I15" s="12">
        <v>1.22</v>
      </c>
      <c r="J15" s="12">
        <v>440.33</v>
      </c>
      <c r="K15" s="12"/>
      <c r="L15" s="12" t="s">
        <v>31</v>
      </c>
      <c r="M15" s="12" t="s">
        <v>35</v>
      </c>
      <c r="N15" s="12" t="s">
        <v>33</v>
      </c>
      <c r="O15" s="12">
        <v>200</v>
      </c>
      <c r="P15" s="12">
        <v>244</v>
      </c>
      <c r="Q15" s="12" t="s">
        <v>279</v>
      </c>
    </row>
    <row r="16" spans="1:17">
      <c r="A16" s="12" t="s">
        <v>44</v>
      </c>
      <c r="B16" s="12" t="s">
        <v>276</v>
      </c>
      <c r="C16" s="12" t="s">
        <v>277</v>
      </c>
      <c r="D16" s="12" t="s">
        <v>278</v>
      </c>
      <c r="E16" s="12" t="s">
        <v>30</v>
      </c>
      <c r="F16" s="12" t="s">
        <v>37</v>
      </c>
      <c r="G16" s="12" t="s">
        <v>38</v>
      </c>
      <c r="H16" s="12">
        <v>31</v>
      </c>
      <c r="I16" s="12">
        <v>1.22</v>
      </c>
      <c r="J16" s="12">
        <v>440.33</v>
      </c>
      <c r="K16" s="12"/>
      <c r="L16" s="12" t="s">
        <v>31</v>
      </c>
      <c r="M16" s="12" t="s">
        <v>32</v>
      </c>
      <c r="N16" s="12" t="s">
        <v>33</v>
      </c>
      <c r="O16" s="12">
        <v>1020</v>
      </c>
      <c r="P16" s="12">
        <v>1244.4000000000001</v>
      </c>
      <c r="Q16" s="12"/>
    </row>
    <row r="17" spans="1:17">
      <c r="A17" s="12" t="s">
        <v>72</v>
      </c>
      <c r="B17" s="12" t="s">
        <v>276</v>
      </c>
      <c r="C17" s="12" t="s">
        <v>280</v>
      </c>
      <c r="D17" s="12" t="s">
        <v>281</v>
      </c>
      <c r="E17" s="12" t="s">
        <v>30</v>
      </c>
      <c r="F17" s="12" t="s">
        <v>37</v>
      </c>
      <c r="G17" s="12" t="s">
        <v>38</v>
      </c>
      <c r="H17" s="12">
        <v>83</v>
      </c>
      <c r="I17" s="12">
        <v>4.55</v>
      </c>
      <c r="J17" s="12">
        <v>1175.51</v>
      </c>
      <c r="K17" s="12"/>
      <c r="L17" s="12" t="s">
        <v>31</v>
      </c>
      <c r="M17" s="12" t="s">
        <v>32</v>
      </c>
      <c r="N17" s="12" t="s">
        <v>33</v>
      </c>
      <c r="O17" s="12">
        <v>1020</v>
      </c>
      <c r="P17" s="12">
        <v>4641</v>
      </c>
      <c r="Q17" s="12"/>
    </row>
    <row r="18" spans="1:17">
      <c r="A18" s="12" t="s">
        <v>47</v>
      </c>
      <c r="B18" s="12" t="s">
        <v>282</v>
      </c>
      <c r="C18" s="12" t="s">
        <v>283</v>
      </c>
      <c r="D18" s="12" t="s">
        <v>284</v>
      </c>
      <c r="E18" s="12" t="s">
        <v>30</v>
      </c>
      <c r="F18" s="12" t="s">
        <v>37</v>
      </c>
      <c r="G18" s="12" t="s">
        <v>38</v>
      </c>
      <c r="H18" s="12">
        <v>23</v>
      </c>
      <c r="I18" s="12">
        <v>1.27</v>
      </c>
      <c r="J18" s="12">
        <v>459.23</v>
      </c>
      <c r="K18" s="12"/>
      <c r="L18" s="12" t="s">
        <v>31</v>
      </c>
      <c r="M18" s="12" t="s">
        <v>32</v>
      </c>
      <c r="N18" s="12" t="s">
        <v>33</v>
      </c>
      <c r="O18" s="12">
        <v>1020</v>
      </c>
      <c r="P18" s="12">
        <v>1295.4000000000001</v>
      </c>
      <c r="Q18" s="12"/>
    </row>
    <row r="19" spans="1:17">
      <c r="A19" s="12" t="s">
        <v>73</v>
      </c>
      <c r="B19" s="12" t="s">
        <v>282</v>
      </c>
      <c r="C19" s="12" t="s">
        <v>283</v>
      </c>
      <c r="D19" s="12" t="s">
        <v>284</v>
      </c>
      <c r="E19" s="12" t="s">
        <v>30</v>
      </c>
      <c r="F19" s="12" t="s">
        <v>37</v>
      </c>
      <c r="G19" s="12" t="s">
        <v>38</v>
      </c>
      <c r="H19" s="12">
        <v>23</v>
      </c>
      <c r="I19" s="12">
        <v>1.27</v>
      </c>
      <c r="J19" s="12">
        <v>459.23</v>
      </c>
      <c r="K19" s="12"/>
      <c r="L19" s="12" t="s">
        <v>31</v>
      </c>
      <c r="M19" s="12" t="s">
        <v>35</v>
      </c>
      <c r="N19" s="12" t="s">
        <v>33</v>
      </c>
      <c r="O19" s="12">
        <v>200</v>
      </c>
      <c r="P19" s="12">
        <v>262</v>
      </c>
      <c r="Q19" s="12" t="s">
        <v>56</v>
      </c>
    </row>
    <row r="20" spans="1:17">
      <c r="A20" s="12" t="s">
        <v>50</v>
      </c>
      <c r="B20" s="12" t="s">
        <v>285</v>
      </c>
      <c r="C20" s="12" t="s">
        <v>286</v>
      </c>
      <c r="D20" s="12" t="s">
        <v>287</v>
      </c>
      <c r="E20" s="12" t="s">
        <v>30</v>
      </c>
      <c r="F20" s="12" t="s">
        <v>288</v>
      </c>
      <c r="G20" s="12" t="s">
        <v>147</v>
      </c>
      <c r="H20" s="12">
        <v>25</v>
      </c>
      <c r="I20" s="12">
        <v>1</v>
      </c>
      <c r="J20" s="12">
        <v>338.28</v>
      </c>
      <c r="K20" s="12"/>
      <c r="L20" s="12" t="s">
        <v>31</v>
      </c>
      <c r="M20" s="12" t="s">
        <v>32</v>
      </c>
      <c r="N20" s="12" t="s">
        <v>33</v>
      </c>
      <c r="O20" s="12">
        <v>1040</v>
      </c>
      <c r="P20" s="12">
        <v>1040</v>
      </c>
      <c r="Q20" s="12"/>
    </row>
    <row r="21" spans="1:17">
      <c r="A21" s="12" t="s">
        <v>51</v>
      </c>
      <c r="B21" s="12" t="s">
        <v>285</v>
      </c>
      <c r="C21" s="12" t="s">
        <v>286</v>
      </c>
      <c r="D21" s="12" t="s">
        <v>287</v>
      </c>
      <c r="E21" s="12" t="s">
        <v>30</v>
      </c>
      <c r="F21" s="12" t="s">
        <v>288</v>
      </c>
      <c r="G21" s="12" t="s">
        <v>147</v>
      </c>
      <c r="H21" s="12">
        <v>25</v>
      </c>
      <c r="I21" s="12">
        <v>1</v>
      </c>
      <c r="J21" s="12">
        <v>338.28</v>
      </c>
      <c r="K21" s="12"/>
      <c r="L21" s="12" t="s">
        <v>31</v>
      </c>
      <c r="M21" s="12" t="s">
        <v>35</v>
      </c>
      <c r="N21" s="12" t="s">
        <v>33</v>
      </c>
      <c r="O21" s="12">
        <v>200</v>
      </c>
      <c r="P21" s="12">
        <v>200</v>
      </c>
      <c r="Q21" s="12" t="s">
        <v>56</v>
      </c>
    </row>
    <row r="22" spans="1:17">
      <c r="A22" s="12" t="s">
        <v>53</v>
      </c>
      <c r="B22" s="12" t="s">
        <v>285</v>
      </c>
      <c r="C22" s="12" t="s">
        <v>289</v>
      </c>
      <c r="D22" s="12" t="s">
        <v>290</v>
      </c>
      <c r="E22" s="12" t="s">
        <v>30</v>
      </c>
      <c r="F22" s="12" t="s">
        <v>270</v>
      </c>
      <c r="G22" s="12" t="s">
        <v>141</v>
      </c>
      <c r="H22" s="12">
        <v>15</v>
      </c>
      <c r="I22" s="12">
        <v>1</v>
      </c>
      <c r="J22" s="12">
        <v>215.87</v>
      </c>
      <c r="K22" s="12"/>
      <c r="L22" s="12" t="s">
        <v>31</v>
      </c>
      <c r="M22" s="12" t="s">
        <v>32</v>
      </c>
      <c r="N22" s="12" t="s">
        <v>33</v>
      </c>
      <c r="O22" s="12">
        <v>1040</v>
      </c>
      <c r="P22" s="12">
        <v>1040</v>
      </c>
      <c r="Q22" s="12"/>
    </row>
    <row r="23" spans="1:17">
      <c r="A23" s="12" t="s">
        <v>74</v>
      </c>
      <c r="B23" s="12" t="s">
        <v>285</v>
      </c>
      <c r="C23" s="12" t="s">
        <v>289</v>
      </c>
      <c r="D23" s="12" t="s">
        <v>290</v>
      </c>
      <c r="E23" s="12" t="s">
        <v>30</v>
      </c>
      <c r="F23" s="12" t="s">
        <v>270</v>
      </c>
      <c r="G23" s="12" t="s">
        <v>141</v>
      </c>
      <c r="H23" s="12">
        <v>15</v>
      </c>
      <c r="I23" s="12">
        <v>1</v>
      </c>
      <c r="J23" s="12">
        <v>215.87</v>
      </c>
      <c r="K23" s="12"/>
      <c r="L23" s="12" t="s">
        <v>31</v>
      </c>
      <c r="M23" s="12" t="s">
        <v>35</v>
      </c>
      <c r="N23" s="12" t="s">
        <v>33</v>
      </c>
      <c r="O23" s="12">
        <v>200</v>
      </c>
      <c r="P23" s="12">
        <v>200</v>
      </c>
      <c r="Q23" s="12" t="s">
        <v>56</v>
      </c>
    </row>
    <row r="24" spans="1:17" ht="14.5" thickBot="1">
      <c r="A24" s="13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5" t="s">
        <v>57</v>
      </c>
      <c r="O24" s="14" t="s">
        <v>58</v>
      </c>
      <c r="P24" s="16">
        <f>SUM(P8:P23)</f>
        <v>17550.400000000001</v>
      </c>
      <c r="Q24" s="17"/>
    </row>
    <row r="25" spans="1:17" ht="18" customHeight="1">
      <c r="A25" s="212" t="s">
        <v>59</v>
      </c>
      <c r="B25" s="213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  <c r="N25" s="213"/>
      <c r="O25" s="213"/>
      <c r="P25" s="213"/>
      <c r="Q25" s="214"/>
    </row>
    <row r="26" spans="1:17" ht="15.5">
      <c r="A26" s="215"/>
      <c r="B26" s="216"/>
      <c r="C26" s="216"/>
      <c r="D26" s="216"/>
      <c r="E26" s="216"/>
      <c r="F26" s="216"/>
      <c r="G26" s="216"/>
      <c r="H26" s="216"/>
      <c r="I26" s="216"/>
      <c r="J26" s="216"/>
      <c r="K26" s="216"/>
      <c r="L26" s="216"/>
      <c r="M26" s="18"/>
      <c r="N26" s="18"/>
      <c r="O26" s="18"/>
      <c r="P26" s="18"/>
      <c r="Q26" s="19"/>
    </row>
    <row r="27" spans="1:17" ht="18" customHeight="1">
      <c r="A27" s="217" t="s">
        <v>60</v>
      </c>
      <c r="B27" s="218"/>
      <c r="C27" s="218"/>
      <c r="D27" s="218"/>
      <c r="E27" s="218"/>
      <c r="F27" s="218"/>
      <c r="G27" s="218"/>
      <c r="H27" s="218"/>
      <c r="I27" s="218"/>
      <c r="J27" s="218"/>
      <c r="K27" s="218"/>
      <c r="L27" s="218"/>
      <c r="M27" s="18"/>
      <c r="N27" s="18"/>
      <c r="O27" s="18"/>
      <c r="P27" s="18"/>
      <c r="Q27" s="20"/>
    </row>
    <row r="28" spans="1:17" ht="18" customHeight="1">
      <c r="A28" s="204" t="s">
        <v>61</v>
      </c>
      <c r="B28" s="205"/>
      <c r="C28" s="205"/>
      <c r="D28" s="205"/>
      <c r="E28" s="205"/>
      <c r="F28" s="205"/>
      <c r="G28" s="205"/>
      <c r="H28" s="205"/>
      <c r="I28" s="205"/>
      <c r="J28" s="205"/>
      <c r="K28" s="205"/>
      <c r="L28" s="205"/>
      <c r="M28" s="18"/>
      <c r="N28" s="18"/>
      <c r="O28" s="18"/>
      <c r="P28" s="18"/>
      <c r="Q28" s="21"/>
    </row>
    <row r="29" spans="1:17" ht="18" customHeight="1">
      <c r="A29" s="217" t="s">
        <v>62</v>
      </c>
      <c r="B29" s="218"/>
      <c r="C29" s="218"/>
      <c r="D29" s="218"/>
      <c r="E29" s="218"/>
      <c r="F29" s="218"/>
      <c r="G29" s="218"/>
      <c r="H29" s="218"/>
      <c r="I29" s="218"/>
      <c r="J29" s="218"/>
      <c r="K29" s="218"/>
      <c r="L29" s="218"/>
      <c r="M29" s="18"/>
      <c r="N29" s="18"/>
      <c r="O29" s="18"/>
      <c r="P29" s="18"/>
      <c r="Q29" s="20"/>
    </row>
    <row r="30" spans="1:17" ht="18" customHeight="1">
      <c r="A30" s="204" t="s">
        <v>63</v>
      </c>
      <c r="B30" s="205"/>
      <c r="C30" s="205"/>
      <c r="D30" s="205"/>
      <c r="E30" s="205"/>
      <c r="F30" s="205"/>
      <c r="G30" s="205"/>
      <c r="H30" s="205"/>
      <c r="I30" s="205"/>
      <c r="J30" s="205"/>
      <c r="K30" s="205"/>
      <c r="L30" s="205"/>
      <c r="M30" s="18"/>
      <c r="N30" s="18"/>
      <c r="O30" s="18"/>
      <c r="P30" s="22"/>
      <c r="Q30" s="21"/>
    </row>
    <row r="31" spans="1:17" ht="18" customHeight="1">
      <c r="A31" s="204" t="s">
        <v>64</v>
      </c>
      <c r="B31" s="205"/>
      <c r="C31" s="205"/>
      <c r="D31" s="205"/>
      <c r="E31" s="205"/>
      <c r="F31" s="205"/>
      <c r="G31" s="205"/>
      <c r="H31" s="205"/>
      <c r="I31" s="205"/>
      <c r="J31" s="205"/>
      <c r="K31" s="205"/>
      <c r="L31" s="205"/>
      <c r="M31" s="18"/>
      <c r="N31" s="18"/>
      <c r="O31" s="18"/>
      <c r="P31" s="22"/>
      <c r="Q31" s="21"/>
    </row>
    <row r="32" spans="1:17" ht="18" customHeight="1">
      <c r="A32" s="204" t="s">
        <v>291</v>
      </c>
      <c r="B32" s="205"/>
      <c r="C32" s="205"/>
      <c r="D32" s="205"/>
      <c r="E32" s="205"/>
      <c r="F32" s="205"/>
      <c r="G32" s="205"/>
      <c r="H32" s="205"/>
      <c r="I32" s="205"/>
      <c r="J32" s="205"/>
      <c r="K32" s="205"/>
      <c r="L32" s="205"/>
      <c r="M32" s="18"/>
      <c r="N32" s="18"/>
      <c r="O32" s="18"/>
      <c r="P32" s="22"/>
      <c r="Q32" s="21"/>
    </row>
    <row r="33" spans="1:17" ht="18" customHeight="1">
      <c r="A33" s="204" t="s">
        <v>292</v>
      </c>
      <c r="B33" s="205"/>
      <c r="C33" s="205"/>
      <c r="D33" s="205"/>
      <c r="E33" s="205"/>
      <c r="F33" s="205"/>
      <c r="G33" s="205"/>
      <c r="H33" s="205"/>
      <c r="I33" s="205"/>
      <c r="J33" s="205"/>
      <c r="K33" s="205"/>
      <c r="L33" s="205"/>
      <c r="M33" s="18"/>
      <c r="N33" s="18"/>
      <c r="O33" s="18"/>
      <c r="P33" s="22"/>
      <c r="Q33" s="21"/>
    </row>
    <row r="34" spans="1:17" ht="18" customHeight="1" thickBot="1">
      <c r="A34" s="221" t="s">
        <v>65</v>
      </c>
      <c r="B34" s="222"/>
      <c r="C34" s="222"/>
      <c r="D34" s="222"/>
      <c r="E34" s="222"/>
      <c r="F34" s="222"/>
      <c r="G34" s="222"/>
      <c r="H34" s="222"/>
      <c r="I34" s="222"/>
      <c r="J34" s="222"/>
      <c r="K34" s="222"/>
      <c r="L34" s="222"/>
      <c r="M34" s="18"/>
      <c r="N34" s="18"/>
      <c r="O34" s="18"/>
      <c r="P34" s="22"/>
      <c r="Q34" s="21"/>
    </row>
    <row r="35" spans="1:17" ht="16" customHeight="1" thickBot="1">
      <c r="A35" s="219" t="s">
        <v>66</v>
      </c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3"/>
      <c r="N35" s="23"/>
      <c r="O35" s="23"/>
      <c r="P35" s="24"/>
      <c r="Q35" s="25"/>
    </row>
  </sheetData>
  <autoFilter ref="A7:Q35" xr:uid="{00000000-0009-0000-0000-000000000000}"/>
  <mergeCells count="13">
    <mergeCell ref="A35:L35"/>
    <mergeCell ref="A29:L29"/>
    <mergeCell ref="A30:L30"/>
    <mergeCell ref="A31:L31"/>
    <mergeCell ref="A32:L32"/>
    <mergeCell ref="A33:L33"/>
    <mergeCell ref="A34:L34"/>
    <mergeCell ref="A28:L28"/>
    <mergeCell ref="A1:Q1"/>
    <mergeCell ref="A2:Q2"/>
    <mergeCell ref="A25:Q25"/>
    <mergeCell ref="A26:L26"/>
    <mergeCell ref="A27:L27"/>
  </mergeCells>
  <phoneticPr fontId="3" type="noConversion"/>
  <pageMargins left="0.75" right="0.75" top="1" bottom="1" header="0.5" footer="0.5"/>
  <pageSetup paperSize="9" scale="54" fitToWidth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0AD9-F077-4EF7-B797-4599DE2F64A8}">
  <sheetPr>
    <pageSetUpPr fitToPage="1"/>
  </sheetPr>
  <dimension ref="A1:Q28"/>
  <sheetViews>
    <sheetView workbookViewId="0">
      <selection activeCell="A19" sqref="A19:L19"/>
    </sheetView>
  </sheetViews>
  <sheetFormatPr defaultColWidth="8.25" defaultRowHeight="14"/>
  <cols>
    <col min="1" max="1" width="9.83203125" style="4" customWidth="1"/>
    <col min="2" max="2" width="23.58203125" style="4" customWidth="1"/>
    <col min="3" max="3" width="17.75" style="4" customWidth="1"/>
    <col min="4" max="4" width="12.9140625" style="4" customWidth="1"/>
    <col min="5" max="5" width="19.6640625" style="4" customWidth="1"/>
    <col min="6" max="6" width="10.5" style="4" customWidth="1"/>
    <col min="7" max="7" width="10.1640625" style="4" customWidth="1"/>
    <col min="8" max="8" width="5.1640625" style="4" customWidth="1"/>
    <col min="9" max="9" width="8.33203125" style="4" customWidth="1"/>
    <col min="10" max="10" width="6.83203125" style="4" customWidth="1"/>
    <col min="11" max="11" width="7.1640625" style="4" customWidth="1"/>
    <col min="12" max="12" width="13.75" style="4" customWidth="1"/>
    <col min="13" max="13" width="10" style="4" customWidth="1"/>
    <col min="14" max="14" width="7.58203125" style="4" customWidth="1"/>
    <col min="15" max="15" width="10.33203125" style="4" customWidth="1"/>
    <col min="16" max="16" width="17.33203125" style="4" customWidth="1"/>
    <col min="17" max="17" width="12.9140625" style="1" customWidth="1"/>
    <col min="18" max="16384" width="8.25" style="1"/>
  </cols>
  <sheetData>
    <row r="1" spans="1:17" ht="89" customHeight="1">
      <c r="A1" s="206" t="s">
        <v>67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8"/>
    </row>
    <row r="2" spans="1:17" ht="25.5">
      <c r="A2" s="209" t="s">
        <v>1</v>
      </c>
      <c r="B2" s="210"/>
      <c r="C2" s="210"/>
      <c r="D2" s="210"/>
      <c r="E2" s="210"/>
      <c r="F2" s="210"/>
      <c r="G2" s="210"/>
      <c r="H2" s="210"/>
      <c r="I2" s="210"/>
      <c r="J2" s="210"/>
      <c r="K2" s="210"/>
      <c r="L2" s="210"/>
      <c r="M2" s="210"/>
      <c r="N2" s="210"/>
      <c r="O2" s="210"/>
      <c r="P2" s="210"/>
      <c r="Q2" s="211"/>
    </row>
    <row r="3" spans="1:17" ht="18" customHeight="1">
      <c r="A3" s="2" t="s">
        <v>2</v>
      </c>
      <c r="B3" s="3" t="s">
        <v>256</v>
      </c>
      <c r="C3" s="3"/>
      <c r="D3" s="3"/>
      <c r="E3" s="3"/>
      <c r="F3" s="3"/>
      <c r="G3" s="3"/>
      <c r="H3" s="3"/>
      <c r="I3" s="3"/>
      <c r="J3" s="3"/>
      <c r="K3" s="3"/>
      <c r="N3" s="3"/>
      <c r="O3" s="5" t="s">
        <v>3</v>
      </c>
      <c r="P3" s="3" t="s">
        <v>4</v>
      </c>
      <c r="Q3" s="6"/>
    </row>
    <row r="4" spans="1:17" ht="18" customHeight="1">
      <c r="A4" s="2" t="s">
        <v>5</v>
      </c>
      <c r="B4" s="3" t="s">
        <v>6</v>
      </c>
      <c r="C4" s="3"/>
      <c r="D4" s="3"/>
      <c r="E4" s="3"/>
      <c r="F4" s="3"/>
      <c r="G4" s="3"/>
      <c r="H4" s="3"/>
      <c r="I4" s="3"/>
      <c r="J4" s="3"/>
      <c r="K4" s="3"/>
      <c r="N4" s="3"/>
      <c r="O4" s="5" t="s">
        <v>7</v>
      </c>
      <c r="P4" s="3" t="s">
        <v>257</v>
      </c>
      <c r="Q4" s="6"/>
    </row>
    <row r="5" spans="1:17" ht="18" customHeight="1">
      <c r="A5" s="2" t="s">
        <v>8</v>
      </c>
      <c r="B5" s="3" t="s">
        <v>9</v>
      </c>
      <c r="C5" s="3"/>
      <c r="D5" s="3"/>
      <c r="E5" s="3"/>
      <c r="F5" s="3"/>
      <c r="G5" s="3"/>
      <c r="H5" s="3"/>
      <c r="I5" s="3"/>
      <c r="J5" s="3"/>
      <c r="K5" s="3"/>
      <c r="N5" s="3"/>
      <c r="O5" s="5" t="s">
        <v>10</v>
      </c>
      <c r="P5" s="3" t="s">
        <v>258</v>
      </c>
      <c r="Q5" s="6"/>
    </row>
    <row r="6" spans="1:17" ht="18" customHeight="1" thickBot="1">
      <c r="A6" s="2" t="s">
        <v>11</v>
      </c>
      <c r="B6" s="3" t="s">
        <v>259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8"/>
    </row>
    <row r="7" spans="1:17" ht="20" customHeight="1">
      <c r="A7" s="9" t="s">
        <v>12</v>
      </c>
      <c r="B7" s="10" t="s">
        <v>13</v>
      </c>
      <c r="C7" s="10" t="s">
        <v>14</v>
      </c>
      <c r="D7" s="10" t="s">
        <v>15</v>
      </c>
      <c r="E7" s="10" t="s">
        <v>16</v>
      </c>
      <c r="F7" s="10" t="s">
        <v>17</v>
      </c>
      <c r="G7" s="10" t="s">
        <v>18</v>
      </c>
      <c r="H7" s="10" t="s">
        <v>19</v>
      </c>
      <c r="I7" s="10" t="s">
        <v>20</v>
      </c>
      <c r="J7" s="10" t="s">
        <v>21</v>
      </c>
      <c r="K7" s="10" t="s">
        <v>22</v>
      </c>
      <c r="L7" s="10" t="s">
        <v>23</v>
      </c>
      <c r="M7" s="10" t="s">
        <v>24</v>
      </c>
      <c r="N7" s="10" t="s">
        <v>25</v>
      </c>
      <c r="O7" s="10" t="s">
        <v>26</v>
      </c>
      <c r="P7" s="10" t="s">
        <v>27</v>
      </c>
      <c r="Q7" s="11" t="s">
        <v>28</v>
      </c>
    </row>
    <row r="8" spans="1:17">
      <c r="A8" s="12" t="s">
        <v>36</v>
      </c>
      <c r="B8" s="12" t="s">
        <v>260</v>
      </c>
      <c r="C8" s="12" t="s">
        <v>261</v>
      </c>
      <c r="D8" s="12" t="s">
        <v>262</v>
      </c>
      <c r="E8" s="12" t="s">
        <v>30</v>
      </c>
      <c r="F8" s="12" t="s">
        <v>48</v>
      </c>
      <c r="G8" s="12" t="s">
        <v>49</v>
      </c>
      <c r="H8" s="12">
        <v>28</v>
      </c>
      <c r="I8" s="12">
        <v>1.29</v>
      </c>
      <c r="J8" s="12">
        <v>465.78</v>
      </c>
      <c r="K8" s="12"/>
      <c r="L8" s="12" t="s">
        <v>31</v>
      </c>
      <c r="M8" s="12" t="s">
        <v>69</v>
      </c>
      <c r="N8" s="12" t="s">
        <v>70</v>
      </c>
      <c r="O8" s="12">
        <v>180</v>
      </c>
      <c r="P8" s="12">
        <v>180</v>
      </c>
      <c r="Q8" s="12" t="s">
        <v>30</v>
      </c>
    </row>
    <row r="9" spans="1:17">
      <c r="A9" s="12" t="s">
        <v>41</v>
      </c>
      <c r="B9" s="12" t="s">
        <v>263</v>
      </c>
      <c r="C9" s="12" t="s">
        <v>264</v>
      </c>
      <c r="D9" s="12" t="s">
        <v>265</v>
      </c>
      <c r="E9" s="12" t="s">
        <v>30</v>
      </c>
      <c r="F9" s="12" t="s">
        <v>266</v>
      </c>
      <c r="G9" s="12" t="s">
        <v>185</v>
      </c>
      <c r="H9" s="12">
        <v>47</v>
      </c>
      <c r="I9" s="12">
        <v>2.06</v>
      </c>
      <c r="J9" s="12">
        <v>631.64</v>
      </c>
      <c r="K9" s="12"/>
      <c r="L9" s="12" t="s">
        <v>46</v>
      </c>
      <c r="M9" s="12" t="s">
        <v>69</v>
      </c>
      <c r="N9" s="12" t="s">
        <v>70</v>
      </c>
      <c r="O9" s="12">
        <v>180</v>
      </c>
      <c r="P9" s="12">
        <v>180</v>
      </c>
      <c r="Q9" s="12" t="s">
        <v>30</v>
      </c>
    </row>
    <row r="10" spans="1:17">
      <c r="A10" s="12" t="s">
        <v>43</v>
      </c>
      <c r="B10" s="12" t="s">
        <v>267</v>
      </c>
      <c r="C10" s="12" t="s">
        <v>268</v>
      </c>
      <c r="D10" s="12" t="s">
        <v>269</v>
      </c>
      <c r="E10" s="12" t="s">
        <v>30</v>
      </c>
      <c r="F10" s="12" t="s">
        <v>270</v>
      </c>
      <c r="G10" s="12" t="s">
        <v>141</v>
      </c>
      <c r="H10" s="12">
        <v>11</v>
      </c>
      <c r="I10" s="12">
        <v>163</v>
      </c>
      <c r="J10" s="12">
        <v>162.38999999999999</v>
      </c>
      <c r="K10" s="12">
        <v>61.72</v>
      </c>
      <c r="L10" s="12" t="s">
        <v>39</v>
      </c>
      <c r="M10" s="12" t="s">
        <v>69</v>
      </c>
      <c r="N10" s="12" t="s">
        <v>70</v>
      </c>
      <c r="O10" s="12">
        <v>180</v>
      </c>
      <c r="P10" s="12">
        <v>180</v>
      </c>
      <c r="Q10" s="12" t="s">
        <v>30</v>
      </c>
    </row>
    <row r="11" spans="1:17">
      <c r="A11" s="12" t="s">
        <v>72</v>
      </c>
      <c r="B11" s="12" t="s">
        <v>272</v>
      </c>
      <c r="C11" s="12" t="s">
        <v>273</v>
      </c>
      <c r="D11" s="12" t="s">
        <v>274</v>
      </c>
      <c r="E11" s="12" t="s">
        <v>30</v>
      </c>
      <c r="F11" s="12" t="s">
        <v>275</v>
      </c>
      <c r="G11" s="12" t="s">
        <v>92</v>
      </c>
      <c r="H11" s="12">
        <v>9</v>
      </c>
      <c r="I11" s="12">
        <v>183</v>
      </c>
      <c r="J11" s="12">
        <v>182.91</v>
      </c>
      <c r="K11" s="12">
        <v>63.97</v>
      </c>
      <c r="L11" s="12" t="s">
        <v>39</v>
      </c>
      <c r="M11" s="12" t="s">
        <v>69</v>
      </c>
      <c r="N11" s="12" t="s">
        <v>70</v>
      </c>
      <c r="O11" s="12">
        <v>180</v>
      </c>
      <c r="P11" s="12">
        <v>180</v>
      </c>
      <c r="Q11" s="12" t="s">
        <v>30</v>
      </c>
    </row>
    <row r="12" spans="1:17">
      <c r="A12" s="12" t="s">
        <v>51</v>
      </c>
      <c r="B12" s="12" t="s">
        <v>276</v>
      </c>
      <c r="C12" s="12" t="s">
        <v>277</v>
      </c>
      <c r="D12" s="12" t="s">
        <v>278</v>
      </c>
      <c r="E12" s="12" t="s">
        <v>30</v>
      </c>
      <c r="F12" s="12" t="s">
        <v>37</v>
      </c>
      <c r="G12" s="12" t="s">
        <v>38</v>
      </c>
      <c r="H12" s="12">
        <v>31</v>
      </c>
      <c r="I12" s="12">
        <v>1.22</v>
      </c>
      <c r="J12" s="12">
        <v>440.33</v>
      </c>
      <c r="K12" s="12"/>
      <c r="L12" s="12" t="s">
        <v>31</v>
      </c>
      <c r="M12" s="12" t="s">
        <v>69</v>
      </c>
      <c r="N12" s="12" t="s">
        <v>70</v>
      </c>
      <c r="O12" s="12">
        <v>180</v>
      </c>
      <c r="P12" s="12">
        <v>180</v>
      </c>
      <c r="Q12" s="12" t="s">
        <v>30</v>
      </c>
    </row>
    <row r="13" spans="1:17">
      <c r="A13" s="12" t="s">
        <v>54</v>
      </c>
      <c r="B13" s="12" t="s">
        <v>282</v>
      </c>
      <c r="C13" s="12" t="s">
        <v>283</v>
      </c>
      <c r="D13" s="12" t="s">
        <v>284</v>
      </c>
      <c r="E13" s="12" t="s">
        <v>30</v>
      </c>
      <c r="F13" s="12" t="s">
        <v>37</v>
      </c>
      <c r="G13" s="12" t="s">
        <v>38</v>
      </c>
      <c r="H13" s="12">
        <v>23</v>
      </c>
      <c r="I13" s="12">
        <v>1.27</v>
      </c>
      <c r="J13" s="12">
        <v>459.23</v>
      </c>
      <c r="K13" s="12"/>
      <c r="L13" s="12" t="s">
        <v>31</v>
      </c>
      <c r="M13" s="12" t="s">
        <v>69</v>
      </c>
      <c r="N13" s="12" t="s">
        <v>70</v>
      </c>
      <c r="O13" s="12">
        <v>180</v>
      </c>
      <c r="P13" s="12">
        <v>180</v>
      </c>
      <c r="Q13" s="12" t="s">
        <v>30</v>
      </c>
    </row>
    <row r="14" spans="1:17">
      <c r="A14" s="12" t="s">
        <v>55</v>
      </c>
      <c r="B14" s="12" t="s">
        <v>285</v>
      </c>
      <c r="C14" s="12" t="s">
        <v>286</v>
      </c>
      <c r="D14" s="12" t="s">
        <v>287</v>
      </c>
      <c r="E14" s="12" t="s">
        <v>30</v>
      </c>
      <c r="F14" s="12" t="s">
        <v>288</v>
      </c>
      <c r="G14" s="12" t="s">
        <v>147</v>
      </c>
      <c r="H14" s="12">
        <v>25</v>
      </c>
      <c r="I14" s="12">
        <v>1</v>
      </c>
      <c r="J14" s="12">
        <v>338.28</v>
      </c>
      <c r="K14" s="12"/>
      <c r="L14" s="12" t="s">
        <v>31</v>
      </c>
      <c r="M14" s="12" t="s">
        <v>69</v>
      </c>
      <c r="N14" s="12" t="s">
        <v>70</v>
      </c>
      <c r="O14" s="12">
        <v>180</v>
      </c>
      <c r="P14" s="12">
        <v>180</v>
      </c>
      <c r="Q14" s="12" t="s">
        <v>30</v>
      </c>
    </row>
    <row r="15" spans="1:17">
      <c r="A15" s="13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5" t="s">
        <v>57</v>
      </c>
      <c r="O15" s="14" t="s">
        <v>58</v>
      </c>
      <c r="P15" s="16">
        <f>SUM(P8:P14)</f>
        <v>1260</v>
      </c>
      <c r="Q15" s="17"/>
    </row>
    <row r="16" spans="1:17" ht="18" customHeight="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14" t="s">
        <v>75</v>
      </c>
      <c r="P16" s="16">
        <f>P15*0.06</f>
        <v>75.599999999999994</v>
      </c>
      <c r="Q16" s="26"/>
    </row>
    <row r="17" spans="1:17" ht="18" customHeight="1" thickBot="1">
      <c r="A17" s="76"/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14" t="s">
        <v>76</v>
      </c>
      <c r="P17" s="16">
        <f>P15+P16</f>
        <v>1335.6</v>
      </c>
      <c r="Q17" s="78"/>
    </row>
    <row r="18" spans="1:17" ht="18" customHeight="1">
      <c r="A18" s="212" t="s">
        <v>59</v>
      </c>
      <c r="B18" s="213"/>
      <c r="C18" s="213"/>
      <c r="D18" s="213"/>
      <c r="E18" s="213"/>
      <c r="F18" s="213"/>
      <c r="G18" s="213"/>
      <c r="H18" s="213"/>
      <c r="I18" s="213"/>
      <c r="J18" s="213"/>
      <c r="K18" s="213"/>
      <c r="L18" s="213"/>
      <c r="M18" s="213"/>
      <c r="N18" s="213"/>
      <c r="O18" s="213"/>
      <c r="P18" s="213"/>
      <c r="Q18" s="214"/>
    </row>
    <row r="19" spans="1:17" ht="15.5">
      <c r="A19" s="215"/>
      <c r="B19" s="216"/>
      <c r="C19" s="216"/>
      <c r="D19" s="216"/>
      <c r="E19" s="216"/>
      <c r="F19" s="216"/>
      <c r="G19" s="216"/>
      <c r="H19" s="216"/>
      <c r="I19" s="216"/>
      <c r="J19" s="216"/>
      <c r="K19" s="216"/>
      <c r="L19" s="216"/>
      <c r="M19" s="18"/>
      <c r="N19" s="18"/>
      <c r="O19" s="18"/>
      <c r="P19" s="18"/>
      <c r="Q19" s="19"/>
    </row>
    <row r="20" spans="1:17" ht="18" customHeight="1">
      <c r="A20" s="217" t="s">
        <v>60</v>
      </c>
      <c r="B20" s="218"/>
      <c r="C20" s="218"/>
      <c r="D20" s="218"/>
      <c r="E20" s="218"/>
      <c r="F20" s="218"/>
      <c r="G20" s="218"/>
      <c r="H20" s="218"/>
      <c r="I20" s="218"/>
      <c r="J20" s="218"/>
      <c r="K20" s="218"/>
      <c r="L20" s="218"/>
      <c r="M20" s="18"/>
      <c r="N20" s="18"/>
      <c r="O20" s="18"/>
      <c r="P20" s="18"/>
      <c r="Q20" s="20"/>
    </row>
    <row r="21" spans="1:17" ht="18" customHeight="1">
      <c r="A21" s="204" t="s">
        <v>61</v>
      </c>
      <c r="B21" s="205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18"/>
      <c r="N21" s="18"/>
      <c r="O21" s="18"/>
      <c r="P21" s="18"/>
      <c r="Q21" s="21"/>
    </row>
    <row r="22" spans="1:17" ht="18" customHeight="1">
      <c r="A22" s="217" t="s">
        <v>77</v>
      </c>
      <c r="B22" s="218"/>
      <c r="C22" s="218"/>
      <c r="D22" s="218"/>
      <c r="E22" s="218"/>
      <c r="F22" s="218"/>
      <c r="G22" s="218"/>
      <c r="H22" s="218"/>
      <c r="I22" s="218"/>
      <c r="J22" s="218"/>
      <c r="K22" s="218"/>
      <c r="L22" s="218"/>
      <c r="M22" s="18"/>
      <c r="N22" s="18"/>
      <c r="O22" s="18"/>
      <c r="P22" s="18"/>
      <c r="Q22" s="20"/>
    </row>
    <row r="23" spans="1:17" ht="18" customHeight="1">
      <c r="A23" s="204" t="s">
        <v>63</v>
      </c>
      <c r="B23" s="205"/>
      <c r="C23" s="205"/>
      <c r="D23" s="205"/>
      <c r="E23" s="205"/>
      <c r="F23" s="205"/>
      <c r="G23" s="205"/>
      <c r="H23" s="205"/>
      <c r="I23" s="205"/>
      <c r="J23" s="205"/>
      <c r="K23" s="205"/>
      <c r="L23" s="205"/>
      <c r="M23" s="18"/>
      <c r="N23" s="18"/>
      <c r="O23" s="18"/>
      <c r="P23" s="22"/>
      <c r="Q23" s="21"/>
    </row>
    <row r="24" spans="1:17" ht="18" customHeight="1">
      <c r="A24" s="204" t="s">
        <v>64</v>
      </c>
      <c r="B24" s="205"/>
      <c r="C24" s="205"/>
      <c r="D24" s="205"/>
      <c r="E24" s="205"/>
      <c r="F24" s="205"/>
      <c r="G24" s="205"/>
      <c r="H24" s="205"/>
      <c r="I24" s="205"/>
      <c r="J24" s="205"/>
      <c r="K24" s="205"/>
      <c r="L24" s="205"/>
      <c r="M24" s="18"/>
      <c r="N24" s="18"/>
      <c r="O24" s="18"/>
      <c r="P24" s="22"/>
      <c r="Q24" s="21"/>
    </row>
    <row r="25" spans="1:17" ht="18" customHeight="1">
      <c r="A25" s="204" t="s">
        <v>291</v>
      </c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18"/>
      <c r="N25" s="18"/>
      <c r="O25" s="18"/>
      <c r="P25" s="22"/>
      <c r="Q25" s="21"/>
    </row>
    <row r="26" spans="1:17" ht="18" customHeight="1">
      <c r="A26" s="204" t="s">
        <v>292</v>
      </c>
      <c r="B26" s="205"/>
      <c r="C26" s="205"/>
      <c r="D26" s="205"/>
      <c r="E26" s="205"/>
      <c r="F26" s="205"/>
      <c r="G26" s="205"/>
      <c r="H26" s="205"/>
      <c r="I26" s="205"/>
      <c r="J26" s="205"/>
      <c r="K26" s="205"/>
      <c r="L26" s="205"/>
      <c r="M26" s="18"/>
      <c r="N26" s="18"/>
      <c r="O26" s="18"/>
      <c r="P26" s="22"/>
      <c r="Q26" s="21"/>
    </row>
    <row r="27" spans="1:17" ht="18" customHeight="1" thickBot="1">
      <c r="A27" s="221" t="s">
        <v>65</v>
      </c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  <c r="M27" s="18"/>
      <c r="N27" s="18"/>
      <c r="O27" s="18"/>
      <c r="P27" s="22"/>
      <c r="Q27" s="21"/>
    </row>
    <row r="28" spans="1:17" ht="16" customHeight="1" thickBot="1">
      <c r="A28" s="219" t="s">
        <v>66</v>
      </c>
      <c r="B28" s="220"/>
      <c r="C28" s="220"/>
      <c r="D28" s="220"/>
      <c r="E28" s="220"/>
      <c r="F28" s="220"/>
      <c r="G28" s="220"/>
      <c r="H28" s="220"/>
      <c r="I28" s="220"/>
      <c r="J28" s="220"/>
      <c r="K28" s="220"/>
      <c r="L28" s="220"/>
      <c r="M28" s="23"/>
      <c r="N28" s="23"/>
      <c r="O28" s="23"/>
      <c r="P28" s="24"/>
      <c r="Q28" s="25"/>
    </row>
  </sheetData>
  <autoFilter ref="A7:Q28" xr:uid="{00000000-0009-0000-0000-000001000000}"/>
  <mergeCells count="13">
    <mergeCell ref="A28:L28"/>
    <mergeCell ref="A22:L22"/>
    <mergeCell ref="A23:L23"/>
    <mergeCell ref="A24:L24"/>
    <mergeCell ref="A25:L25"/>
    <mergeCell ref="A26:L26"/>
    <mergeCell ref="A27:L27"/>
    <mergeCell ref="A21:L21"/>
    <mergeCell ref="A1:Q1"/>
    <mergeCell ref="A2:Q2"/>
    <mergeCell ref="A18:Q18"/>
    <mergeCell ref="A19:L19"/>
    <mergeCell ref="A20:L20"/>
  </mergeCells>
  <phoneticPr fontId="3" type="noConversion"/>
  <pageMargins left="0.75" right="0.75" top="1" bottom="1" header="0.5" footer="0.5"/>
  <pageSetup paperSize="9" scale="54" fitToWidth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5A7BF-6367-4E2C-87B4-70E60BAD4508}">
  <dimension ref="A1:V34"/>
  <sheetViews>
    <sheetView topLeftCell="E1" workbookViewId="0">
      <selection activeCell="O21" sqref="O21"/>
    </sheetView>
  </sheetViews>
  <sheetFormatPr defaultColWidth="8.25" defaultRowHeight="14"/>
  <cols>
    <col min="1" max="2" width="12.33203125" style="1" customWidth="1"/>
    <col min="3" max="4" width="13.1640625" style="1" customWidth="1"/>
    <col min="5" max="5" width="12.33203125" style="1" customWidth="1"/>
    <col min="6" max="6" width="6.83203125" style="1" customWidth="1"/>
    <col min="7" max="7" width="19.6640625" style="1" customWidth="1"/>
    <col min="8" max="8" width="7.4140625" style="1" customWidth="1"/>
    <col min="9" max="9" width="7.33203125" style="1" customWidth="1"/>
    <col min="10" max="10" width="7.5" style="1" customWidth="1"/>
    <col min="11" max="11" width="7.75" style="1" customWidth="1"/>
    <col min="12" max="13" width="6.9140625" style="1" customWidth="1"/>
    <col min="14" max="14" width="7.33203125" style="1" customWidth="1"/>
    <col min="15" max="15" width="8.25" style="1" customWidth="1"/>
    <col min="16" max="17" width="8.25" style="83" customWidth="1"/>
    <col min="18" max="18" width="8.25" style="1" customWidth="1"/>
    <col min="19" max="19" width="49.5" style="1" customWidth="1"/>
    <col min="20" max="20" width="11.83203125" style="83" customWidth="1"/>
    <col min="21" max="21" width="18.6640625" style="1" customWidth="1"/>
    <col min="22" max="22" width="8.25" style="1" customWidth="1"/>
    <col min="23" max="16384" width="8.25" style="1"/>
  </cols>
  <sheetData>
    <row r="1" spans="1:22" ht="44" customHeight="1">
      <c r="A1" s="158" t="s">
        <v>293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225"/>
      <c r="Q1" s="225"/>
      <c r="R1" s="158"/>
      <c r="S1" s="158"/>
      <c r="T1" s="225"/>
      <c r="U1" s="158"/>
    </row>
    <row r="2" spans="1:22" ht="37" customHeight="1">
      <c r="A2" s="158" t="s">
        <v>294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225"/>
      <c r="Q2" s="225"/>
      <c r="R2" s="158"/>
      <c r="S2" s="158"/>
      <c r="T2" s="225"/>
      <c r="U2" s="158"/>
    </row>
    <row r="3" spans="1:22" ht="29" customHeight="1">
      <c r="A3" s="79" t="s">
        <v>295</v>
      </c>
      <c r="B3" s="79"/>
      <c r="C3" s="80" t="s">
        <v>30</v>
      </c>
      <c r="D3" s="80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2"/>
      <c r="Q3" s="82"/>
      <c r="R3" s="81"/>
      <c r="S3" s="81"/>
    </row>
    <row r="4" spans="1:22" ht="36" customHeight="1">
      <c r="A4" s="84" t="s">
        <v>12</v>
      </c>
      <c r="B4" s="84" t="s">
        <v>296</v>
      </c>
      <c r="C4" s="85" t="s">
        <v>15</v>
      </c>
      <c r="D4" s="86" t="s">
        <v>297</v>
      </c>
      <c r="E4" s="86" t="s">
        <v>298</v>
      </c>
      <c r="F4" s="87" t="s">
        <v>299</v>
      </c>
      <c r="G4" s="88" t="s">
        <v>300</v>
      </c>
      <c r="H4" s="89" t="s">
        <v>301</v>
      </c>
      <c r="I4" s="89" t="s">
        <v>302</v>
      </c>
      <c r="J4" s="90" t="s">
        <v>303</v>
      </c>
      <c r="K4" s="91" t="s">
        <v>19</v>
      </c>
      <c r="L4" s="92" t="s">
        <v>21</v>
      </c>
      <c r="M4" s="92" t="s">
        <v>304</v>
      </c>
      <c r="N4" s="92" t="s">
        <v>20</v>
      </c>
      <c r="O4" s="93" t="s">
        <v>94</v>
      </c>
      <c r="P4" s="94" t="s">
        <v>96</v>
      </c>
      <c r="Q4" s="94" t="s">
        <v>305</v>
      </c>
      <c r="R4" s="95" t="s">
        <v>306</v>
      </c>
      <c r="S4" s="94" t="s">
        <v>307</v>
      </c>
      <c r="T4" s="94" t="s">
        <v>308</v>
      </c>
      <c r="U4" s="96" t="s">
        <v>309</v>
      </c>
    </row>
    <row r="5" spans="1:22" ht="14.4" customHeight="1">
      <c r="A5" s="97">
        <v>1</v>
      </c>
      <c r="B5" s="97" t="s">
        <v>310</v>
      </c>
      <c r="C5" s="97" t="s">
        <v>311</v>
      </c>
      <c r="D5" s="97" t="s">
        <v>311</v>
      </c>
      <c r="E5" s="97" t="s">
        <v>312</v>
      </c>
      <c r="F5" s="97" t="s">
        <v>313</v>
      </c>
      <c r="G5" s="97" t="s">
        <v>314</v>
      </c>
      <c r="H5" s="97" t="s">
        <v>91</v>
      </c>
      <c r="I5" s="97" t="s">
        <v>315</v>
      </c>
      <c r="J5" s="97" t="s">
        <v>200</v>
      </c>
      <c r="K5" s="97">
        <v>20</v>
      </c>
      <c r="L5" s="97">
        <v>342.35</v>
      </c>
      <c r="M5" s="97">
        <v>473.45800000000003</v>
      </c>
      <c r="N5" s="97">
        <v>474</v>
      </c>
      <c r="O5" s="97">
        <v>2844</v>
      </c>
      <c r="P5" s="98">
        <v>200</v>
      </c>
      <c r="Q5" s="98"/>
      <c r="R5" s="97" t="s">
        <v>316</v>
      </c>
      <c r="S5" s="97" t="s">
        <v>317</v>
      </c>
      <c r="T5" s="98">
        <f>O5+P5+Q5</f>
        <v>3044</v>
      </c>
      <c r="U5" s="1" t="s">
        <v>318</v>
      </c>
      <c r="V5" s="1" t="s">
        <v>318</v>
      </c>
    </row>
    <row r="6" spans="1:22" ht="14.4" customHeight="1">
      <c r="A6" s="97">
        <v>2</v>
      </c>
      <c r="B6" s="97" t="s">
        <v>319</v>
      </c>
      <c r="C6" s="97" t="s">
        <v>320</v>
      </c>
      <c r="D6" s="97" t="s">
        <v>320</v>
      </c>
      <c r="E6" s="97" t="s">
        <v>321</v>
      </c>
      <c r="F6" s="97" t="s">
        <v>313</v>
      </c>
      <c r="G6" s="97" t="s">
        <v>322</v>
      </c>
      <c r="H6" s="97" t="s">
        <v>125</v>
      </c>
      <c r="I6" s="97" t="s">
        <v>323</v>
      </c>
      <c r="J6" s="97" t="s">
        <v>324</v>
      </c>
      <c r="K6" s="97">
        <v>10</v>
      </c>
      <c r="L6" s="97">
        <v>136.32</v>
      </c>
      <c r="M6" s="97">
        <v>76.840999999999994</v>
      </c>
      <c r="N6" s="97">
        <v>137</v>
      </c>
      <c r="O6" s="97">
        <v>822</v>
      </c>
      <c r="P6" s="98">
        <v>200</v>
      </c>
      <c r="Q6" s="98"/>
      <c r="R6" s="97" t="s">
        <v>316</v>
      </c>
      <c r="S6" s="97" t="s">
        <v>325</v>
      </c>
      <c r="T6" s="98">
        <f t="shared" ref="T6:T19" si="0">O6+P6+Q6</f>
        <v>1022</v>
      </c>
      <c r="U6" s="1" t="s">
        <v>318</v>
      </c>
      <c r="V6" s="1" t="s">
        <v>318</v>
      </c>
    </row>
    <row r="7" spans="1:22" ht="14.4" customHeight="1">
      <c r="A7" s="97">
        <v>3</v>
      </c>
      <c r="B7" s="97" t="s">
        <v>326</v>
      </c>
      <c r="C7" s="97" t="s">
        <v>327</v>
      </c>
      <c r="D7" s="97" t="s">
        <v>327</v>
      </c>
      <c r="E7" s="97" t="s">
        <v>328</v>
      </c>
      <c r="F7" s="97" t="s">
        <v>313</v>
      </c>
      <c r="G7" s="97" t="s">
        <v>329</v>
      </c>
      <c r="H7" s="97" t="s">
        <v>91</v>
      </c>
      <c r="I7" s="97" t="s">
        <v>45</v>
      </c>
      <c r="J7" s="97" t="s">
        <v>330</v>
      </c>
      <c r="K7" s="97">
        <v>16</v>
      </c>
      <c r="L7" s="97">
        <v>211.5</v>
      </c>
      <c r="M7" s="97">
        <v>126.29600000000001</v>
      </c>
      <c r="N7" s="97">
        <v>212</v>
      </c>
      <c r="O7" s="97">
        <v>657.2</v>
      </c>
      <c r="P7" s="98">
        <v>200</v>
      </c>
      <c r="Q7" s="98"/>
      <c r="R7" s="97" t="s">
        <v>316</v>
      </c>
      <c r="S7" s="97" t="s">
        <v>331</v>
      </c>
      <c r="T7" s="98">
        <f t="shared" si="0"/>
        <v>857.2</v>
      </c>
      <c r="U7" s="1" t="s">
        <v>318</v>
      </c>
      <c r="V7" s="1" t="s">
        <v>318</v>
      </c>
    </row>
    <row r="8" spans="1:22" ht="14.4" customHeight="1">
      <c r="A8" s="97">
        <v>4</v>
      </c>
      <c r="B8" s="97" t="s">
        <v>332</v>
      </c>
      <c r="C8" s="97" t="s">
        <v>333</v>
      </c>
      <c r="D8" s="97" t="s">
        <v>333</v>
      </c>
      <c r="E8" s="97" t="s">
        <v>334</v>
      </c>
      <c r="F8" s="97" t="s">
        <v>313</v>
      </c>
      <c r="G8" s="97" t="s">
        <v>329</v>
      </c>
      <c r="H8" s="97" t="s">
        <v>91</v>
      </c>
      <c r="I8" s="97" t="s">
        <v>52</v>
      </c>
      <c r="J8" s="97" t="s">
        <v>335</v>
      </c>
      <c r="K8" s="97">
        <v>8</v>
      </c>
      <c r="L8" s="97">
        <v>103.25</v>
      </c>
      <c r="M8" s="97">
        <v>58.944000000000003</v>
      </c>
      <c r="N8" s="97">
        <v>104</v>
      </c>
      <c r="O8" s="97">
        <v>426.4</v>
      </c>
      <c r="P8" s="98">
        <v>11.5942028985507</v>
      </c>
      <c r="Q8" s="98"/>
      <c r="R8" s="97" t="s">
        <v>316</v>
      </c>
      <c r="S8" s="97" t="s">
        <v>336</v>
      </c>
      <c r="T8" s="98">
        <f t="shared" si="0"/>
        <v>437.99420289855067</v>
      </c>
      <c r="U8" s="99" t="s">
        <v>337</v>
      </c>
    </row>
    <row r="9" spans="1:22" ht="14.4" customHeight="1">
      <c r="A9" s="97">
        <v>5</v>
      </c>
      <c r="B9" s="97" t="s">
        <v>332</v>
      </c>
      <c r="C9" s="97" t="s">
        <v>338</v>
      </c>
      <c r="D9" s="97" t="s">
        <v>338</v>
      </c>
      <c r="E9" s="97" t="s">
        <v>339</v>
      </c>
      <c r="F9" s="97" t="s">
        <v>313</v>
      </c>
      <c r="G9" s="97" t="s">
        <v>329</v>
      </c>
      <c r="H9" s="97" t="s">
        <v>91</v>
      </c>
      <c r="I9" s="97" t="s">
        <v>38</v>
      </c>
      <c r="J9" s="97" t="s">
        <v>340</v>
      </c>
      <c r="K9" s="97">
        <v>22</v>
      </c>
      <c r="L9" s="97">
        <v>352.05</v>
      </c>
      <c r="M9" s="97">
        <v>263.84899999999999</v>
      </c>
      <c r="N9" s="97">
        <v>353</v>
      </c>
      <c r="O9" s="97">
        <v>1517.9</v>
      </c>
      <c r="P9" s="98">
        <v>31.884057971014499</v>
      </c>
      <c r="Q9" s="98"/>
      <c r="R9" s="97" t="s">
        <v>316</v>
      </c>
      <c r="S9" s="97" t="s">
        <v>341</v>
      </c>
      <c r="T9" s="98">
        <f t="shared" si="0"/>
        <v>1549.7840579710146</v>
      </c>
      <c r="U9" s="97" t="s">
        <v>30</v>
      </c>
    </row>
    <row r="10" spans="1:22" ht="14.4" customHeight="1">
      <c r="A10" s="97">
        <v>6</v>
      </c>
      <c r="B10" s="97" t="s">
        <v>332</v>
      </c>
      <c r="C10" s="97" t="s">
        <v>342</v>
      </c>
      <c r="D10" s="97" t="s">
        <v>342</v>
      </c>
      <c r="E10" s="97" t="s">
        <v>343</v>
      </c>
      <c r="F10" s="97" t="s">
        <v>313</v>
      </c>
      <c r="G10" s="97" t="s">
        <v>329</v>
      </c>
      <c r="H10" s="97" t="s">
        <v>91</v>
      </c>
      <c r="I10" s="97" t="s">
        <v>218</v>
      </c>
      <c r="J10" s="97" t="s">
        <v>344</v>
      </c>
      <c r="K10" s="97">
        <v>108</v>
      </c>
      <c r="L10" s="97">
        <v>1714.63</v>
      </c>
      <c r="M10" s="97">
        <v>1292.0989999999999</v>
      </c>
      <c r="N10" s="97">
        <v>1715</v>
      </c>
      <c r="O10" s="97">
        <v>7203</v>
      </c>
      <c r="P10" s="98">
        <v>156.52173913043501</v>
      </c>
      <c r="Q10" s="98"/>
      <c r="R10" s="97" t="s">
        <v>316</v>
      </c>
      <c r="S10" s="97" t="s">
        <v>345</v>
      </c>
      <c r="T10" s="98">
        <f t="shared" si="0"/>
        <v>7359.521739130435</v>
      </c>
      <c r="U10" s="97" t="s">
        <v>30</v>
      </c>
    </row>
    <row r="11" spans="1:22" ht="14.4" customHeight="1">
      <c r="A11" s="97">
        <v>7</v>
      </c>
      <c r="B11" s="97" t="s">
        <v>326</v>
      </c>
      <c r="C11" s="97" t="s">
        <v>346</v>
      </c>
      <c r="D11" s="97" t="s">
        <v>346</v>
      </c>
      <c r="E11" s="97" t="s">
        <v>347</v>
      </c>
      <c r="F11" s="97" t="s">
        <v>313</v>
      </c>
      <c r="G11" s="97" t="s">
        <v>348</v>
      </c>
      <c r="H11" s="97" t="s">
        <v>349</v>
      </c>
      <c r="I11" s="97" t="s">
        <v>350</v>
      </c>
      <c r="J11" s="97" t="s">
        <v>351</v>
      </c>
      <c r="K11" s="97">
        <v>10</v>
      </c>
      <c r="L11" s="97">
        <v>133.12</v>
      </c>
      <c r="M11" s="97">
        <v>78.221000000000004</v>
      </c>
      <c r="N11" s="97">
        <v>134</v>
      </c>
      <c r="O11" s="97">
        <v>549.4</v>
      </c>
      <c r="P11" s="98">
        <v>200</v>
      </c>
      <c r="Q11" s="98">
        <v>300</v>
      </c>
      <c r="R11" s="97" t="s">
        <v>316</v>
      </c>
      <c r="S11" s="97" t="s">
        <v>352</v>
      </c>
      <c r="T11" s="98">
        <f t="shared" si="0"/>
        <v>1049.4000000000001</v>
      </c>
      <c r="U11" s="97" t="s">
        <v>30</v>
      </c>
      <c r="V11" s="1" t="s">
        <v>318</v>
      </c>
    </row>
    <row r="12" spans="1:22" ht="14.4" customHeight="1">
      <c r="A12" s="97">
        <v>8</v>
      </c>
      <c r="B12" s="97" t="s">
        <v>326</v>
      </c>
      <c r="C12" s="97" t="s">
        <v>353</v>
      </c>
      <c r="D12" s="97" t="s">
        <v>346</v>
      </c>
      <c r="E12" s="97"/>
      <c r="F12" s="97" t="s">
        <v>313</v>
      </c>
      <c r="G12" s="97" t="s">
        <v>348</v>
      </c>
      <c r="H12" s="97" t="s">
        <v>349</v>
      </c>
      <c r="I12" s="97"/>
      <c r="J12" s="97" t="s">
        <v>351</v>
      </c>
      <c r="K12" s="97">
        <v>10</v>
      </c>
      <c r="L12" s="97">
        <v>133.12</v>
      </c>
      <c r="M12" s="97">
        <v>78.221000000000004</v>
      </c>
      <c r="N12" s="97">
        <v>134</v>
      </c>
      <c r="O12" s="97">
        <v>0</v>
      </c>
      <c r="P12" s="98">
        <v>0</v>
      </c>
      <c r="Q12" s="98">
        <v>428.1</v>
      </c>
      <c r="R12" s="97" t="s">
        <v>316</v>
      </c>
      <c r="S12" s="97" t="s">
        <v>354</v>
      </c>
      <c r="T12" s="98">
        <f t="shared" si="0"/>
        <v>428.1</v>
      </c>
      <c r="U12" s="97" t="s">
        <v>355</v>
      </c>
    </row>
    <row r="13" spans="1:22" ht="14.4" customHeight="1">
      <c r="A13" s="97">
        <v>9</v>
      </c>
      <c r="B13" s="97" t="s">
        <v>332</v>
      </c>
      <c r="C13" s="97" t="s">
        <v>356</v>
      </c>
      <c r="D13" s="97" t="s">
        <v>356</v>
      </c>
      <c r="E13" s="97" t="s">
        <v>357</v>
      </c>
      <c r="F13" s="97" t="s">
        <v>313</v>
      </c>
      <c r="G13" s="97" t="s">
        <v>348</v>
      </c>
      <c r="H13" s="97" t="s">
        <v>349</v>
      </c>
      <c r="I13" s="97" t="s">
        <v>350</v>
      </c>
      <c r="J13" s="97" t="s">
        <v>358</v>
      </c>
      <c r="K13" s="97">
        <v>16</v>
      </c>
      <c r="L13" s="97">
        <v>195.03</v>
      </c>
      <c r="M13" s="97">
        <v>136.95500000000001</v>
      </c>
      <c r="N13" s="97">
        <v>196</v>
      </c>
      <c r="O13" s="97">
        <v>901.6</v>
      </c>
      <c r="P13" s="98">
        <v>200</v>
      </c>
      <c r="Q13" s="98">
        <v>985.94</v>
      </c>
      <c r="R13" s="97" t="s">
        <v>316</v>
      </c>
      <c r="S13" s="97" t="s">
        <v>359</v>
      </c>
      <c r="T13" s="98">
        <f t="shared" si="0"/>
        <v>2087.54</v>
      </c>
      <c r="U13" s="97" t="s">
        <v>360</v>
      </c>
      <c r="V13" s="1" t="s">
        <v>318</v>
      </c>
    </row>
    <row r="14" spans="1:22" ht="14.4" customHeight="1">
      <c r="A14" s="97">
        <v>10</v>
      </c>
      <c r="B14" s="97" t="s">
        <v>263</v>
      </c>
      <c r="C14" s="97" t="s">
        <v>361</v>
      </c>
      <c r="D14" s="97" t="s">
        <v>361</v>
      </c>
      <c r="E14" s="97" t="s">
        <v>362</v>
      </c>
      <c r="F14" s="97" t="s">
        <v>313</v>
      </c>
      <c r="G14" s="97" t="s">
        <v>329</v>
      </c>
      <c r="H14" s="97" t="s">
        <v>91</v>
      </c>
      <c r="I14" s="97" t="s">
        <v>92</v>
      </c>
      <c r="J14" s="97" t="s">
        <v>363</v>
      </c>
      <c r="K14" s="97">
        <v>63</v>
      </c>
      <c r="L14" s="97">
        <v>901.41</v>
      </c>
      <c r="M14" s="97">
        <v>810.37900000000002</v>
      </c>
      <c r="N14" s="97">
        <v>902</v>
      </c>
      <c r="O14" s="97">
        <v>4059</v>
      </c>
      <c r="P14" s="98">
        <f>200/224*K14</f>
        <v>56.25</v>
      </c>
      <c r="Q14" s="97"/>
      <c r="R14" s="97" t="s">
        <v>316</v>
      </c>
      <c r="S14" s="97" t="s">
        <v>364</v>
      </c>
      <c r="T14" s="98">
        <f t="shared" si="0"/>
        <v>4115.25</v>
      </c>
      <c r="U14" s="99" t="s">
        <v>365</v>
      </c>
    </row>
    <row r="15" spans="1:22" ht="14.4" customHeight="1">
      <c r="A15" s="97">
        <v>11</v>
      </c>
      <c r="B15" s="97" t="s">
        <v>366</v>
      </c>
      <c r="C15" s="97" t="s">
        <v>367</v>
      </c>
      <c r="D15" s="97" t="s">
        <v>367</v>
      </c>
      <c r="E15" s="97" t="s">
        <v>368</v>
      </c>
      <c r="F15" s="97" t="s">
        <v>313</v>
      </c>
      <c r="G15" s="97" t="s">
        <v>329</v>
      </c>
      <c r="H15" s="97" t="s">
        <v>91</v>
      </c>
      <c r="I15" s="97" t="s">
        <v>92</v>
      </c>
      <c r="J15" s="97" t="s">
        <v>369</v>
      </c>
      <c r="K15" s="97">
        <v>161</v>
      </c>
      <c r="L15" s="97">
        <v>2572.5</v>
      </c>
      <c r="M15" s="97">
        <v>1939.3420000000001</v>
      </c>
      <c r="N15" s="97">
        <v>2573</v>
      </c>
      <c r="O15" s="97">
        <v>9520.1</v>
      </c>
      <c r="P15" s="98">
        <f>200/224*K15</f>
        <v>143.75</v>
      </c>
      <c r="Q15" s="97"/>
      <c r="R15" s="97" t="s">
        <v>316</v>
      </c>
      <c r="S15" s="97" t="s">
        <v>370</v>
      </c>
      <c r="T15" s="98">
        <f t="shared" si="0"/>
        <v>9663.85</v>
      </c>
      <c r="U15" s="97" t="s">
        <v>30</v>
      </c>
    </row>
    <row r="16" spans="1:22" ht="14.4" customHeight="1">
      <c r="A16" s="97">
        <v>12</v>
      </c>
      <c r="B16" s="97" t="s">
        <v>366</v>
      </c>
      <c r="C16" s="100" t="s">
        <v>371</v>
      </c>
      <c r="D16" s="97" t="s">
        <v>371</v>
      </c>
      <c r="E16" s="97" t="s">
        <v>372</v>
      </c>
      <c r="F16" s="97" t="s">
        <v>313</v>
      </c>
      <c r="G16" s="97" t="s">
        <v>329</v>
      </c>
      <c r="H16" s="97" t="s">
        <v>91</v>
      </c>
      <c r="I16" s="97" t="s">
        <v>141</v>
      </c>
      <c r="J16" s="97" t="s">
        <v>373</v>
      </c>
      <c r="K16" s="97">
        <v>50</v>
      </c>
      <c r="L16" s="97">
        <v>696.51</v>
      </c>
      <c r="M16" s="97">
        <v>758.92200000000003</v>
      </c>
      <c r="N16" s="97">
        <v>759</v>
      </c>
      <c r="O16" s="97">
        <v>3643.2</v>
      </c>
      <c r="P16" s="98">
        <f>200/55*K16</f>
        <v>181.81818181818181</v>
      </c>
      <c r="Q16" s="97"/>
      <c r="R16" s="97" t="s">
        <v>316</v>
      </c>
      <c r="S16" s="97" t="s">
        <v>374</v>
      </c>
      <c r="T16" s="98">
        <f t="shared" si="0"/>
        <v>3825.0181818181818</v>
      </c>
      <c r="U16" s="97" t="s">
        <v>30</v>
      </c>
    </row>
    <row r="17" spans="1:21" ht="14.4" customHeight="1">
      <c r="A17" s="97">
        <v>13</v>
      </c>
      <c r="B17" s="97" t="s">
        <v>366</v>
      </c>
      <c r="C17" s="100" t="s">
        <v>375</v>
      </c>
      <c r="D17" s="97" t="s">
        <v>375</v>
      </c>
      <c r="E17" s="97" t="s">
        <v>376</v>
      </c>
      <c r="F17" s="97" t="s">
        <v>313</v>
      </c>
      <c r="G17" s="97" t="s">
        <v>329</v>
      </c>
      <c r="H17" s="97" t="s">
        <v>91</v>
      </c>
      <c r="I17" s="97" t="s">
        <v>92</v>
      </c>
      <c r="J17" s="97" t="s">
        <v>377</v>
      </c>
      <c r="K17" s="97">
        <v>5</v>
      </c>
      <c r="L17" s="97">
        <v>83.21</v>
      </c>
      <c r="M17" s="97">
        <v>75.673000000000002</v>
      </c>
      <c r="N17" s="97">
        <v>84</v>
      </c>
      <c r="O17" s="97">
        <v>378</v>
      </c>
      <c r="P17" s="98">
        <f>200/55*K17</f>
        <v>18.18181818181818</v>
      </c>
      <c r="Q17" s="97"/>
      <c r="R17" s="97" t="s">
        <v>316</v>
      </c>
      <c r="S17" s="97" t="s">
        <v>378</v>
      </c>
      <c r="T17" s="98">
        <f t="shared" si="0"/>
        <v>396.18181818181819</v>
      </c>
      <c r="U17" s="99" t="s">
        <v>379</v>
      </c>
    </row>
    <row r="18" spans="1:21" ht="14.4" customHeight="1">
      <c r="A18" s="97">
        <v>14</v>
      </c>
      <c r="B18" s="97" t="s">
        <v>282</v>
      </c>
      <c r="C18" s="97" t="s">
        <v>380</v>
      </c>
      <c r="D18" s="97" t="s">
        <v>380</v>
      </c>
      <c r="E18" s="97" t="s">
        <v>381</v>
      </c>
      <c r="F18" s="97" t="s">
        <v>313</v>
      </c>
      <c r="G18" s="97" t="s">
        <v>382</v>
      </c>
      <c r="H18" s="97" t="s">
        <v>91</v>
      </c>
      <c r="I18" s="97" t="s">
        <v>218</v>
      </c>
      <c r="J18" s="97" t="s">
        <v>383</v>
      </c>
      <c r="K18" s="97">
        <v>20</v>
      </c>
      <c r="L18" s="97">
        <v>328.28</v>
      </c>
      <c r="M18" s="97">
        <v>207.95599999999999</v>
      </c>
      <c r="N18" s="97">
        <v>329</v>
      </c>
      <c r="O18" s="97">
        <v>2599.1</v>
      </c>
      <c r="P18" s="98">
        <f>200/36*K18</f>
        <v>111.11111111111111</v>
      </c>
      <c r="Q18" s="97"/>
      <c r="R18" s="97" t="s">
        <v>316</v>
      </c>
      <c r="S18" s="97" t="s">
        <v>384</v>
      </c>
      <c r="T18" s="98">
        <f t="shared" si="0"/>
        <v>2710.2111111111112</v>
      </c>
      <c r="U18" s="97" t="s">
        <v>30</v>
      </c>
    </row>
    <row r="19" spans="1:21" ht="14.4" customHeight="1">
      <c r="A19" s="97">
        <v>15</v>
      </c>
      <c r="B19" s="97" t="s">
        <v>282</v>
      </c>
      <c r="C19" s="97" t="s">
        <v>385</v>
      </c>
      <c r="D19" s="97" t="s">
        <v>385</v>
      </c>
      <c r="E19" s="97" t="s">
        <v>386</v>
      </c>
      <c r="F19" s="97" t="s">
        <v>313</v>
      </c>
      <c r="G19" s="97" t="s">
        <v>382</v>
      </c>
      <c r="H19" s="97" t="s">
        <v>91</v>
      </c>
      <c r="I19" s="97" t="s">
        <v>52</v>
      </c>
      <c r="J19" s="97" t="s">
        <v>387</v>
      </c>
      <c r="K19" s="97">
        <v>16</v>
      </c>
      <c r="L19" s="97">
        <v>252.88</v>
      </c>
      <c r="M19" s="97">
        <v>192.363</v>
      </c>
      <c r="N19" s="97">
        <v>253</v>
      </c>
      <c r="O19" s="97">
        <v>2251.6999999999998</v>
      </c>
      <c r="P19" s="98">
        <f>200/36*K19</f>
        <v>88.888888888888886</v>
      </c>
      <c r="Q19" s="97"/>
      <c r="R19" s="97" t="s">
        <v>316</v>
      </c>
      <c r="S19" s="97" t="s">
        <v>388</v>
      </c>
      <c r="T19" s="98">
        <f t="shared" si="0"/>
        <v>2340.5888888888885</v>
      </c>
      <c r="U19" s="99" t="s">
        <v>389</v>
      </c>
    </row>
    <row r="20" spans="1:21" ht="15.65" customHeight="1">
      <c r="A20" s="101" t="s">
        <v>390</v>
      </c>
      <c r="B20" s="101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2"/>
      <c r="Q20" s="102"/>
      <c r="R20" s="103"/>
      <c r="S20" s="103"/>
      <c r="T20" s="104">
        <f>SUM(T5:T19)</f>
        <v>40886.639999999992</v>
      </c>
      <c r="U20" s="105"/>
    </row>
    <row r="21" spans="1:21" ht="14.4" customHeight="1">
      <c r="A21" s="106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7"/>
      <c r="Q21" s="107"/>
      <c r="R21" s="106"/>
      <c r="S21" s="106"/>
      <c r="T21" s="108"/>
      <c r="U21" s="109"/>
    </row>
    <row r="22" spans="1:21" ht="14.4" customHeight="1">
      <c r="A22" s="159" t="s">
        <v>391</v>
      </c>
      <c r="B22" s="159"/>
      <c r="C22" s="160"/>
      <c r="D22" s="160"/>
      <c r="E22" s="160"/>
      <c r="F22" s="160"/>
      <c r="G22" s="160"/>
      <c r="H22" s="160"/>
      <c r="I22" s="160"/>
      <c r="J22" s="161"/>
      <c r="K22" s="161"/>
      <c r="L22" s="106"/>
      <c r="M22" s="106"/>
      <c r="N22" s="106"/>
      <c r="O22" s="106"/>
      <c r="P22" s="107"/>
      <c r="Q22" s="107"/>
      <c r="R22" s="106"/>
      <c r="S22" s="106"/>
      <c r="T22" s="110"/>
      <c r="U22" s="109"/>
    </row>
    <row r="23" spans="1:21" ht="14.4" customHeight="1">
      <c r="A23" s="111" t="s">
        <v>392</v>
      </c>
      <c r="B23" s="112"/>
      <c r="C23" s="113"/>
      <c r="D23" s="113"/>
      <c r="E23" s="113"/>
      <c r="F23" s="114"/>
      <c r="G23" s="113"/>
      <c r="H23" s="113"/>
      <c r="I23" s="113"/>
      <c r="J23" s="113"/>
      <c r="K23" s="113"/>
      <c r="L23" s="106"/>
      <c r="M23" s="106"/>
      <c r="N23" s="106"/>
      <c r="O23" s="106"/>
      <c r="P23" s="107"/>
      <c r="Q23" s="107"/>
      <c r="R23" s="106"/>
      <c r="S23" s="106"/>
      <c r="T23" s="110"/>
      <c r="U23" s="109"/>
    </row>
    <row r="24" spans="1:21" ht="14.4" customHeight="1">
      <c r="A24" s="111" t="s">
        <v>393</v>
      </c>
      <c r="B24" s="112"/>
      <c r="C24" s="113"/>
      <c r="D24" s="113"/>
      <c r="E24" s="113"/>
      <c r="F24" s="115"/>
      <c r="G24" s="116"/>
      <c r="H24" s="116"/>
      <c r="I24" s="116"/>
      <c r="J24" s="116"/>
      <c r="K24" s="116"/>
      <c r="L24" s="106"/>
      <c r="M24" s="106"/>
      <c r="N24" s="106"/>
      <c r="O24" s="106"/>
      <c r="P24" s="107"/>
      <c r="Q24" s="107"/>
      <c r="R24" s="106"/>
      <c r="S24" s="106"/>
      <c r="T24" s="110"/>
      <c r="U24" s="109"/>
    </row>
    <row r="25" spans="1:21" ht="14.4" customHeight="1">
      <c r="A25" s="111" t="s">
        <v>394</v>
      </c>
      <c r="B25" s="112"/>
      <c r="C25" s="113"/>
      <c r="D25" s="113"/>
      <c r="E25" s="113"/>
      <c r="F25" s="115"/>
      <c r="G25" s="116"/>
      <c r="H25" s="116"/>
      <c r="I25" s="116"/>
      <c r="J25" s="116"/>
      <c r="K25" s="116"/>
      <c r="L25" s="106"/>
      <c r="M25" s="106"/>
      <c r="N25" s="106"/>
      <c r="O25" s="106"/>
      <c r="P25" s="107"/>
      <c r="Q25" s="107"/>
      <c r="R25" s="106"/>
      <c r="S25" s="106"/>
      <c r="T25" s="110"/>
      <c r="U25" s="109"/>
    </row>
    <row r="26" spans="1:21" ht="14.4" customHeight="1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7"/>
      <c r="Q26" s="107"/>
      <c r="R26" s="106"/>
      <c r="S26" s="106"/>
      <c r="T26" s="108"/>
      <c r="U26" s="109"/>
    </row>
    <row r="27" spans="1:21" ht="14.4" customHeight="1">
      <c r="A27" s="149" t="s">
        <v>395</v>
      </c>
      <c r="B27" s="149"/>
      <c r="C27" s="149"/>
      <c r="D27" s="149"/>
      <c r="E27" s="149"/>
      <c r="F27" s="150"/>
      <c r="G27" s="149"/>
      <c r="H27" s="149"/>
      <c r="I27" s="149"/>
      <c r="J27" s="149"/>
      <c r="K27" s="149"/>
      <c r="L27" s="149"/>
      <c r="M27" s="149"/>
      <c r="N27" s="149"/>
      <c r="O27" s="149"/>
      <c r="P27" s="119"/>
      <c r="Q27" s="119"/>
      <c r="R27" s="117"/>
      <c r="S27" s="117"/>
      <c r="T27" s="108"/>
      <c r="U27" s="109"/>
    </row>
    <row r="28" spans="1:21" ht="14.4" customHeight="1">
      <c r="A28" s="149" t="s">
        <v>396</v>
      </c>
      <c r="B28" s="149"/>
      <c r="C28" s="149"/>
      <c r="D28" s="149"/>
      <c r="E28" s="149"/>
      <c r="F28" s="150"/>
      <c r="G28" s="149"/>
      <c r="H28" s="149"/>
      <c r="I28" s="149"/>
      <c r="J28" s="149"/>
      <c r="K28" s="149"/>
      <c r="L28" s="149"/>
      <c r="M28" s="149"/>
      <c r="N28" s="149"/>
      <c r="O28" s="149"/>
      <c r="P28" s="119"/>
      <c r="Q28" s="119"/>
      <c r="R28" s="117"/>
      <c r="S28" s="117"/>
      <c r="T28" s="108"/>
      <c r="U28" s="109"/>
    </row>
    <row r="29" spans="1:21" ht="14.4" customHeight="1">
      <c r="A29" s="120"/>
      <c r="B29" s="120"/>
      <c r="C29" s="120"/>
      <c r="D29" s="120"/>
      <c r="E29" s="120"/>
      <c r="F29" s="106"/>
      <c r="G29" s="120"/>
      <c r="H29" s="120"/>
      <c r="I29" s="120"/>
      <c r="J29" s="120"/>
      <c r="K29" s="120"/>
      <c r="L29" s="106"/>
      <c r="M29" s="106"/>
      <c r="N29" s="106"/>
      <c r="O29" s="106"/>
      <c r="P29" s="107"/>
      <c r="Q29" s="107"/>
      <c r="R29" s="106"/>
      <c r="S29" s="106"/>
      <c r="T29" s="107"/>
      <c r="U29" s="106"/>
    </row>
    <row r="30" spans="1:21" ht="14.4" customHeight="1">
      <c r="A30" s="162" t="s">
        <v>397</v>
      </c>
      <c r="B30" s="162"/>
      <c r="C30" s="162"/>
      <c r="D30" s="162"/>
      <c r="E30" s="162"/>
      <c r="F30" s="163"/>
      <c r="G30" s="162"/>
      <c r="H30" s="162"/>
      <c r="I30" s="162"/>
      <c r="J30" s="162"/>
      <c r="K30" s="162"/>
      <c r="L30" s="163"/>
      <c r="M30" s="163"/>
      <c r="N30" s="163"/>
      <c r="O30" s="163"/>
      <c r="P30" s="226"/>
      <c r="Q30" s="226"/>
      <c r="R30" s="163"/>
      <c r="S30" s="163"/>
      <c r="T30" s="226"/>
      <c r="U30" s="163"/>
    </row>
    <row r="31" spans="1:21" ht="14.4" customHeight="1">
      <c r="A31" s="149" t="s">
        <v>398</v>
      </c>
      <c r="B31" s="149"/>
      <c r="C31" s="149"/>
      <c r="D31" s="149"/>
      <c r="E31" s="149"/>
      <c r="F31" s="150"/>
      <c r="G31" s="149"/>
      <c r="H31" s="149"/>
      <c r="I31" s="149"/>
      <c r="J31" s="149"/>
      <c r="K31" s="149"/>
      <c r="L31" s="150"/>
      <c r="M31" s="150"/>
      <c r="N31" s="150"/>
      <c r="O31" s="150"/>
      <c r="P31" s="223"/>
      <c r="Q31" s="223"/>
      <c r="R31" s="150"/>
      <c r="S31" s="150"/>
      <c r="T31" s="223"/>
      <c r="U31" s="150"/>
    </row>
    <row r="32" spans="1:21" ht="15" customHeight="1">
      <c r="A32" s="151"/>
      <c r="B32" s="151"/>
      <c r="C32" s="152"/>
      <c r="D32" s="152"/>
      <c r="E32" s="152"/>
      <c r="F32" s="152"/>
      <c r="G32" s="152"/>
      <c r="H32" s="152"/>
      <c r="I32" s="153"/>
      <c r="J32" s="121"/>
      <c r="K32" s="122"/>
      <c r="L32" s="123"/>
      <c r="M32" s="123"/>
      <c r="N32" s="123"/>
      <c r="O32" s="123"/>
      <c r="P32" s="124"/>
      <c r="Q32" s="124"/>
      <c r="R32" s="123"/>
      <c r="S32" s="123"/>
      <c r="T32" s="125" t="s">
        <v>399</v>
      </c>
    </row>
    <row r="33" spans="1:21" ht="14.4" customHeight="1">
      <c r="A33" s="154"/>
      <c r="B33" s="154"/>
      <c r="C33" s="155"/>
      <c r="D33" s="155"/>
      <c r="E33" s="155"/>
      <c r="F33" s="155"/>
      <c r="G33" s="155"/>
      <c r="H33" s="155"/>
      <c r="I33" s="156"/>
      <c r="J33" s="118"/>
      <c r="K33" s="115"/>
      <c r="L33" s="126"/>
      <c r="M33" s="126"/>
      <c r="N33" s="126"/>
      <c r="O33" s="126"/>
      <c r="P33" s="127"/>
      <c r="Q33" s="127"/>
      <c r="R33" s="126"/>
      <c r="S33" s="126"/>
      <c r="T33" s="108"/>
      <c r="U33" s="109"/>
    </row>
    <row r="34" spans="1:21" ht="14.4" customHeight="1">
      <c r="A34" s="157"/>
      <c r="B34" s="157"/>
      <c r="C34" s="157"/>
      <c r="D34" s="157"/>
      <c r="E34" s="157"/>
      <c r="F34" s="224"/>
      <c r="G34" s="157"/>
      <c r="H34" s="157"/>
      <c r="I34" s="157"/>
      <c r="J34" s="157"/>
      <c r="K34" s="157"/>
      <c r="L34" s="157"/>
      <c r="M34" s="157"/>
      <c r="N34" s="157"/>
      <c r="O34" s="157"/>
      <c r="P34" s="129"/>
      <c r="Q34" s="129"/>
      <c r="R34" s="128"/>
      <c r="S34" s="128"/>
    </row>
  </sheetData>
  <mergeCells count="10">
    <mergeCell ref="A31:U31"/>
    <mergeCell ref="A32:I32"/>
    <mergeCell ref="A33:I33"/>
    <mergeCell ref="A34:O34"/>
    <mergeCell ref="A1:U1"/>
    <mergeCell ref="A2:U2"/>
    <mergeCell ref="A22:K22"/>
    <mergeCell ref="A27:O27"/>
    <mergeCell ref="A28:O28"/>
    <mergeCell ref="A30:U3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B491C-A7E3-4BAD-997C-AA72CFF9E997}">
  <dimension ref="B1:R43"/>
  <sheetViews>
    <sheetView zoomScale="70" zoomScaleNormal="70" workbookViewId="0">
      <selection activeCell="F19" sqref="F19"/>
    </sheetView>
  </sheetViews>
  <sheetFormatPr defaultColWidth="8.83203125" defaultRowHeight="24.75" customHeight="1"/>
  <cols>
    <col min="1" max="1" width="2.83203125" style="134" customWidth="1"/>
    <col min="2" max="2" width="4.9140625" style="48" customWidth="1"/>
    <col min="3" max="3" width="10" style="48" customWidth="1"/>
    <col min="4" max="4" width="13.1640625" style="48" customWidth="1"/>
    <col min="5" max="7" width="18.9140625" style="140" customWidth="1"/>
    <col min="8" max="8" width="17.6640625" style="48" customWidth="1"/>
    <col min="9" max="9" width="15" style="48" customWidth="1"/>
    <col min="10" max="11" width="9.6640625" style="48" customWidth="1"/>
    <col min="12" max="13" width="12.75" style="48" customWidth="1"/>
    <col min="14" max="15" width="9.6640625" style="56" customWidth="1"/>
    <col min="16" max="16" width="12.4140625" style="48" customWidth="1"/>
    <col min="17" max="17" width="8.83203125" style="48"/>
    <col min="18" max="18" width="22.83203125" style="48" customWidth="1"/>
    <col min="19" max="16384" width="8.83203125" style="134"/>
  </cols>
  <sheetData>
    <row r="1" spans="2:18" s="30" customFormat="1" ht="37" customHeight="1">
      <c r="B1" s="130"/>
      <c r="C1" s="28"/>
      <c r="D1" s="28"/>
      <c r="E1" s="131"/>
      <c r="F1" s="131"/>
      <c r="G1" s="131"/>
      <c r="H1" s="29"/>
      <c r="I1" s="230" t="s">
        <v>400</v>
      </c>
      <c r="J1" s="230"/>
      <c r="K1" s="230"/>
      <c r="L1" s="230"/>
      <c r="M1" s="230"/>
      <c r="N1" s="230"/>
      <c r="O1" s="230"/>
      <c r="P1" s="230"/>
      <c r="Q1" s="230"/>
      <c r="R1" s="230"/>
    </row>
    <row r="2" spans="2:18" s="30" customFormat="1" ht="24.75" customHeight="1">
      <c r="B2" s="130"/>
      <c r="C2" s="28"/>
      <c r="D2" s="28"/>
      <c r="E2" s="131"/>
      <c r="F2" s="131"/>
      <c r="G2" s="131"/>
      <c r="H2" s="29"/>
      <c r="I2" s="231" t="s">
        <v>401</v>
      </c>
      <c r="J2" s="231"/>
      <c r="K2" s="231"/>
      <c r="L2" s="231"/>
      <c r="M2" s="231"/>
      <c r="N2" s="231"/>
      <c r="O2" s="231"/>
      <c r="P2" s="231"/>
      <c r="Q2" s="231"/>
      <c r="R2" s="231"/>
    </row>
    <row r="3" spans="2:18" s="30" customFormat="1" ht="35" customHeight="1">
      <c r="B3" s="130"/>
      <c r="C3" s="28"/>
      <c r="D3" s="28"/>
      <c r="E3" s="131"/>
      <c r="F3" s="131"/>
      <c r="G3" s="131"/>
      <c r="H3" s="29"/>
      <c r="I3" s="232" t="s">
        <v>402</v>
      </c>
      <c r="J3" s="232"/>
      <c r="K3" s="232"/>
      <c r="L3" s="232"/>
      <c r="M3" s="232"/>
      <c r="N3" s="232"/>
      <c r="O3" s="232"/>
      <c r="P3" s="232"/>
      <c r="Q3" s="232"/>
      <c r="R3" s="232"/>
    </row>
    <row r="4" spans="2:18" s="30" customFormat="1" ht="26" customHeight="1">
      <c r="B4" s="130"/>
      <c r="C4" s="28"/>
      <c r="D4" s="28"/>
      <c r="E4" s="131"/>
      <c r="F4" s="131"/>
      <c r="G4" s="131"/>
      <c r="H4" s="29"/>
      <c r="I4" s="232" t="s">
        <v>403</v>
      </c>
      <c r="J4" s="232"/>
      <c r="K4" s="232"/>
      <c r="L4" s="232"/>
      <c r="M4" s="232"/>
      <c r="N4" s="232"/>
      <c r="O4" s="232"/>
      <c r="P4" s="232"/>
      <c r="Q4" s="232"/>
      <c r="R4" s="232"/>
    </row>
    <row r="5" spans="2:18" s="30" customFormat="1" ht="10" customHeight="1">
      <c r="B5" s="132"/>
      <c r="C5" s="28"/>
      <c r="D5" s="28"/>
      <c r="E5" s="131"/>
      <c r="F5" s="131"/>
      <c r="G5" s="131"/>
      <c r="H5" s="29"/>
      <c r="I5" s="29"/>
      <c r="J5" s="167"/>
      <c r="K5" s="167"/>
      <c r="L5" s="167"/>
      <c r="M5" s="167"/>
      <c r="N5" s="167"/>
      <c r="O5" s="167"/>
      <c r="P5" s="167"/>
      <c r="Q5" s="48"/>
      <c r="R5" s="48"/>
    </row>
    <row r="6" spans="2:18" s="30" customFormat="1" ht="24.75" customHeight="1">
      <c r="B6" s="168" t="s">
        <v>2</v>
      </c>
      <c r="C6" s="168"/>
      <c r="D6" s="168" t="s">
        <v>404</v>
      </c>
      <c r="E6" s="168"/>
      <c r="F6" s="32"/>
      <c r="G6" s="32"/>
      <c r="H6" s="33"/>
      <c r="I6" s="33"/>
      <c r="J6" s="33"/>
      <c r="K6" s="33"/>
      <c r="L6" s="33"/>
      <c r="M6" s="33"/>
      <c r="N6" s="34"/>
      <c r="O6" s="34"/>
      <c r="P6" s="33"/>
      <c r="Q6" s="48"/>
      <c r="R6" s="48"/>
    </row>
    <row r="7" spans="2:18" s="30" customFormat="1" ht="24.75" customHeight="1">
      <c r="B7" s="168" t="s">
        <v>7</v>
      </c>
      <c r="C7" s="168"/>
      <c r="D7" s="168" t="s">
        <v>81</v>
      </c>
      <c r="E7" s="168"/>
      <c r="F7" s="32"/>
      <c r="G7" s="32"/>
      <c r="H7" s="33"/>
      <c r="I7" s="33"/>
      <c r="J7" s="33"/>
      <c r="K7" s="33"/>
      <c r="L7" s="33"/>
      <c r="M7" s="33"/>
      <c r="N7" s="34"/>
      <c r="O7" s="34"/>
      <c r="P7" s="33"/>
      <c r="Q7" s="48"/>
      <c r="R7" s="48"/>
    </row>
    <row r="8" spans="2:18" s="30" customFormat="1" ht="24.75" customHeight="1">
      <c r="B8" s="168" t="s">
        <v>10</v>
      </c>
      <c r="C8" s="168"/>
      <c r="D8" s="168" t="s">
        <v>81</v>
      </c>
      <c r="E8" s="168"/>
      <c r="F8" s="32"/>
      <c r="G8" s="32"/>
      <c r="H8" s="36"/>
      <c r="I8" s="36"/>
      <c r="J8" s="36"/>
      <c r="K8" s="36"/>
      <c r="L8" s="36"/>
      <c r="M8" s="36"/>
      <c r="N8" s="37"/>
      <c r="O8" s="37"/>
      <c r="P8" s="36"/>
      <c r="Q8" s="48"/>
      <c r="R8" s="48"/>
    </row>
    <row r="9" spans="2:18" s="38" customFormat="1" ht="24.75" customHeight="1">
      <c r="B9" s="168" t="s">
        <v>5</v>
      </c>
      <c r="C9" s="168"/>
      <c r="D9" s="173" t="s">
        <v>405</v>
      </c>
      <c r="E9" s="173"/>
      <c r="F9" s="39"/>
      <c r="G9" s="39"/>
      <c r="H9" s="40"/>
      <c r="I9" s="40"/>
      <c r="J9" s="40"/>
      <c r="K9" s="40"/>
      <c r="L9" s="40"/>
      <c r="M9" s="40"/>
      <c r="N9" s="41"/>
      <c r="O9" s="41"/>
      <c r="P9" s="40"/>
    </row>
    <row r="10" spans="2:18" s="36" customFormat="1" ht="24.75" customHeight="1">
      <c r="B10" s="42" t="s">
        <v>12</v>
      </c>
      <c r="C10" s="42" t="s">
        <v>13</v>
      </c>
      <c r="D10" s="42" t="s">
        <v>15</v>
      </c>
      <c r="E10" s="42" t="s">
        <v>14</v>
      </c>
      <c r="F10" s="42" t="s">
        <v>171</v>
      </c>
      <c r="G10" s="42" t="s">
        <v>170</v>
      </c>
      <c r="H10" s="42" t="s">
        <v>16</v>
      </c>
      <c r="I10" s="42" t="s">
        <v>23</v>
      </c>
      <c r="J10" s="42" t="s">
        <v>85</v>
      </c>
      <c r="K10" s="42" t="s">
        <v>19</v>
      </c>
      <c r="L10" s="42" t="s">
        <v>406</v>
      </c>
      <c r="M10" s="42" t="s">
        <v>407</v>
      </c>
      <c r="N10" s="42" t="s">
        <v>17</v>
      </c>
      <c r="O10" s="42" t="s">
        <v>24</v>
      </c>
      <c r="P10" s="42" t="s">
        <v>26</v>
      </c>
      <c r="Q10" s="43" t="s">
        <v>27</v>
      </c>
      <c r="R10" s="42" t="s">
        <v>28</v>
      </c>
    </row>
    <row r="11" spans="2:18" s="44" customFormat="1" ht="24.75" customHeight="1">
      <c r="B11" s="45">
        <v>1</v>
      </c>
      <c r="C11" s="45" t="s">
        <v>408</v>
      </c>
      <c r="D11" s="45" t="s">
        <v>409</v>
      </c>
      <c r="E11" s="133" t="s">
        <v>410</v>
      </c>
      <c r="F11" s="133" t="s">
        <v>411</v>
      </c>
      <c r="G11" s="133"/>
      <c r="H11" s="47" t="s">
        <v>412</v>
      </c>
      <c r="I11" s="47" t="s">
        <v>413</v>
      </c>
      <c r="J11" s="47" t="s">
        <v>91</v>
      </c>
      <c r="K11" s="47">
        <v>2</v>
      </c>
      <c r="L11" s="47">
        <v>26</v>
      </c>
      <c r="M11" s="47"/>
      <c r="N11" s="47" t="s">
        <v>414</v>
      </c>
      <c r="O11" s="47" t="s">
        <v>94</v>
      </c>
      <c r="P11" s="47" t="s">
        <v>415</v>
      </c>
      <c r="Q11" s="49">
        <v>423.8</v>
      </c>
      <c r="R11" s="47"/>
    </row>
    <row r="12" spans="2:18" ht="24.75" customHeight="1">
      <c r="B12" s="45">
        <v>2</v>
      </c>
      <c r="C12" s="45" t="s">
        <v>408</v>
      </c>
      <c r="D12" s="45" t="s">
        <v>409</v>
      </c>
      <c r="E12" s="133" t="s">
        <v>410</v>
      </c>
      <c r="F12" s="133" t="s">
        <v>411</v>
      </c>
      <c r="G12" s="133"/>
      <c r="H12" s="47" t="s">
        <v>412</v>
      </c>
      <c r="I12" s="47" t="s">
        <v>413</v>
      </c>
      <c r="J12" s="47" t="s">
        <v>91</v>
      </c>
      <c r="K12" s="47">
        <v>2</v>
      </c>
      <c r="L12" s="47">
        <v>26</v>
      </c>
      <c r="M12" s="47"/>
      <c r="N12" s="47" t="s">
        <v>414</v>
      </c>
      <c r="O12" s="47" t="s">
        <v>416</v>
      </c>
      <c r="P12" s="47" t="s">
        <v>417</v>
      </c>
      <c r="Q12" s="49">
        <v>26</v>
      </c>
      <c r="R12" s="47"/>
    </row>
    <row r="13" spans="2:18" ht="24.75" customHeight="1">
      <c r="B13" s="45">
        <v>3</v>
      </c>
      <c r="C13" s="45" t="s">
        <v>418</v>
      </c>
      <c r="D13" s="45" t="s">
        <v>419</v>
      </c>
      <c r="E13" s="133" t="s">
        <v>420</v>
      </c>
      <c r="F13" s="133" t="s">
        <v>421</v>
      </c>
      <c r="G13" s="133" t="s">
        <v>420</v>
      </c>
      <c r="H13" s="47"/>
      <c r="I13" s="47" t="s">
        <v>422</v>
      </c>
      <c r="J13" s="47" t="s">
        <v>91</v>
      </c>
      <c r="K13" s="47">
        <v>13</v>
      </c>
      <c r="L13" s="47">
        <v>180</v>
      </c>
      <c r="M13" s="47" t="s">
        <v>423</v>
      </c>
      <c r="N13" s="47">
        <v>99301</v>
      </c>
      <c r="O13" s="47" t="s">
        <v>94</v>
      </c>
      <c r="P13" s="47" t="s">
        <v>424</v>
      </c>
      <c r="Q13" s="49">
        <v>1368</v>
      </c>
      <c r="R13" s="47"/>
    </row>
    <row r="14" spans="2:18" ht="24.75" customHeight="1">
      <c r="B14" s="45">
        <v>4</v>
      </c>
      <c r="C14" s="45" t="s">
        <v>418</v>
      </c>
      <c r="D14" s="45" t="s">
        <v>419</v>
      </c>
      <c r="E14" s="133" t="s">
        <v>420</v>
      </c>
      <c r="F14" s="133" t="s">
        <v>421</v>
      </c>
      <c r="G14" s="133" t="s">
        <v>420</v>
      </c>
      <c r="H14" s="47"/>
      <c r="I14" s="47" t="s">
        <v>422</v>
      </c>
      <c r="J14" s="47" t="s">
        <v>91</v>
      </c>
      <c r="K14" s="47">
        <v>13</v>
      </c>
      <c r="L14" s="47">
        <v>180</v>
      </c>
      <c r="M14" s="47" t="s">
        <v>423</v>
      </c>
      <c r="N14" s="47">
        <v>99301</v>
      </c>
      <c r="O14" s="47" t="s">
        <v>425</v>
      </c>
      <c r="P14" s="47" t="s">
        <v>95</v>
      </c>
      <c r="Q14" s="49">
        <v>200</v>
      </c>
      <c r="R14" s="47"/>
    </row>
    <row r="15" spans="2:18" ht="24.75" customHeight="1">
      <c r="B15" s="45">
        <v>5</v>
      </c>
      <c r="C15" s="45" t="s">
        <v>426</v>
      </c>
      <c r="D15" s="45" t="s">
        <v>427</v>
      </c>
      <c r="E15" s="133" t="s">
        <v>428</v>
      </c>
      <c r="F15" s="133" t="s">
        <v>429</v>
      </c>
      <c r="G15" s="133" t="s">
        <v>428</v>
      </c>
      <c r="H15" s="47"/>
      <c r="I15" s="47" t="s">
        <v>422</v>
      </c>
      <c r="J15" s="47" t="s">
        <v>91</v>
      </c>
      <c r="K15" s="47">
        <v>10</v>
      </c>
      <c r="L15" s="47">
        <v>202</v>
      </c>
      <c r="M15" s="47" t="s">
        <v>218</v>
      </c>
      <c r="N15" s="47">
        <v>93263</v>
      </c>
      <c r="O15" s="47" t="s">
        <v>94</v>
      </c>
      <c r="P15" s="47" t="s">
        <v>430</v>
      </c>
      <c r="Q15" s="49">
        <v>1292.8</v>
      </c>
      <c r="R15" s="47"/>
    </row>
    <row r="16" spans="2:18" ht="24.75" customHeight="1">
      <c r="B16" s="45">
        <v>6</v>
      </c>
      <c r="C16" s="45" t="s">
        <v>426</v>
      </c>
      <c r="D16" s="45" t="s">
        <v>427</v>
      </c>
      <c r="E16" s="133" t="s">
        <v>428</v>
      </c>
      <c r="F16" s="133" t="s">
        <v>429</v>
      </c>
      <c r="G16" s="133" t="s">
        <v>428</v>
      </c>
      <c r="H16" s="47"/>
      <c r="I16" s="47" t="s">
        <v>422</v>
      </c>
      <c r="J16" s="47" t="s">
        <v>91</v>
      </c>
      <c r="K16" s="47">
        <v>10</v>
      </c>
      <c r="L16" s="47">
        <v>202</v>
      </c>
      <c r="M16" s="47" t="s">
        <v>218</v>
      </c>
      <c r="N16" s="47">
        <v>93263</v>
      </c>
      <c r="O16" s="47" t="s">
        <v>425</v>
      </c>
      <c r="P16" s="47" t="s">
        <v>95</v>
      </c>
      <c r="Q16" s="49">
        <v>200</v>
      </c>
      <c r="R16" s="47"/>
    </row>
    <row r="17" spans="2:18" ht="24.75" customHeight="1">
      <c r="B17" s="45"/>
      <c r="C17" s="45"/>
      <c r="D17" s="45"/>
      <c r="E17" s="133"/>
      <c r="F17" s="133"/>
      <c r="G17" s="133"/>
      <c r="H17" s="47"/>
      <c r="I17" s="47"/>
      <c r="J17" s="47"/>
      <c r="K17" s="47"/>
      <c r="L17" s="47"/>
      <c r="M17" s="47"/>
      <c r="N17" s="47"/>
      <c r="O17" s="47"/>
      <c r="P17" s="47" t="s">
        <v>158</v>
      </c>
      <c r="Q17" s="67">
        <v>3510.6</v>
      </c>
      <c r="R17" s="47"/>
    </row>
    <row r="18" spans="2:18" s="30" customFormat="1" ht="24.75" customHeight="1">
      <c r="B18" s="45"/>
      <c r="C18" s="45"/>
      <c r="D18" s="45"/>
      <c r="E18" s="133"/>
      <c r="F18" s="133"/>
      <c r="G18" s="133"/>
      <c r="H18" s="47"/>
      <c r="I18" s="47"/>
      <c r="J18" s="47"/>
      <c r="K18" s="47"/>
      <c r="L18" s="47"/>
      <c r="M18" s="47"/>
      <c r="N18" s="47"/>
      <c r="O18" s="47"/>
      <c r="P18" s="47"/>
      <c r="Q18" s="49"/>
      <c r="R18" s="47"/>
    </row>
    <row r="19" spans="2:18" s="30" customFormat="1" ht="24.75" customHeight="1">
      <c r="B19" s="45"/>
      <c r="C19" s="45"/>
      <c r="D19" s="45"/>
      <c r="E19" s="133"/>
      <c r="F19" s="133"/>
      <c r="G19" s="133"/>
      <c r="H19" s="47"/>
      <c r="I19" s="47"/>
      <c r="J19" s="47"/>
      <c r="K19" s="47"/>
      <c r="L19" s="47"/>
      <c r="M19" s="47"/>
      <c r="N19" s="47"/>
      <c r="O19" s="47"/>
      <c r="P19" s="47"/>
      <c r="Q19" s="49"/>
      <c r="R19" s="47"/>
    </row>
    <row r="20" spans="2:18" s="30" customFormat="1" ht="24.75" customHeight="1">
      <c r="B20" s="45"/>
      <c r="C20" s="45"/>
      <c r="D20" s="45"/>
      <c r="E20" s="133"/>
      <c r="F20" s="133"/>
      <c r="G20" s="133"/>
      <c r="H20" s="47"/>
      <c r="I20" s="47"/>
      <c r="J20" s="47"/>
      <c r="K20" s="47"/>
      <c r="L20" s="47"/>
      <c r="M20" s="47"/>
      <c r="N20" s="47"/>
      <c r="O20" s="47"/>
      <c r="P20" s="47"/>
      <c r="Q20" s="49"/>
      <c r="R20" s="47"/>
    </row>
    <row r="21" spans="2:18" s="44" customFormat="1" ht="24.75" customHeight="1">
      <c r="B21" s="47"/>
      <c r="C21" s="47"/>
      <c r="D21" s="45"/>
      <c r="E21" s="133"/>
      <c r="F21" s="133"/>
      <c r="G21" s="133"/>
      <c r="H21" s="45"/>
      <c r="I21" s="45"/>
      <c r="J21" s="45"/>
      <c r="K21" s="45"/>
      <c r="L21" s="47"/>
      <c r="M21" s="47"/>
      <c r="N21" s="49"/>
      <c r="O21" s="49"/>
      <c r="P21" s="47"/>
      <c r="Q21" s="47"/>
      <c r="R21" s="47"/>
    </row>
    <row r="22" spans="2:18" s="44" customFormat="1" ht="24.75" customHeight="1">
      <c r="B22" s="47"/>
      <c r="C22" s="45"/>
      <c r="D22" s="47"/>
      <c r="E22" s="135"/>
      <c r="F22" s="135"/>
      <c r="G22" s="135"/>
      <c r="H22" s="42"/>
      <c r="I22" s="47"/>
      <c r="J22" s="47"/>
      <c r="K22" s="47"/>
      <c r="L22" s="47"/>
      <c r="M22" s="47"/>
      <c r="N22" s="49"/>
      <c r="O22" s="49"/>
      <c r="P22" s="47"/>
      <c r="Q22" s="67"/>
      <c r="R22" s="47"/>
    </row>
    <row r="23" spans="2:18" s="50" customFormat="1" ht="24.75" customHeight="1"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  <c r="N23" s="190"/>
      <c r="O23" s="190"/>
      <c r="P23" s="190"/>
    </row>
    <row r="24" spans="2:18" s="50" customFormat="1" ht="24.75" customHeight="1">
      <c r="B24" s="227" t="s">
        <v>431</v>
      </c>
      <c r="C24" s="227"/>
      <c r="D24" s="227"/>
      <c r="E24" s="227"/>
      <c r="F24" s="227"/>
      <c r="G24" s="227"/>
      <c r="H24" s="227"/>
      <c r="I24" s="227"/>
      <c r="J24" s="227"/>
      <c r="K24" s="227"/>
      <c r="L24" s="227"/>
      <c r="M24" s="227"/>
      <c r="N24" s="227"/>
      <c r="O24" s="227"/>
      <c r="P24" s="227"/>
    </row>
    <row r="25" spans="2:18" s="50" customFormat="1" ht="10" customHeight="1"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136"/>
      <c r="O25" s="136"/>
      <c r="P25" s="73"/>
    </row>
    <row r="26" spans="2:18" ht="24.75" customHeight="1">
      <c r="B26" s="137" t="s">
        <v>432</v>
      </c>
      <c r="C26" s="138"/>
      <c r="D26" s="138"/>
      <c r="E26" s="139"/>
      <c r="F26" s="139"/>
      <c r="G26" s="139"/>
      <c r="H26" s="138"/>
      <c r="I26" s="138"/>
    </row>
    <row r="27" spans="2:18" ht="24.75" customHeight="1">
      <c r="B27" s="137" t="s">
        <v>433</v>
      </c>
      <c r="C27" s="138"/>
      <c r="D27" s="138"/>
      <c r="E27" s="139"/>
      <c r="F27" s="139"/>
      <c r="G27" s="139"/>
      <c r="H27" s="138"/>
      <c r="I27" s="138"/>
    </row>
    <row r="29" spans="2:18" ht="24.75" customHeight="1">
      <c r="B29" s="228" t="s">
        <v>434</v>
      </c>
      <c r="C29" s="228"/>
      <c r="D29" s="228"/>
      <c r="E29" s="228"/>
      <c r="F29" s="228"/>
      <c r="G29" s="228"/>
      <c r="H29" s="228"/>
      <c r="I29" s="228"/>
      <c r="J29" s="228"/>
    </row>
    <row r="30" spans="2:18" ht="24.75" customHeight="1">
      <c r="B30" s="229" t="s">
        <v>435</v>
      </c>
      <c r="C30" s="229"/>
      <c r="D30" s="229"/>
      <c r="E30" s="229"/>
      <c r="F30" s="229"/>
      <c r="G30" s="229"/>
      <c r="H30" s="229"/>
      <c r="I30" s="229"/>
      <c r="J30" s="229"/>
    </row>
    <row r="31" spans="2:18" ht="24.75" customHeight="1">
      <c r="B31" s="229"/>
      <c r="C31" s="229"/>
      <c r="D31" s="229"/>
      <c r="E31" s="229"/>
      <c r="F31" s="229"/>
      <c r="G31" s="229"/>
      <c r="H31" s="229"/>
      <c r="I31" s="229"/>
      <c r="J31" s="229"/>
    </row>
    <row r="32" spans="2:18" ht="24.75" customHeight="1">
      <c r="B32" s="229"/>
      <c r="C32" s="229"/>
      <c r="D32" s="229"/>
      <c r="E32" s="229"/>
      <c r="F32" s="229"/>
      <c r="G32" s="229"/>
      <c r="H32" s="229"/>
      <c r="I32" s="229"/>
      <c r="J32" s="229"/>
    </row>
    <row r="33" spans="2:10" ht="24.75" customHeight="1">
      <c r="B33" s="229"/>
      <c r="C33" s="229"/>
      <c r="D33" s="229"/>
      <c r="E33" s="229"/>
      <c r="F33" s="229"/>
      <c r="G33" s="229"/>
      <c r="H33" s="229"/>
      <c r="I33" s="229"/>
      <c r="J33" s="229"/>
    </row>
    <row r="34" spans="2:10" ht="24.75" customHeight="1">
      <c r="B34" s="229"/>
      <c r="C34" s="229"/>
      <c r="D34" s="229"/>
      <c r="E34" s="229"/>
      <c r="F34" s="229"/>
      <c r="G34" s="229"/>
      <c r="H34" s="229"/>
      <c r="I34" s="229"/>
      <c r="J34" s="229"/>
    </row>
    <row r="35" spans="2:10" ht="24.75" customHeight="1">
      <c r="B35" s="229"/>
      <c r="C35" s="229"/>
      <c r="D35" s="229"/>
      <c r="E35" s="229"/>
      <c r="F35" s="229"/>
      <c r="G35" s="229"/>
      <c r="H35" s="229"/>
      <c r="I35" s="229"/>
      <c r="J35" s="229"/>
    </row>
    <row r="36" spans="2:10" ht="24.75" customHeight="1">
      <c r="B36" s="229"/>
      <c r="C36" s="229"/>
      <c r="D36" s="229"/>
      <c r="E36" s="229"/>
      <c r="F36" s="229"/>
      <c r="G36" s="229"/>
      <c r="H36" s="229"/>
      <c r="I36" s="229"/>
      <c r="J36" s="229"/>
    </row>
    <row r="37" spans="2:10" ht="24.75" customHeight="1">
      <c r="B37" s="229"/>
      <c r="C37" s="229"/>
      <c r="D37" s="229"/>
      <c r="E37" s="229"/>
      <c r="F37" s="229"/>
      <c r="G37" s="229"/>
      <c r="H37" s="229"/>
      <c r="I37" s="229"/>
      <c r="J37" s="229"/>
    </row>
    <row r="38" spans="2:10" ht="24.75" customHeight="1">
      <c r="B38" s="229"/>
      <c r="C38" s="229"/>
      <c r="D38" s="229"/>
      <c r="E38" s="229"/>
      <c r="F38" s="229"/>
      <c r="G38" s="229"/>
      <c r="H38" s="229"/>
      <c r="I38" s="229"/>
      <c r="J38" s="229"/>
    </row>
    <row r="39" spans="2:10" ht="24.75" customHeight="1">
      <c r="B39" s="229"/>
      <c r="C39" s="229"/>
      <c r="D39" s="229"/>
      <c r="E39" s="229"/>
      <c r="F39" s="229"/>
      <c r="G39" s="229"/>
      <c r="H39" s="229"/>
      <c r="I39" s="229"/>
      <c r="J39" s="229"/>
    </row>
    <row r="40" spans="2:10" ht="24.75" customHeight="1">
      <c r="B40" s="229"/>
      <c r="C40" s="229"/>
      <c r="D40" s="229"/>
      <c r="E40" s="229"/>
      <c r="F40" s="229"/>
      <c r="G40" s="229"/>
      <c r="H40" s="229"/>
      <c r="I40" s="229"/>
      <c r="J40" s="229"/>
    </row>
    <row r="41" spans="2:10" ht="24.75" customHeight="1">
      <c r="B41" s="229"/>
      <c r="C41" s="229"/>
      <c r="D41" s="229"/>
      <c r="E41" s="229"/>
      <c r="F41" s="229"/>
      <c r="G41" s="229"/>
      <c r="H41" s="229"/>
      <c r="I41" s="229"/>
      <c r="J41" s="229"/>
    </row>
    <row r="42" spans="2:10" ht="24.75" customHeight="1">
      <c r="B42" s="229"/>
      <c r="C42" s="229"/>
      <c r="D42" s="229"/>
      <c r="E42" s="229"/>
      <c r="F42" s="229"/>
      <c r="G42" s="229"/>
      <c r="H42" s="229"/>
      <c r="I42" s="229"/>
      <c r="J42" s="229"/>
    </row>
    <row r="43" spans="2:10" ht="24.75" customHeight="1">
      <c r="B43" s="229"/>
      <c r="C43" s="229"/>
      <c r="D43" s="229"/>
      <c r="E43" s="229"/>
      <c r="F43" s="229"/>
      <c r="G43" s="229"/>
      <c r="H43" s="229"/>
      <c r="I43" s="229"/>
      <c r="J43" s="229"/>
    </row>
  </sheetData>
  <mergeCells count="17">
    <mergeCell ref="B6:C6"/>
    <mergeCell ref="D6:E6"/>
    <mergeCell ref="I1:R1"/>
    <mergeCell ref="I2:R2"/>
    <mergeCell ref="I3:R3"/>
    <mergeCell ref="I4:R4"/>
    <mergeCell ref="J5:P5"/>
    <mergeCell ref="B23:P23"/>
    <mergeCell ref="B24:P24"/>
    <mergeCell ref="B29:J29"/>
    <mergeCell ref="B30:J43"/>
    <mergeCell ref="B7:C7"/>
    <mergeCell ref="D7:E7"/>
    <mergeCell ref="B8:C8"/>
    <mergeCell ref="D8:E8"/>
    <mergeCell ref="B9:C9"/>
    <mergeCell ref="D9:E9"/>
  </mergeCells>
  <phoneticPr fontId="3" type="noConversion"/>
  <pageMargins left="0.75" right="0.75" top="1" bottom="1" header="0.5" footer="0.5"/>
  <pageSetup paperSize="9" scale="7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78DF9-5598-44FD-BDC4-FC86A9E92FCC}">
  <dimension ref="A1:R23"/>
  <sheetViews>
    <sheetView workbookViewId="0">
      <selection activeCell="A22" sqref="A22:H22"/>
    </sheetView>
  </sheetViews>
  <sheetFormatPr defaultColWidth="8.25" defaultRowHeight="14"/>
  <cols>
    <col min="1" max="2" width="12.33203125" style="1" customWidth="1"/>
    <col min="3" max="3" width="20.6640625" style="1" customWidth="1"/>
    <col min="4" max="4" width="19.6640625" style="1" customWidth="1"/>
    <col min="5" max="5" width="15.9140625" style="1" customWidth="1"/>
    <col min="6" max="6" width="19.6640625" style="1" customWidth="1"/>
    <col min="7" max="7" width="7.4140625" style="1" customWidth="1"/>
    <col min="8" max="8" width="7.33203125" style="1" customWidth="1"/>
    <col min="9" max="9" width="7.5" style="1" customWidth="1"/>
    <col min="10" max="10" width="7.75" style="1" customWidth="1"/>
    <col min="11" max="12" width="6.9140625" style="1" customWidth="1"/>
    <col min="13" max="13" width="7.33203125" style="1" customWidth="1"/>
    <col min="14" max="16" width="8.25" style="1" customWidth="1"/>
    <col min="17" max="17" width="11.83203125" style="1" customWidth="1"/>
    <col min="18" max="18" width="18.6640625" style="1" customWidth="1"/>
    <col min="19" max="19" width="8.25" style="1" customWidth="1"/>
    <col min="20" max="16384" width="8.25" style="1"/>
  </cols>
  <sheetData>
    <row r="1" spans="1:18" ht="44" customHeight="1">
      <c r="A1" s="158" t="s">
        <v>436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</row>
    <row r="2" spans="1:18" ht="37" customHeight="1">
      <c r="A2" s="158" t="s">
        <v>294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</row>
    <row r="3" spans="1:18" ht="29" customHeight="1">
      <c r="A3" s="79" t="s">
        <v>295</v>
      </c>
      <c r="B3" s="79"/>
      <c r="C3" s="80" t="s">
        <v>30</v>
      </c>
      <c r="D3" s="80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</row>
    <row r="4" spans="1:18" ht="36" customHeight="1">
      <c r="A4" s="84" t="s">
        <v>12</v>
      </c>
      <c r="B4" s="84" t="s">
        <v>296</v>
      </c>
      <c r="C4" s="85" t="s">
        <v>15</v>
      </c>
      <c r="D4" s="86" t="s">
        <v>297</v>
      </c>
      <c r="E4" s="86" t="s">
        <v>298</v>
      </c>
      <c r="F4" s="88" t="s">
        <v>300</v>
      </c>
      <c r="G4" s="89" t="s">
        <v>301</v>
      </c>
      <c r="H4" s="89" t="s">
        <v>302</v>
      </c>
      <c r="I4" s="90" t="s">
        <v>303</v>
      </c>
      <c r="J4" s="91" t="s">
        <v>19</v>
      </c>
      <c r="K4" s="92" t="s">
        <v>21</v>
      </c>
      <c r="L4" s="92" t="s">
        <v>304</v>
      </c>
      <c r="M4" s="92" t="s">
        <v>20</v>
      </c>
      <c r="N4" s="93" t="s">
        <v>94</v>
      </c>
      <c r="O4" s="95" t="s">
        <v>305</v>
      </c>
      <c r="P4" s="95" t="s">
        <v>306</v>
      </c>
      <c r="Q4" s="94" t="s">
        <v>308</v>
      </c>
      <c r="R4" s="96" t="s">
        <v>309</v>
      </c>
    </row>
    <row r="5" spans="1:18" s="143" customFormat="1" ht="14.4" customHeight="1">
      <c r="A5" s="141">
        <v>1</v>
      </c>
      <c r="B5" s="142" t="s">
        <v>437</v>
      </c>
      <c r="C5" s="142" t="s">
        <v>438</v>
      </c>
      <c r="D5" s="141" t="s">
        <v>439</v>
      </c>
      <c r="E5" s="142" t="s">
        <v>440</v>
      </c>
      <c r="F5" s="142" t="s">
        <v>441</v>
      </c>
      <c r="G5" s="142" t="s">
        <v>103</v>
      </c>
      <c r="H5" s="142" t="s">
        <v>442</v>
      </c>
      <c r="I5" s="142" t="s">
        <v>443</v>
      </c>
      <c r="J5" s="142">
        <v>18</v>
      </c>
      <c r="K5" s="142">
        <v>267</v>
      </c>
      <c r="L5" s="142">
        <v>243</v>
      </c>
      <c r="M5" s="142">
        <v>267</v>
      </c>
      <c r="N5" s="142">
        <v>6.5</v>
      </c>
      <c r="O5" s="141">
        <v>200</v>
      </c>
      <c r="P5" s="141" t="s">
        <v>444</v>
      </c>
      <c r="Q5" s="142">
        <v>1935.5</v>
      </c>
      <c r="R5" s="141" t="s">
        <v>445</v>
      </c>
    </row>
    <row r="6" spans="1:18" s="143" customFormat="1" ht="14.4" customHeight="1">
      <c r="A6" s="144"/>
      <c r="B6" s="142" t="s">
        <v>446</v>
      </c>
      <c r="C6" s="142" t="s">
        <v>447</v>
      </c>
      <c r="D6" s="141" t="s">
        <v>439</v>
      </c>
      <c r="E6" s="142" t="s">
        <v>448</v>
      </c>
      <c r="F6" s="142" t="s">
        <v>441</v>
      </c>
      <c r="G6" s="142" t="s">
        <v>103</v>
      </c>
      <c r="H6" s="142" t="s">
        <v>442</v>
      </c>
      <c r="I6" s="142" t="s">
        <v>449</v>
      </c>
      <c r="J6" s="142">
        <v>18</v>
      </c>
      <c r="K6" s="142">
        <v>310</v>
      </c>
      <c r="L6" s="142">
        <v>260</v>
      </c>
      <c r="M6" s="142">
        <v>310</v>
      </c>
      <c r="N6" s="142">
        <v>8</v>
      </c>
      <c r="O6" s="145"/>
      <c r="P6" s="141" t="s">
        <v>444</v>
      </c>
      <c r="Q6" s="142">
        <v>2480</v>
      </c>
      <c r="R6" s="144"/>
    </row>
    <row r="7" spans="1:18" s="143" customFormat="1" ht="14.4" customHeight="1">
      <c r="A7" s="144"/>
      <c r="B7" s="142" t="s">
        <v>446</v>
      </c>
      <c r="C7" s="142" t="s">
        <v>450</v>
      </c>
      <c r="D7" s="141" t="s">
        <v>439</v>
      </c>
      <c r="E7" s="142" t="s">
        <v>451</v>
      </c>
      <c r="F7" s="142" t="s">
        <v>441</v>
      </c>
      <c r="G7" s="142" t="s">
        <v>103</v>
      </c>
      <c r="H7" s="142" t="s">
        <v>442</v>
      </c>
      <c r="I7" s="142" t="s">
        <v>449</v>
      </c>
      <c r="J7" s="142">
        <v>47</v>
      </c>
      <c r="K7" s="142">
        <v>798</v>
      </c>
      <c r="L7" s="142">
        <v>1144</v>
      </c>
      <c r="M7" s="142">
        <v>1144</v>
      </c>
      <c r="N7" s="142">
        <v>6.8</v>
      </c>
      <c r="O7" s="145"/>
      <c r="P7" s="141" t="s">
        <v>444</v>
      </c>
      <c r="Q7" s="142">
        <v>7779.2</v>
      </c>
      <c r="R7" s="144"/>
    </row>
    <row r="8" spans="1:18" s="143" customFormat="1" ht="15.65" customHeight="1">
      <c r="A8" s="146"/>
      <c r="B8" s="142" t="s">
        <v>452</v>
      </c>
      <c r="C8" s="142" t="s">
        <v>453</v>
      </c>
      <c r="D8" s="141" t="s">
        <v>439</v>
      </c>
      <c r="E8" s="142" t="s">
        <v>454</v>
      </c>
      <c r="F8" s="142" t="s">
        <v>441</v>
      </c>
      <c r="G8" s="142" t="s">
        <v>103</v>
      </c>
      <c r="H8" s="142" t="s">
        <v>455</v>
      </c>
      <c r="I8" s="142" t="s">
        <v>449</v>
      </c>
      <c r="J8" s="142">
        <v>17</v>
      </c>
      <c r="K8" s="142">
        <v>151</v>
      </c>
      <c r="L8" s="142">
        <v>273</v>
      </c>
      <c r="M8" s="142">
        <v>273</v>
      </c>
      <c r="N8" s="142">
        <v>7.5</v>
      </c>
      <c r="O8" s="147">
        <v>200</v>
      </c>
      <c r="P8" s="141" t="s">
        <v>444</v>
      </c>
      <c r="Q8" s="142">
        <v>2247.5</v>
      </c>
      <c r="R8" s="146" t="s">
        <v>456</v>
      </c>
    </row>
    <row r="9" spans="1:18" ht="15.65" customHeight="1">
      <c r="A9" s="101" t="s">
        <v>390</v>
      </c>
      <c r="B9" s="101"/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3"/>
      <c r="P9" s="103"/>
      <c r="Q9" s="104">
        <v>14442.2</v>
      </c>
      <c r="R9" s="105"/>
    </row>
    <row r="10" spans="1:18" ht="14.4" customHeight="1">
      <c r="A10" s="106"/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8"/>
      <c r="R10" s="109"/>
    </row>
    <row r="11" spans="1:18" ht="14.4" customHeight="1">
      <c r="A11" s="159" t="s">
        <v>391</v>
      </c>
      <c r="B11" s="159"/>
      <c r="C11" s="160"/>
      <c r="D11" s="160"/>
      <c r="E11" s="160"/>
      <c r="F11" s="160"/>
      <c r="G11" s="160"/>
      <c r="H11" s="160"/>
      <c r="I11" s="161"/>
      <c r="J11" s="161"/>
      <c r="K11" s="106"/>
      <c r="L11" s="106"/>
      <c r="M11" s="106"/>
      <c r="N11" s="106"/>
      <c r="O11" s="106"/>
      <c r="P11" s="106"/>
      <c r="Q11" s="110"/>
      <c r="R11" s="109"/>
    </row>
    <row r="12" spans="1:18" ht="14.4" customHeight="1">
      <c r="A12" s="111" t="s">
        <v>457</v>
      </c>
      <c r="B12" s="112"/>
      <c r="C12" s="113"/>
      <c r="D12" s="113"/>
      <c r="E12" s="113"/>
      <c r="F12" s="113"/>
      <c r="G12" s="113"/>
      <c r="H12" s="113"/>
      <c r="I12" s="113"/>
      <c r="J12" s="113"/>
      <c r="K12" s="106"/>
      <c r="L12" s="106"/>
      <c r="M12" s="106"/>
      <c r="N12" s="106"/>
      <c r="O12" s="106"/>
      <c r="P12" s="106"/>
      <c r="Q12" s="110"/>
      <c r="R12" s="109"/>
    </row>
    <row r="13" spans="1:18" ht="14.4" customHeight="1">
      <c r="A13" s="111" t="s">
        <v>458</v>
      </c>
      <c r="B13" s="112"/>
      <c r="C13" s="113"/>
      <c r="D13" s="113"/>
      <c r="E13" s="113"/>
      <c r="F13" s="116"/>
      <c r="G13" s="116"/>
      <c r="H13" s="116"/>
      <c r="I13" s="116"/>
      <c r="J13" s="116"/>
      <c r="K13" s="106"/>
      <c r="L13" s="106"/>
      <c r="M13" s="106"/>
      <c r="N13" s="106"/>
      <c r="O13" s="106"/>
      <c r="P13" s="106"/>
      <c r="Q13" s="110"/>
      <c r="R13" s="109"/>
    </row>
    <row r="14" spans="1:18" ht="14.4" customHeight="1">
      <c r="A14" s="111" t="s">
        <v>459</v>
      </c>
      <c r="B14" s="112"/>
      <c r="C14" s="113"/>
      <c r="D14" s="113"/>
      <c r="E14" s="113"/>
      <c r="F14" s="116"/>
      <c r="G14" s="116"/>
      <c r="H14" s="116"/>
      <c r="I14" s="116"/>
      <c r="J14" s="116"/>
      <c r="K14" s="106"/>
      <c r="L14" s="106"/>
      <c r="M14" s="106"/>
      <c r="N14" s="106"/>
      <c r="O14" s="106"/>
      <c r="P14" s="106"/>
      <c r="Q14" s="110"/>
      <c r="R14" s="109"/>
    </row>
    <row r="15" spans="1:18" ht="14.4" customHeight="1">
      <c r="A15" s="106"/>
      <c r="B15" s="106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8"/>
      <c r="R15" s="109"/>
    </row>
    <row r="16" spans="1:18" ht="14.4" customHeight="1">
      <c r="A16" s="149" t="s">
        <v>395</v>
      </c>
      <c r="B16" s="149"/>
      <c r="C16" s="149"/>
      <c r="D16" s="149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17"/>
      <c r="P16" s="117"/>
      <c r="Q16" s="108"/>
      <c r="R16" s="109"/>
    </row>
    <row r="17" spans="1:18" ht="14.4" customHeight="1">
      <c r="A17" s="149" t="s">
        <v>396</v>
      </c>
      <c r="B17" s="149"/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17"/>
      <c r="P17" s="117"/>
      <c r="Q17" s="108"/>
      <c r="R17" s="109"/>
    </row>
    <row r="18" spans="1:18" ht="14.4" customHeight="1">
      <c r="A18" s="120"/>
      <c r="B18" s="120"/>
      <c r="C18" s="120"/>
      <c r="D18" s="120"/>
      <c r="E18" s="120"/>
      <c r="F18" s="120"/>
      <c r="G18" s="120"/>
      <c r="H18" s="120"/>
      <c r="I18" s="120"/>
      <c r="J18" s="120"/>
      <c r="K18" s="106"/>
      <c r="L18" s="106"/>
      <c r="M18" s="106"/>
      <c r="N18" s="106"/>
      <c r="O18" s="106"/>
      <c r="P18" s="106"/>
      <c r="Q18" s="106"/>
      <c r="R18" s="106"/>
    </row>
    <row r="19" spans="1:18" ht="14.4" customHeight="1">
      <c r="A19" s="162" t="s">
        <v>397</v>
      </c>
      <c r="B19" s="162"/>
      <c r="C19" s="162"/>
      <c r="D19" s="162"/>
      <c r="E19" s="162"/>
      <c r="F19" s="162"/>
      <c r="G19" s="162"/>
      <c r="H19" s="162"/>
      <c r="I19" s="162"/>
      <c r="J19" s="162"/>
      <c r="K19" s="163"/>
      <c r="L19" s="163"/>
      <c r="M19" s="163"/>
      <c r="N19" s="163"/>
      <c r="O19" s="163"/>
      <c r="P19" s="163"/>
      <c r="Q19" s="163"/>
      <c r="R19" s="163"/>
    </row>
    <row r="20" spans="1:18" ht="14.4" customHeight="1">
      <c r="A20" s="149" t="s">
        <v>398</v>
      </c>
      <c r="B20" s="149"/>
      <c r="C20" s="149"/>
      <c r="D20" s="149"/>
      <c r="E20" s="149"/>
      <c r="F20" s="149"/>
      <c r="G20" s="149"/>
      <c r="H20" s="149"/>
      <c r="I20" s="149"/>
      <c r="J20" s="149"/>
      <c r="K20" s="150"/>
      <c r="L20" s="150"/>
      <c r="M20" s="150"/>
      <c r="N20" s="150"/>
      <c r="O20" s="150"/>
      <c r="P20" s="150"/>
      <c r="Q20" s="150"/>
      <c r="R20" s="150"/>
    </row>
    <row r="21" spans="1:18" ht="15" customHeight="1">
      <c r="A21" s="151"/>
      <c r="B21" s="151"/>
      <c r="C21" s="152"/>
      <c r="D21" s="152"/>
      <c r="E21" s="152"/>
      <c r="F21" s="152"/>
      <c r="G21" s="152"/>
      <c r="H21" s="153"/>
      <c r="I21" s="121"/>
      <c r="J21" s="122"/>
      <c r="K21" s="123"/>
      <c r="L21" s="123"/>
      <c r="M21" s="123"/>
      <c r="N21" s="123"/>
      <c r="O21" s="123"/>
      <c r="P21" s="123"/>
      <c r="Q21" s="148">
        <v>46198</v>
      </c>
    </row>
    <row r="22" spans="1:18" ht="14.4" customHeight="1">
      <c r="A22" s="154"/>
      <c r="B22" s="154"/>
      <c r="C22" s="155"/>
      <c r="D22" s="155"/>
      <c r="E22" s="155"/>
      <c r="F22" s="155"/>
      <c r="G22" s="155"/>
      <c r="H22" s="156"/>
      <c r="I22" s="118"/>
      <c r="J22" s="115"/>
      <c r="K22" s="126"/>
      <c r="L22" s="126"/>
      <c r="M22" s="126"/>
      <c r="N22" s="126"/>
      <c r="O22" s="126"/>
      <c r="P22" s="126"/>
      <c r="Q22" s="108"/>
      <c r="R22" s="109"/>
    </row>
    <row r="23" spans="1:18" ht="14.4" customHeight="1">
      <c r="A23" s="157"/>
      <c r="B23" s="157"/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28"/>
      <c r="P23" s="128"/>
    </row>
  </sheetData>
  <mergeCells count="10">
    <mergeCell ref="A20:R20"/>
    <mergeCell ref="A21:H21"/>
    <mergeCell ref="A22:H22"/>
    <mergeCell ref="A23:N23"/>
    <mergeCell ref="A1:R1"/>
    <mergeCell ref="A2:R2"/>
    <mergeCell ref="A11:J11"/>
    <mergeCell ref="A16:N16"/>
    <mergeCell ref="A17:N17"/>
    <mergeCell ref="A19:R19"/>
  </mergeCells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C72F6-CDCF-4039-9E44-4B6D1B8A9056}">
  <sheetPr>
    <pageSetUpPr fitToPage="1"/>
  </sheetPr>
  <dimension ref="A1:N80"/>
  <sheetViews>
    <sheetView showGridLines="0" tabSelected="1" topLeftCell="A4" zoomScale="80" zoomScaleNormal="80" workbookViewId="0">
      <selection activeCell="S8" sqref="S8"/>
    </sheetView>
  </sheetViews>
  <sheetFormatPr defaultColWidth="10.08203125" defaultRowHeight="24.75" customHeight="1"/>
  <cols>
    <col min="1" max="1" width="1.9140625" style="48" customWidth="1"/>
    <col min="2" max="2" width="5.58203125" style="48" customWidth="1"/>
    <col min="3" max="3" width="11.5" style="48" customWidth="1"/>
    <col min="4" max="4" width="16.6640625" style="48" customWidth="1"/>
    <col min="5" max="5" width="18.6640625" style="48" customWidth="1"/>
    <col min="6" max="6" width="20.1640625" style="48" customWidth="1"/>
    <col min="7" max="11" width="11.08203125" style="48" customWidth="1"/>
    <col min="12" max="12" width="11.08203125" style="56" customWidth="1"/>
    <col min="13" max="13" width="18.6640625" style="48" customWidth="1"/>
    <col min="14" max="16384" width="10.08203125" style="30"/>
  </cols>
  <sheetData>
    <row r="1" spans="1:14" ht="24.75" customHeight="1">
      <c r="A1" s="164"/>
      <c r="B1" s="164"/>
      <c r="C1" s="28"/>
      <c r="D1" s="28"/>
      <c r="E1" s="165" t="s">
        <v>78</v>
      </c>
      <c r="F1" s="165"/>
      <c r="G1" s="165"/>
      <c r="H1" s="165"/>
      <c r="I1" s="165"/>
      <c r="J1" s="165"/>
      <c r="K1" s="165"/>
      <c r="L1" s="165"/>
      <c r="M1" s="29"/>
    </row>
    <row r="2" spans="1:14" ht="24.75" customHeight="1">
      <c r="A2" s="27"/>
      <c r="B2" s="27"/>
      <c r="C2" s="28"/>
      <c r="D2" s="28"/>
      <c r="E2" s="165"/>
      <c r="F2" s="165"/>
      <c r="G2" s="165"/>
      <c r="H2" s="165"/>
      <c r="I2" s="165"/>
      <c r="J2" s="165"/>
      <c r="K2" s="165"/>
      <c r="L2" s="165"/>
      <c r="M2" s="29"/>
    </row>
    <row r="3" spans="1:14" ht="24.75" customHeight="1">
      <c r="A3" s="27"/>
      <c r="B3" s="27"/>
      <c r="C3" s="28"/>
      <c r="D3" s="28"/>
      <c r="E3" s="166" t="s">
        <v>79</v>
      </c>
      <c r="F3" s="166"/>
      <c r="G3" s="166"/>
      <c r="H3" s="166"/>
      <c r="I3" s="166"/>
      <c r="J3" s="166"/>
      <c r="K3" s="166"/>
      <c r="L3" s="166"/>
      <c r="M3" s="29"/>
    </row>
    <row r="4" spans="1:14" ht="24.75" customHeight="1">
      <c r="A4" s="164"/>
      <c r="B4" s="164"/>
      <c r="C4" s="28"/>
      <c r="D4" s="28"/>
      <c r="E4" s="166"/>
      <c r="F4" s="166"/>
      <c r="G4" s="166"/>
      <c r="H4" s="166"/>
      <c r="I4" s="166"/>
      <c r="J4" s="166"/>
      <c r="K4" s="166"/>
      <c r="L4" s="166"/>
      <c r="M4" s="29"/>
    </row>
    <row r="5" spans="1:14" ht="24.75" customHeight="1">
      <c r="A5" s="164"/>
      <c r="B5" s="164"/>
      <c r="C5" s="28"/>
      <c r="D5" s="28"/>
      <c r="E5" s="28"/>
      <c r="F5" s="29"/>
      <c r="G5" s="29"/>
      <c r="H5" s="29"/>
      <c r="I5" s="167"/>
      <c r="J5" s="167"/>
      <c r="K5" s="167"/>
      <c r="L5" s="167"/>
      <c r="M5" s="167"/>
    </row>
    <row r="6" spans="1:14" ht="24.75" customHeight="1">
      <c r="A6" s="31"/>
      <c r="B6" s="168" t="s">
        <v>2</v>
      </c>
      <c r="C6" s="168"/>
      <c r="D6" s="168" t="s">
        <v>460</v>
      </c>
      <c r="E6" s="168"/>
      <c r="F6" s="33"/>
      <c r="G6" s="33"/>
      <c r="H6" s="33"/>
      <c r="I6" s="33"/>
      <c r="J6" s="33"/>
      <c r="K6" s="33"/>
      <c r="L6" s="34"/>
      <c r="M6" s="33"/>
    </row>
    <row r="7" spans="1:14" ht="24.75" customHeight="1">
      <c r="A7" s="31"/>
      <c r="B7" s="168" t="s">
        <v>7</v>
      </c>
      <c r="C7" s="168"/>
      <c r="D7" s="168" t="s">
        <v>81</v>
      </c>
      <c r="E7" s="168"/>
      <c r="F7" s="33"/>
      <c r="G7" s="33"/>
      <c r="H7" s="33"/>
      <c r="I7" s="33"/>
      <c r="J7" s="33"/>
      <c r="K7" s="33"/>
      <c r="L7" s="34"/>
      <c r="M7" s="33"/>
    </row>
    <row r="8" spans="1:14" ht="24.75" customHeight="1">
      <c r="A8" s="35"/>
      <c r="B8" s="168" t="s">
        <v>10</v>
      </c>
      <c r="C8" s="168"/>
      <c r="D8" s="168" t="s">
        <v>81</v>
      </c>
      <c r="E8" s="168"/>
      <c r="F8" s="36"/>
      <c r="G8" s="36"/>
      <c r="H8" s="36"/>
      <c r="I8" s="36"/>
      <c r="J8" s="36"/>
      <c r="K8" s="36"/>
      <c r="L8" s="37"/>
      <c r="M8" s="36"/>
    </row>
    <row r="9" spans="1:14" s="38" customFormat="1" ht="24.75" customHeight="1">
      <c r="B9" s="168" t="s">
        <v>5</v>
      </c>
      <c r="C9" s="168"/>
      <c r="D9" s="173" t="s">
        <v>82</v>
      </c>
      <c r="E9" s="173"/>
      <c r="F9" s="40"/>
      <c r="G9" s="40"/>
      <c r="H9" s="40"/>
      <c r="I9" s="40"/>
      <c r="J9" s="40"/>
      <c r="K9" s="40"/>
      <c r="L9" s="41"/>
      <c r="M9" s="40"/>
    </row>
    <row r="10" spans="1:14" s="36" customFormat="1" ht="24.75" customHeight="1">
      <c r="B10" s="42" t="s">
        <v>12</v>
      </c>
      <c r="C10" s="42" t="s">
        <v>13</v>
      </c>
      <c r="D10" s="42" t="s">
        <v>15</v>
      </c>
      <c r="E10" s="42" t="s">
        <v>83</v>
      </c>
      <c r="F10" s="42" t="s">
        <v>84</v>
      </c>
      <c r="G10" s="42" t="s">
        <v>85</v>
      </c>
      <c r="H10" s="42" t="s">
        <v>86</v>
      </c>
      <c r="I10" s="42" t="s">
        <v>19</v>
      </c>
      <c r="J10" s="42" t="s">
        <v>20</v>
      </c>
      <c r="K10" s="42" t="s">
        <v>26</v>
      </c>
      <c r="L10" s="43" t="s">
        <v>24</v>
      </c>
      <c r="M10" s="42" t="s">
        <v>27</v>
      </c>
      <c r="N10" s="42" t="s">
        <v>28</v>
      </c>
    </row>
    <row r="11" spans="1:14" s="44" customFormat="1" ht="24.75" customHeight="1">
      <c r="B11" s="45">
        <v>1</v>
      </c>
      <c r="C11" s="45" t="s">
        <v>408</v>
      </c>
      <c r="D11" s="45" t="s">
        <v>461</v>
      </c>
      <c r="E11" s="45" t="s">
        <v>462</v>
      </c>
      <c r="F11" s="45" t="s">
        <v>463</v>
      </c>
      <c r="G11" s="45" t="s">
        <v>91</v>
      </c>
      <c r="H11" s="45" t="s">
        <v>464</v>
      </c>
      <c r="I11" s="45">
        <v>2</v>
      </c>
      <c r="J11" s="45">
        <v>46</v>
      </c>
      <c r="K11" s="45" t="s">
        <v>465</v>
      </c>
      <c r="L11" s="46" t="s">
        <v>94</v>
      </c>
      <c r="M11" s="45">
        <v>777.4</v>
      </c>
      <c r="N11" s="47"/>
    </row>
    <row r="12" spans="1:14" ht="24.75" customHeight="1">
      <c r="B12" s="45">
        <v>2</v>
      </c>
      <c r="C12" s="45" t="s">
        <v>408</v>
      </c>
      <c r="D12" s="45" t="s">
        <v>461</v>
      </c>
      <c r="E12" s="45" t="s">
        <v>462</v>
      </c>
      <c r="F12" s="45" t="s">
        <v>463</v>
      </c>
      <c r="G12" s="45" t="s">
        <v>91</v>
      </c>
      <c r="H12" s="45" t="s">
        <v>464</v>
      </c>
      <c r="I12" s="45">
        <v>2</v>
      </c>
      <c r="J12" s="45">
        <v>46</v>
      </c>
      <c r="K12" s="45" t="s">
        <v>95</v>
      </c>
      <c r="L12" s="46" t="s">
        <v>96</v>
      </c>
      <c r="M12" s="45">
        <v>200</v>
      </c>
      <c r="N12" s="47"/>
    </row>
    <row r="13" spans="1:14" ht="24.75" customHeight="1">
      <c r="B13" s="45">
        <v>3</v>
      </c>
      <c r="C13" s="45" t="s">
        <v>408</v>
      </c>
      <c r="D13" s="45" t="s">
        <v>466</v>
      </c>
      <c r="E13" s="45" t="s">
        <v>467</v>
      </c>
      <c r="F13" s="45" t="s">
        <v>124</v>
      </c>
      <c r="G13" s="45" t="s">
        <v>125</v>
      </c>
      <c r="H13" s="45" t="s">
        <v>468</v>
      </c>
      <c r="I13" s="45">
        <v>15</v>
      </c>
      <c r="J13" s="45">
        <v>352</v>
      </c>
      <c r="K13" s="45" t="s">
        <v>469</v>
      </c>
      <c r="L13" s="46" t="s">
        <v>94</v>
      </c>
      <c r="M13" s="45">
        <v>2323.1999999999998</v>
      </c>
      <c r="N13" s="47"/>
    </row>
    <row r="14" spans="1:14" ht="24.75" customHeight="1">
      <c r="B14" s="45">
        <v>4</v>
      </c>
      <c r="C14" s="45" t="s">
        <v>408</v>
      </c>
      <c r="D14" s="45" t="s">
        <v>466</v>
      </c>
      <c r="E14" s="45" t="s">
        <v>467</v>
      </c>
      <c r="F14" s="45" t="s">
        <v>124</v>
      </c>
      <c r="G14" s="45" t="s">
        <v>125</v>
      </c>
      <c r="H14" s="45" t="s">
        <v>468</v>
      </c>
      <c r="I14" s="45">
        <v>15</v>
      </c>
      <c r="J14" s="45">
        <v>352</v>
      </c>
      <c r="K14" s="45" t="s">
        <v>106</v>
      </c>
      <c r="L14" s="46" t="s">
        <v>96</v>
      </c>
      <c r="M14" s="45">
        <v>250</v>
      </c>
      <c r="N14" s="47"/>
    </row>
    <row r="15" spans="1:14" ht="24.75" customHeight="1">
      <c r="B15" s="45">
        <v>5</v>
      </c>
      <c r="C15" s="45" t="s">
        <v>470</v>
      </c>
      <c r="D15" s="45" t="s">
        <v>471</v>
      </c>
      <c r="E15" s="45" t="s">
        <v>472</v>
      </c>
      <c r="F15" s="45" t="s">
        <v>90</v>
      </c>
      <c r="G15" s="45" t="s">
        <v>91</v>
      </c>
      <c r="H15" s="45" t="s">
        <v>92</v>
      </c>
      <c r="I15" s="45">
        <v>3</v>
      </c>
      <c r="J15" s="45">
        <v>38</v>
      </c>
      <c r="K15" s="45" t="s">
        <v>148</v>
      </c>
      <c r="L15" s="46" t="s">
        <v>94</v>
      </c>
      <c r="M15" s="45">
        <v>167.2</v>
      </c>
      <c r="N15" s="47"/>
    </row>
    <row r="16" spans="1:14" ht="24.75" customHeight="1">
      <c r="B16" s="45">
        <v>6</v>
      </c>
      <c r="C16" s="45" t="s">
        <v>470</v>
      </c>
      <c r="D16" s="45" t="s">
        <v>471</v>
      </c>
      <c r="E16" s="45" t="s">
        <v>472</v>
      </c>
      <c r="F16" s="45" t="s">
        <v>90</v>
      </c>
      <c r="G16" s="45" t="s">
        <v>91</v>
      </c>
      <c r="H16" s="45" t="s">
        <v>92</v>
      </c>
      <c r="I16" s="45">
        <v>3</v>
      </c>
      <c r="J16" s="45">
        <v>38</v>
      </c>
      <c r="K16" s="45" t="s">
        <v>95</v>
      </c>
      <c r="L16" s="46" t="s">
        <v>96</v>
      </c>
      <c r="M16" s="45">
        <v>200</v>
      </c>
      <c r="N16" s="47"/>
    </row>
    <row r="17" spans="2:14" ht="24.75" customHeight="1">
      <c r="B17" s="45">
        <v>7</v>
      </c>
      <c r="C17" s="45" t="s">
        <v>470</v>
      </c>
      <c r="D17" s="45" t="s">
        <v>473</v>
      </c>
      <c r="E17" s="45" t="s">
        <v>474</v>
      </c>
      <c r="F17" s="45" t="s">
        <v>475</v>
      </c>
      <c r="G17" s="45" t="s">
        <v>91</v>
      </c>
      <c r="H17" s="45" t="s">
        <v>141</v>
      </c>
      <c r="I17" s="45">
        <v>10</v>
      </c>
      <c r="J17" s="45">
        <v>178</v>
      </c>
      <c r="K17" s="45" t="s">
        <v>476</v>
      </c>
      <c r="L17" s="46" t="s">
        <v>94</v>
      </c>
      <c r="M17" s="45">
        <v>1673.2</v>
      </c>
      <c r="N17" s="47"/>
    </row>
    <row r="18" spans="2:14" ht="24.75" customHeight="1">
      <c r="B18" s="45">
        <v>8</v>
      </c>
      <c r="C18" s="45" t="s">
        <v>470</v>
      </c>
      <c r="D18" s="45" t="s">
        <v>473</v>
      </c>
      <c r="E18" s="45" t="s">
        <v>474</v>
      </c>
      <c r="F18" s="45" t="s">
        <v>475</v>
      </c>
      <c r="G18" s="45" t="s">
        <v>91</v>
      </c>
      <c r="H18" s="45" t="s">
        <v>141</v>
      </c>
      <c r="I18" s="45">
        <v>10</v>
      </c>
      <c r="J18" s="45">
        <v>178</v>
      </c>
      <c r="K18" s="45" t="s">
        <v>95</v>
      </c>
      <c r="L18" s="46" t="s">
        <v>96</v>
      </c>
      <c r="M18" s="45">
        <v>200</v>
      </c>
      <c r="N18" s="47"/>
    </row>
    <row r="19" spans="2:14" ht="24.75" customHeight="1">
      <c r="B19" s="45">
        <v>9</v>
      </c>
      <c r="C19" s="45" t="s">
        <v>470</v>
      </c>
      <c r="D19" s="45" t="s">
        <v>477</v>
      </c>
      <c r="E19" s="45" t="s">
        <v>478</v>
      </c>
      <c r="F19" s="45" t="s">
        <v>90</v>
      </c>
      <c r="G19" s="45" t="s">
        <v>91</v>
      </c>
      <c r="H19" s="45" t="s">
        <v>141</v>
      </c>
      <c r="I19" s="45">
        <v>10</v>
      </c>
      <c r="J19" s="45">
        <v>178</v>
      </c>
      <c r="K19" s="45" t="s">
        <v>196</v>
      </c>
      <c r="L19" s="46" t="s">
        <v>94</v>
      </c>
      <c r="M19" s="45">
        <v>729.8</v>
      </c>
      <c r="N19" s="47"/>
    </row>
    <row r="20" spans="2:14" ht="24.75" customHeight="1">
      <c r="B20" s="45">
        <v>10</v>
      </c>
      <c r="C20" s="45" t="s">
        <v>470</v>
      </c>
      <c r="D20" s="45" t="s">
        <v>477</v>
      </c>
      <c r="E20" s="45" t="s">
        <v>478</v>
      </c>
      <c r="F20" s="45" t="s">
        <v>90</v>
      </c>
      <c r="G20" s="45" t="s">
        <v>91</v>
      </c>
      <c r="H20" s="45" t="s">
        <v>141</v>
      </c>
      <c r="I20" s="45">
        <v>10</v>
      </c>
      <c r="J20" s="45">
        <v>178</v>
      </c>
      <c r="K20" s="45" t="s">
        <v>95</v>
      </c>
      <c r="L20" s="46" t="s">
        <v>96</v>
      </c>
      <c r="M20" s="45">
        <v>200</v>
      </c>
      <c r="N20" s="47"/>
    </row>
    <row r="21" spans="2:14" ht="24.75" customHeight="1">
      <c r="B21" s="45">
        <v>11</v>
      </c>
      <c r="C21" s="45" t="s">
        <v>470</v>
      </c>
      <c r="D21" s="45" t="s">
        <v>479</v>
      </c>
      <c r="E21" s="45" t="s">
        <v>480</v>
      </c>
      <c r="F21" s="45" t="s">
        <v>90</v>
      </c>
      <c r="G21" s="45" t="s">
        <v>91</v>
      </c>
      <c r="H21" s="45" t="s">
        <v>481</v>
      </c>
      <c r="I21" s="45">
        <v>25</v>
      </c>
      <c r="J21" s="45">
        <v>344</v>
      </c>
      <c r="K21" s="45" t="s">
        <v>482</v>
      </c>
      <c r="L21" s="46" t="s">
        <v>94</v>
      </c>
      <c r="M21" s="45">
        <v>1582.4</v>
      </c>
      <c r="N21" s="47"/>
    </row>
    <row r="22" spans="2:14" ht="24.75" customHeight="1">
      <c r="B22" s="45">
        <v>12</v>
      </c>
      <c r="C22" s="45" t="s">
        <v>470</v>
      </c>
      <c r="D22" s="45" t="s">
        <v>483</v>
      </c>
      <c r="E22" s="45" t="s">
        <v>484</v>
      </c>
      <c r="F22" s="45" t="s">
        <v>90</v>
      </c>
      <c r="G22" s="45" t="s">
        <v>91</v>
      </c>
      <c r="H22" s="45" t="s">
        <v>147</v>
      </c>
      <c r="I22" s="45">
        <v>70</v>
      </c>
      <c r="J22" s="45">
        <v>975</v>
      </c>
      <c r="K22" s="45" t="s">
        <v>93</v>
      </c>
      <c r="L22" s="46" t="s">
        <v>94</v>
      </c>
      <c r="M22" s="45">
        <v>3510</v>
      </c>
      <c r="N22" s="47"/>
    </row>
    <row r="23" spans="2:14" ht="24.75" customHeight="1">
      <c r="B23" s="45">
        <v>13</v>
      </c>
      <c r="C23" s="45" t="s">
        <v>470</v>
      </c>
      <c r="D23" s="45" t="s">
        <v>485</v>
      </c>
      <c r="E23" s="45" t="s">
        <v>486</v>
      </c>
      <c r="F23" s="45" t="s">
        <v>90</v>
      </c>
      <c r="G23" s="45" t="s">
        <v>91</v>
      </c>
      <c r="H23" s="45" t="s">
        <v>38</v>
      </c>
      <c r="I23" s="45">
        <v>128</v>
      </c>
      <c r="J23" s="45">
        <v>2201</v>
      </c>
      <c r="K23" s="45" t="s">
        <v>153</v>
      </c>
      <c r="L23" s="46" t="s">
        <v>94</v>
      </c>
      <c r="M23" s="45">
        <v>10784.9</v>
      </c>
      <c r="N23" s="47"/>
    </row>
    <row r="24" spans="2:14" ht="24.75" customHeight="1">
      <c r="B24" s="45">
        <v>14</v>
      </c>
      <c r="C24" s="45" t="s">
        <v>470</v>
      </c>
      <c r="D24" s="45" t="s">
        <v>485</v>
      </c>
      <c r="E24" s="45" t="s">
        <v>486</v>
      </c>
      <c r="F24" s="45" t="s">
        <v>90</v>
      </c>
      <c r="G24" s="45" t="s">
        <v>91</v>
      </c>
      <c r="H24" s="45" t="s">
        <v>38</v>
      </c>
      <c r="I24" s="45">
        <v>128</v>
      </c>
      <c r="J24" s="45">
        <v>2201</v>
      </c>
      <c r="K24" s="45" t="s">
        <v>95</v>
      </c>
      <c r="L24" s="46" t="s">
        <v>96</v>
      </c>
      <c r="M24" s="45">
        <v>200</v>
      </c>
      <c r="N24" s="47"/>
    </row>
    <row r="25" spans="2:14" ht="24.75" customHeight="1">
      <c r="B25" s="45">
        <v>15</v>
      </c>
      <c r="C25" s="45" t="s">
        <v>470</v>
      </c>
      <c r="D25" s="45" t="s">
        <v>487</v>
      </c>
      <c r="E25" s="45" t="s">
        <v>488</v>
      </c>
      <c r="F25" s="45" t="s">
        <v>90</v>
      </c>
      <c r="G25" s="45" t="s">
        <v>91</v>
      </c>
      <c r="H25" s="45" t="s">
        <v>92</v>
      </c>
      <c r="I25" s="45">
        <v>18</v>
      </c>
      <c r="J25" s="45">
        <v>285</v>
      </c>
      <c r="K25" s="45" t="s">
        <v>489</v>
      </c>
      <c r="L25" s="46" t="s">
        <v>94</v>
      </c>
      <c r="M25" s="45">
        <v>1282.5</v>
      </c>
      <c r="N25" s="47"/>
    </row>
    <row r="26" spans="2:14" ht="24.75" customHeight="1">
      <c r="B26" s="45">
        <v>16</v>
      </c>
      <c r="C26" s="45" t="s">
        <v>470</v>
      </c>
      <c r="D26" s="45" t="s">
        <v>490</v>
      </c>
      <c r="E26" s="45" t="s">
        <v>491</v>
      </c>
      <c r="F26" s="45" t="s">
        <v>90</v>
      </c>
      <c r="G26" s="45" t="s">
        <v>91</v>
      </c>
      <c r="H26" s="45" t="s">
        <v>147</v>
      </c>
      <c r="I26" s="45">
        <v>5</v>
      </c>
      <c r="J26" s="45">
        <v>113</v>
      </c>
      <c r="K26" s="45" t="s">
        <v>112</v>
      </c>
      <c r="L26" s="46" t="s">
        <v>94</v>
      </c>
      <c r="M26" s="45">
        <v>542.4</v>
      </c>
      <c r="N26" s="47"/>
    </row>
    <row r="27" spans="2:14" ht="24.75" customHeight="1">
      <c r="B27" s="45">
        <v>17</v>
      </c>
      <c r="C27" s="45" t="s">
        <v>492</v>
      </c>
      <c r="D27" s="45" t="s">
        <v>493</v>
      </c>
      <c r="E27" s="45" t="s">
        <v>494</v>
      </c>
      <c r="F27" s="45" t="s">
        <v>495</v>
      </c>
      <c r="G27" s="45" t="s">
        <v>349</v>
      </c>
      <c r="H27" s="45" t="s">
        <v>496</v>
      </c>
      <c r="I27" s="45">
        <v>22</v>
      </c>
      <c r="J27" s="45">
        <v>1.0900000000000001</v>
      </c>
      <c r="K27" s="45" t="s">
        <v>497</v>
      </c>
      <c r="L27" s="46" t="s">
        <v>94</v>
      </c>
      <c r="M27" s="45">
        <v>850.2</v>
      </c>
      <c r="N27" s="47"/>
    </row>
    <row r="28" spans="2:14" ht="24.75" customHeight="1">
      <c r="B28" s="45">
        <v>18</v>
      </c>
      <c r="C28" s="45" t="s">
        <v>492</v>
      </c>
      <c r="D28" s="45" t="s">
        <v>493</v>
      </c>
      <c r="E28" s="45" t="s">
        <v>494</v>
      </c>
      <c r="F28" s="45" t="s">
        <v>495</v>
      </c>
      <c r="G28" s="45" t="s">
        <v>349</v>
      </c>
      <c r="H28" s="45" t="s">
        <v>496</v>
      </c>
      <c r="I28" s="45">
        <v>22</v>
      </c>
      <c r="J28" s="45">
        <v>1.0900000000000001</v>
      </c>
      <c r="K28" s="45" t="s">
        <v>106</v>
      </c>
      <c r="L28" s="46" t="s">
        <v>96</v>
      </c>
      <c r="M28" s="45">
        <v>250</v>
      </c>
      <c r="N28" s="47"/>
    </row>
    <row r="29" spans="2:14" ht="24.75" customHeight="1">
      <c r="B29" s="45">
        <v>19</v>
      </c>
      <c r="C29" s="45" t="s">
        <v>492</v>
      </c>
      <c r="D29" s="45" t="s">
        <v>493</v>
      </c>
      <c r="E29" s="45" t="s">
        <v>494</v>
      </c>
      <c r="F29" s="45" t="s">
        <v>495</v>
      </c>
      <c r="G29" s="45" t="s">
        <v>349</v>
      </c>
      <c r="H29" s="45" t="s">
        <v>496</v>
      </c>
      <c r="I29" s="45">
        <v>22</v>
      </c>
      <c r="J29" s="45">
        <v>1.0900000000000001</v>
      </c>
      <c r="K29" s="45" t="s">
        <v>95</v>
      </c>
      <c r="L29" s="46" t="s">
        <v>498</v>
      </c>
      <c r="M29" s="45">
        <v>200</v>
      </c>
      <c r="N29" s="47"/>
    </row>
    <row r="30" spans="2:14" ht="24.75" customHeight="1">
      <c r="B30" s="45">
        <v>20</v>
      </c>
      <c r="C30" s="45" t="s">
        <v>492</v>
      </c>
      <c r="D30" s="45" t="s">
        <v>493</v>
      </c>
      <c r="E30" s="45" t="s">
        <v>494</v>
      </c>
      <c r="F30" s="45" t="s">
        <v>495</v>
      </c>
      <c r="G30" s="45" t="s">
        <v>349</v>
      </c>
      <c r="H30" s="45" t="s">
        <v>496</v>
      </c>
      <c r="I30" s="45">
        <v>22</v>
      </c>
      <c r="J30" s="45">
        <v>1.0900000000000001</v>
      </c>
      <c r="K30" s="45" t="s">
        <v>499</v>
      </c>
      <c r="L30" s="46" t="s">
        <v>500</v>
      </c>
      <c r="M30" s="45" t="s">
        <v>501</v>
      </c>
      <c r="N30" s="47" t="s">
        <v>502</v>
      </c>
    </row>
    <row r="31" spans="2:14" ht="24.75" customHeight="1">
      <c r="B31" s="45">
        <v>21</v>
      </c>
      <c r="C31" s="45" t="s">
        <v>418</v>
      </c>
      <c r="D31" s="45" t="s">
        <v>503</v>
      </c>
      <c r="E31" s="45" t="s">
        <v>504</v>
      </c>
      <c r="F31" s="45" t="s">
        <v>90</v>
      </c>
      <c r="G31" s="45" t="s">
        <v>91</v>
      </c>
      <c r="H31" s="45" t="s">
        <v>92</v>
      </c>
      <c r="I31" s="45">
        <v>110</v>
      </c>
      <c r="J31" s="45">
        <v>1821</v>
      </c>
      <c r="K31" s="45" t="s">
        <v>505</v>
      </c>
      <c r="L31" s="46" t="s">
        <v>94</v>
      </c>
      <c r="M31" s="45">
        <v>9013.9500000000007</v>
      </c>
      <c r="N31" s="47"/>
    </row>
    <row r="32" spans="2:14" ht="24.75" customHeight="1">
      <c r="B32" s="45">
        <v>22</v>
      </c>
      <c r="C32" s="45" t="s">
        <v>418</v>
      </c>
      <c r="D32" s="45" t="s">
        <v>503</v>
      </c>
      <c r="E32" s="45" t="s">
        <v>504</v>
      </c>
      <c r="F32" s="45" t="s">
        <v>90</v>
      </c>
      <c r="G32" s="45" t="s">
        <v>91</v>
      </c>
      <c r="H32" s="45" t="s">
        <v>92</v>
      </c>
      <c r="I32" s="45">
        <v>110</v>
      </c>
      <c r="J32" s="45">
        <v>1821</v>
      </c>
      <c r="K32" s="45" t="s">
        <v>95</v>
      </c>
      <c r="L32" s="46" t="s">
        <v>96</v>
      </c>
      <c r="M32" s="45">
        <v>200</v>
      </c>
      <c r="N32" s="47"/>
    </row>
    <row r="33" spans="2:14" ht="24.75" customHeight="1">
      <c r="B33" s="45">
        <v>23</v>
      </c>
      <c r="C33" s="45" t="s">
        <v>506</v>
      </c>
      <c r="D33" s="45" t="s">
        <v>507</v>
      </c>
      <c r="E33" s="45" t="s">
        <v>508</v>
      </c>
      <c r="F33" s="45" t="s">
        <v>90</v>
      </c>
      <c r="G33" s="45" t="s">
        <v>91</v>
      </c>
      <c r="H33" s="45" t="s">
        <v>218</v>
      </c>
      <c r="I33" s="45">
        <v>104</v>
      </c>
      <c r="J33" s="45">
        <v>1503</v>
      </c>
      <c r="K33" s="45" t="s">
        <v>509</v>
      </c>
      <c r="L33" s="46" t="s">
        <v>94</v>
      </c>
      <c r="M33" s="45">
        <v>6387.75</v>
      </c>
      <c r="N33" s="47"/>
    </row>
    <row r="34" spans="2:14" ht="24.75" customHeight="1">
      <c r="B34" s="45">
        <v>24</v>
      </c>
      <c r="C34" s="45" t="s">
        <v>506</v>
      </c>
      <c r="D34" s="45" t="s">
        <v>507</v>
      </c>
      <c r="E34" s="45" t="s">
        <v>508</v>
      </c>
      <c r="F34" s="45" t="s">
        <v>90</v>
      </c>
      <c r="G34" s="45" t="s">
        <v>91</v>
      </c>
      <c r="H34" s="45" t="s">
        <v>218</v>
      </c>
      <c r="I34" s="45">
        <v>104</v>
      </c>
      <c r="J34" s="45">
        <v>1503</v>
      </c>
      <c r="K34" s="45" t="s">
        <v>95</v>
      </c>
      <c r="L34" s="46" t="s">
        <v>96</v>
      </c>
      <c r="M34" s="45">
        <v>200</v>
      </c>
      <c r="N34" s="47"/>
    </row>
    <row r="35" spans="2:14" ht="24.75" customHeight="1">
      <c r="B35" s="45">
        <v>25</v>
      </c>
      <c r="C35" s="45" t="s">
        <v>506</v>
      </c>
      <c r="D35" s="45" t="s">
        <v>507</v>
      </c>
      <c r="E35" s="45" t="s">
        <v>508</v>
      </c>
      <c r="F35" s="45" t="s">
        <v>90</v>
      </c>
      <c r="G35" s="45" t="s">
        <v>91</v>
      </c>
      <c r="H35" s="45" t="s">
        <v>218</v>
      </c>
      <c r="I35" s="45">
        <v>104</v>
      </c>
      <c r="J35" s="45">
        <v>1503</v>
      </c>
      <c r="K35" s="45" t="s">
        <v>97</v>
      </c>
      <c r="L35" s="46" t="s">
        <v>98</v>
      </c>
      <c r="M35" s="45">
        <v>50</v>
      </c>
      <c r="N35" s="47"/>
    </row>
    <row r="36" spans="2:14" ht="24.75" customHeight="1">
      <c r="B36" s="45">
        <v>26</v>
      </c>
      <c r="C36" s="45" t="s">
        <v>506</v>
      </c>
      <c r="D36" s="45" t="s">
        <v>510</v>
      </c>
      <c r="E36" s="45" t="s">
        <v>511</v>
      </c>
      <c r="F36" s="45" t="s">
        <v>90</v>
      </c>
      <c r="G36" s="45" t="s">
        <v>91</v>
      </c>
      <c r="H36" s="45" t="s">
        <v>45</v>
      </c>
      <c r="I36" s="45">
        <v>44</v>
      </c>
      <c r="J36" s="45">
        <v>657</v>
      </c>
      <c r="K36" s="45" t="s">
        <v>133</v>
      </c>
      <c r="L36" s="46" t="s">
        <v>94</v>
      </c>
      <c r="M36" s="45">
        <v>2759.4</v>
      </c>
      <c r="N36" s="47"/>
    </row>
    <row r="37" spans="2:14" ht="24.75" customHeight="1">
      <c r="B37" s="45">
        <v>27</v>
      </c>
      <c r="C37" s="45" t="s">
        <v>506</v>
      </c>
      <c r="D37" s="45" t="s">
        <v>510</v>
      </c>
      <c r="E37" s="45" t="s">
        <v>511</v>
      </c>
      <c r="F37" s="45" t="s">
        <v>90</v>
      </c>
      <c r="G37" s="45" t="s">
        <v>91</v>
      </c>
      <c r="H37" s="45" t="s">
        <v>45</v>
      </c>
      <c r="I37" s="45">
        <v>44</v>
      </c>
      <c r="J37" s="45">
        <v>657</v>
      </c>
      <c r="K37" s="45" t="s">
        <v>95</v>
      </c>
      <c r="L37" s="46" t="s">
        <v>96</v>
      </c>
      <c r="M37" s="45">
        <v>200</v>
      </c>
      <c r="N37" s="47"/>
    </row>
    <row r="38" spans="2:14" ht="24.75" customHeight="1">
      <c r="B38" s="45">
        <v>28</v>
      </c>
      <c r="C38" s="45" t="s">
        <v>506</v>
      </c>
      <c r="D38" s="45" t="s">
        <v>512</v>
      </c>
      <c r="E38" s="45" t="s">
        <v>513</v>
      </c>
      <c r="F38" s="45" t="s">
        <v>90</v>
      </c>
      <c r="G38" s="45" t="s">
        <v>91</v>
      </c>
      <c r="H38" s="45" t="s">
        <v>52</v>
      </c>
      <c r="I38" s="45">
        <v>59</v>
      </c>
      <c r="J38" s="45">
        <v>780</v>
      </c>
      <c r="K38" s="45" t="s">
        <v>514</v>
      </c>
      <c r="L38" s="46" t="s">
        <v>94</v>
      </c>
      <c r="M38" s="45">
        <v>3393</v>
      </c>
      <c r="N38" s="47"/>
    </row>
    <row r="39" spans="2:14" ht="24.75" customHeight="1">
      <c r="B39" s="45">
        <v>29</v>
      </c>
      <c r="C39" s="45" t="s">
        <v>506</v>
      </c>
      <c r="D39" s="45" t="s">
        <v>512</v>
      </c>
      <c r="E39" s="45" t="s">
        <v>513</v>
      </c>
      <c r="F39" s="45" t="s">
        <v>90</v>
      </c>
      <c r="G39" s="45" t="s">
        <v>91</v>
      </c>
      <c r="H39" s="45" t="s">
        <v>52</v>
      </c>
      <c r="I39" s="45">
        <v>59</v>
      </c>
      <c r="J39" s="45">
        <v>780</v>
      </c>
      <c r="K39" s="45" t="s">
        <v>95</v>
      </c>
      <c r="L39" s="46" t="s">
        <v>96</v>
      </c>
      <c r="M39" s="45">
        <v>200</v>
      </c>
      <c r="N39" s="47"/>
    </row>
    <row r="40" spans="2:14" ht="24.75" customHeight="1">
      <c r="B40" s="45">
        <v>30</v>
      </c>
      <c r="C40" s="45" t="s">
        <v>515</v>
      </c>
      <c r="D40" s="45" t="s">
        <v>516</v>
      </c>
      <c r="E40" s="45" t="s">
        <v>517</v>
      </c>
      <c r="F40" s="45" t="s">
        <v>518</v>
      </c>
      <c r="G40" s="45" t="s">
        <v>91</v>
      </c>
      <c r="H40" s="45" t="s">
        <v>519</v>
      </c>
      <c r="I40" s="45">
        <v>10</v>
      </c>
      <c r="J40" s="45">
        <v>158</v>
      </c>
      <c r="K40" s="45" t="s">
        <v>520</v>
      </c>
      <c r="L40" s="46" t="s">
        <v>94</v>
      </c>
      <c r="M40" s="45">
        <v>932.2</v>
      </c>
      <c r="N40" s="47"/>
    </row>
    <row r="41" spans="2:14" ht="24.75" customHeight="1">
      <c r="B41" s="45">
        <v>31</v>
      </c>
      <c r="C41" s="45" t="s">
        <v>515</v>
      </c>
      <c r="D41" s="45" t="s">
        <v>516</v>
      </c>
      <c r="E41" s="45" t="s">
        <v>517</v>
      </c>
      <c r="F41" s="45" t="s">
        <v>518</v>
      </c>
      <c r="G41" s="45" t="s">
        <v>91</v>
      </c>
      <c r="H41" s="45" t="s">
        <v>519</v>
      </c>
      <c r="I41" s="45">
        <v>10</v>
      </c>
      <c r="J41" s="45">
        <v>158</v>
      </c>
      <c r="K41" s="45" t="s">
        <v>95</v>
      </c>
      <c r="L41" s="46" t="s">
        <v>96</v>
      </c>
      <c r="M41" s="45">
        <v>200</v>
      </c>
      <c r="N41" s="47"/>
    </row>
    <row r="42" spans="2:14" ht="24.75" customHeight="1">
      <c r="B42" s="45">
        <v>32</v>
      </c>
      <c r="C42" s="45" t="s">
        <v>515</v>
      </c>
      <c r="D42" s="45" t="s">
        <v>521</v>
      </c>
      <c r="E42" s="45" t="s">
        <v>522</v>
      </c>
      <c r="F42" s="45" t="s">
        <v>523</v>
      </c>
      <c r="G42" s="45" t="s">
        <v>91</v>
      </c>
      <c r="H42" s="45" t="s">
        <v>524</v>
      </c>
      <c r="I42" s="45">
        <v>10</v>
      </c>
      <c r="J42" s="45">
        <v>158</v>
      </c>
      <c r="K42" s="45" t="s">
        <v>525</v>
      </c>
      <c r="L42" s="46" t="s">
        <v>94</v>
      </c>
      <c r="M42" s="45">
        <v>995.4</v>
      </c>
      <c r="N42" s="47"/>
    </row>
    <row r="43" spans="2:14" ht="24.75" customHeight="1">
      <c r="B43" s="45">
        <v>33</v>
      </c>
      <c r="C43" s="45" t="s">
        <v>515</v>
      </c>
      <c r="D43" s="45" t="s">
        <v>521</v>
      </c>
      <c r="E43" s="45" t="s">
        <v>522</v>
      </c>
      <c r="F43" s="45" t="s">
        <v>523</v>
      </c>
      <c r="G43" s="45" t="s">
        <v>91</v>
      </c>
      <c r="H43" s="45" t="s">
        <v>524</v>
      </c>
      <c r="I43" s="45">
        <v>10</v>
      </c>
      <c r="J43" s="45">
        <v>158</v>
      </c>
      <c r="K43" s="45" t="s">
        <v>95</v>
      </c>
      <c r="L43" s="46" t="s">
        <v>96</v>
      </c>
      <c r="M43" s="45">
        <v>200</v>
      </c>
      <c r="N43" s="47"/>
    </row>
    <row r="44" spans="2:14" ht="24.75" customHeight="1">
      <c r="B44" s="45">
        <v>34</v>
      </c>
      <c r="C44" s="45" t="s">
        <v>515</v>
      </c>
      <c r="D44" s="45" t="s">
        <v>526</v>
      </c>
      <c r="E44" s="45" t="s">
        <v>527</v>
      </c>
      <c r="F44" s="45" t="s">
        <v>518</v>
      </c>
      <c r="G44" s="45" t="s">
        <v>91</v>
      </c>
      <c r="H44" s="45" t="s">
        <v>528</v>
      </c>
      <c r="I44" s="45">
        <v>10</v>
      </c>
      <c r="J44" s="45">
        <v>158</v>
      </c>
      <c r="K44" s="45" t="s">
        <v>469</v>
      </c>
      <c r="L44" s="46" t="s">
        <v>94</v>
      </c>
      <c r="M44" s="45">
        <v>1042.8</v>
      </c>
      <c r="N44" s="47"/>
    </row>
    <row r="45" spans="2:14" ht="24.75" customHeight="1">
      <c r="B45" s="45">
        <v>35</v>
      </c>
      <c r="C45" s="45" t="s">
        <v>515</v>
      </c>
      <c r="D45" s="45" t="s">
        <v>526</v>
      </c>
      <c r="E45" s="45" t="s">
        <v>527</v>
      </c>
      <c r="F45" s="45" t="s">
        <v>518</v>
      </c>
      <c r="G45" s="45" t="s">
        <v>91</v>
      </c>
      <c r="H45" s="45" t="s">
        <v>528</v>
      </c>
      <c r="I45" s="45">
        <v>10</v>
      </c>
      <c r="J45" s="45">
        <v>158</v>
      </c>
      <c r="K45" s="45" t="s">
        <v>95</v>
      </c>
      <c r="L45" s="46" t="s">
        <v>96</v>
      </c>
      <c r="M45" s="45">
        <v>200</v>
      </c>
      <c r="N45" s="47"/>
    </row>
    <row r="46" spans="2:14" ht="24.75" customHeight="1">
      <c r="B46" s="45">
        <v>36</v>
      </c>
      <c r="C46" s="45" t="s">
        <v>515</v>
      </c>
      <c r="D46" s="45" t="s">
        <v>529</v>
      </c>
      <c r="E46" s="45" t="s">
        <v>530</v>
      </c>
      <c r="F46" s="45" t="s">
        <v>523</v>
      </c>
      <c r="G46" s="45" t="s">
        <v>91</v>
      </c>
      <c r="H46" s="45" t="s">
        <v>210</v>
      </c>
      <c r="I46" s="45">
        <v>10</v>
      </c>
      <c r="J46" s="45">
        <v>158</v>
      </c>
      <c r="K46" s="45" t="s">
        <v>127</v>
      </c>
      <c r="L46" s="46" t="s">
        <v>94</v>
      </c>
      <c r="M46" s="45">
        <v>853.2</v>
      </c>
      <c r="N46" s="47"/>
    </row>
    <row r="47" spans="2:14" ht="24.75" customHeight="1">
      <c r="B47" s="45">
        <v>37</v>
      </c>
      <c r="C47" s="45" t="s">
        <v>515</v>
      </c>
      <c r="D47" s="45" t="s">
        <v>529</v>
      </c>
      <c r="E47" s="45" t="s">
        <v>530</v>
      </c>
      <c r="F47" s="45" t="s">
        <v>523</v>
      </c>
      <c r="G47" s="45" t="s">
        <v>91</v>
      </c>
      <c r="H47" s="45" t="s">
        <v>210</v>
      </c>
      <c r="I47" s="45">
        <v>10</v>
      </c>
      <c r="J47" s="45">
        <v>158</v>
      </c>
      <c r="K47" s="45" t="s">
        <v>95</v>
      </c>
      <c r="L47" s="46" t="s">
        <v>96</v>
      </c>
      <c r="M47" s="45">
        <v>200</v>
      </c>
      <c r="N47" s="47"/>
    </row>
    <row r="48" spans="2:14" ht="24.75" customHeight="1">
      <c r="B48" s="45">
        <v>38</v>
      </c>
      <c r="C48" s="45" t="s">
        <v>515</v>
      </c>
      <c r="D48" s="45" t="s">
        <v>531</v>
      </c>
      <c r="E48" s="45" t="s">
        <v>532</v>
      </c>
      <c r="F48" s="45" t="s">
        <v>90</v>
      </c>
      <c r="G48" s="45" t="s">
        <v>91</v>
      </c>
      <c r="H48" s="45" t="s">
        <v>533</v>
      </c>
      <c r="I48" s="45">
        <v>10</v>
      </c>
      <c r="J48" s="45">
        <v>158</v>
      </c>
      <c r="K48" s="45" t="s">
        <v>534</v>
      </c>
      <c r="L48" s="46" t="s">
        <v>94</v>
      </c>
      <c r="M48" s="45">
        <v>805.8</v>
      </c>
      <c r="N48" s="47"/>
    </row>
    <row r="49" spans="2:14" ht="24.75" customHeight="1">
      <c r="B49" s="45">
        <v>39</v>
      </c>
      <c r="C49" s="45" t="s">
        <v>515</v>
      </c>
      <c r="D49" s="45" t="s">
        <v>531</v>
      </c>
      <c r="E49" s="45" t="s">
        <v>532</v>
      </c>
      <c r="F49" s="45" t="s">
        <v>90</v>
      </c>
      <c r="G49" s="45" t="s">
        <v>91</v>
      </c>
      <c r="H49" s="45" t="s">
        <v>533</v>
      </c>
      <c r="I49" s="45">
        <v>10</v>
      </c>
      <c r="J49" s="45">
        <v>158</v>
      </c>
      <c r="K49" s="45" t="s">
        <v>95</v>
      </c>
      <c r="L49" s="46" t="s">
        <v>96</v>
      </c>
      <c r="M49" s="45">
        <v>200</v>
      </c>
      <c r="N49" s="47"/>
    </row>
    <row r="50" spans="2:14" ht="24.75" customHeight="1">
      <c r="B50" s="45">
        <v>40</v>
      </c>
      <c r="C50" s="45" t="s">
        <v>426</v>
      </c>
      <c r="D50" s="45" t="s">
        <v>535</v>
      </c>
      <c r="E50" s="45" t="s">
        <v>536</v>
      </c>
      <c r="F50" s="45" t="s">
        <v>90</v>
      </c>
      <c r="G50" s="45" t="s">
        <v>91</v>
      </c>
      <c r="H50" s="45" t="s">
        <v>218</v>
      </c>
      <c r="I50" s="45">
        <v>45</v>
      </c>
      <c r="J50" s="45">
        <v>680</v>
      </c>
      <c r="K50" s="45" t="s">
        <v>116</v>
      </c>
      <c r="L50" s="46" t="s">
        <v>94</v>
      </c>
      <c r="M50" s="45">
        <v>3536</v>
      </c>
      <c r="N50" s="47"/>
    </row>
    <row r="51" spans="2:14" ht="24.75" customHeight="1">
      <c r="B51" s="45">
        <v>41</v>
      </c>
      <c r="C51" s="45" t="s">
        <v>426</v>
      </c>
      <c r="D51" s="45" t="s">
        <v>535</v>
      </c>
      <c r="E51" s="45" t="s">
        <v>536</v>
      </c>
      <c r="F51" s="45" t="s">
        <v>90</v>
      </c>
      <c r="G51" s="45" t="s">
        <v>91</v>
      </c>
      <c r="H51" s="45" t="s">
        <v>218</v>
      </c>
      <c r="I51" s="45">
        <v>45</v>
      </c>
      <c r="J51" s="45">
        <v>680</v>
      </c>
      <c r="K51" s="45" t="s">
        <v>95</v>
      </c>
      <c r="L51" s="46" t="s">
        <v>96</v>
      </c>
      <c r="M51" s="45">
        <v>200</v>
      </c>
      <c r="N51" s="47"/>
    </row>
    <row r="52" spans="2:14" ht="24.75" customHeight="1">
      <c r="B52" s="45">
        <v>42</v>
      </c>
      <c r="C52" s="45" t="s">
        <v>426</v>
      </c>
      <c r="D52" s="45" t="s">
        <v>535</v>
      </c>
      <c r="E52" s="45" t="s">
        <v>536</v>
      </c>
      <c r="F52" s="45" t="s">
        <v>90</v>
      </c>
      <c r="G52" s="45" t="s">
        <v>91</v>
      </c>
      <c r="H52" s="45" t="s">
        <v>218</v>
      </c>
      <c r="I52" s="45">
        <v>45</v>
      </c>
      <c r="J52" s="45">
        <v>680</v>
      </c>
      <c r="K52" s="45" t="s">
        <v>97</v>
      </c>
      <c r="L52" s="46" t="s">
        <v>98</v>
      </c>
      <c r="M52" s="45">
        <v>50</v>
      </c>
      <c r="N52" s="47"/>
    </row>
    <row r="53" spans="2:14" ht="24.75" customHeight="1">
      <c r="B53" s="45">
        <v>43</v>
      </c>
      <c r="C53" s="45" t="s">
        <v>426</v>
      </c>
      <c r="D53" s="45" t="s">
        <v>537</v>
      </c>
      <c r="E53" s="45" t="s">
        <v>538</v>
      </c>
      <c r="F53" s="45" t="s">
        <v>90</v>
      </c>
      <c r="G53" s="45" t="s">
        <v>91</v>
      </c>
      <c r="H53" s="45" t="s">
        <v>52</v>
      </c>
      <c r="I53" s="45">
        <v>10</v>
      </c>
      <c r="J53" s="45">
        <v>208</v>
      </c>
      <c r="K53" s="45" t="s">
        <v>211</v>
      </c>
      <c r="L53" s="46" t="s">
        <v>94</v>
      </c>
      <c r="M53" s="45">
        <v>977.6</v>
      </c>
      <c r="N53" s="47"/>
    </row>
    <row r="54" spans="2:14" ht="24.75" customHeight="1">
      <c r="B54" s="45">
        <v>44</v>
      </c>
      <c r="C54" s="45" t="s">
        <v>426</v>
      </c>
      <c r="D54" s="45" t="s">
        <v>537</v>
      </c>
      <c r="E54" s="45" t="s">
        <v>538</v>
      </c>
      <c r="F54" s="45" t="s">
        <v>90</v>
      </c>
      <c r="G54" s="45" t="s">
        <v>91</v>
      </c>
      <c r="H54" s="45" t="s">
        <v>52</v>
      </c>
      <c r="I54" s="45">
        <v>10</v>
      </c>
      <c r="J54" s="45">
        <v>208</v>
      </c>
      <c r="K54" s="45" t="s">
        <v>95</v>
      </c>
      <c r="L54" s="46" t="s">
        <v>96</v>
      </c>
      <c r="M54" s="45">
        <v>200</v>
      </c>
      <c r="N54" s="47"/>
    </row>
    <row r="55" spans="2:14" ht="24.75" customHeight="1">
      <c r="B55" s="45">
        <v>45</v>
      </c>
      <c r="C55" s="45" t="s">
        <v>539</v>
      </c>
      <c r="D55" s="45" t="s">
        <v>540</v>
      </c>
      <c r="E55" s="45" t="s">
        <v>541</v>
      </c>
      <c r="F55" s="45" t="s">
        <v>90</v>
      </c>
      <c r="G55" s="45" t="s">
        <v>91</v>
      </c>
      <c r="H55" s="45" t="s">
        <v>218</v>
      </c>
      <c r="I55" s="45">
        <v>46</v>
      </c>
      <c r="J55" s="45">
        <v>640</v>
      </c>
      <c r="K55" s="45" t="s">
        <v>109</v>
      </c>
      <c r="L55" s="46" t="s">
        <v>94</v>
      </c>
      <c r="M55" s="45">
        <v>2560</v>
      </c>
      <c r="N55" s="47"/>
    </row>
    <row r="56" spans="2:14" ht="24.75" customHeight="1">
      <c r="B56" s="45">
        <v>46</v>
      </c>
      <c r="C56" s="45" t="s">
        <v>539</v>
      </c>
      <c r="D56" s="45" t="s">
        <v>542</v>
      </c>
      <c r="E56" s="45" t="s">
        <v>543</v>
      </c>
      <c r="F56" s="45" t="s">
        <v>90</v>
      </c>
      <c r="G56" s="45" t="s">
        <v>91</v>
      </c>
      <c r="H56" s="45" t="s">
        <v>141</v>
      </c>
      <c r="I56" s="45">
        <v>10</v>
      </c>
      <c r="J56" s="45">
        <v>139</v>
      </c>
      <c r="K56" s="45" t="s">
        <v>489</v>
      </c>
      <c r="L56" s="46" t="s">
        <v>94</v>
      </c>
      <c r="M56" s="45">
        <v>625.5</v>
      </c>
      <c r="N56" s="47"/>
    </row>
    <row r="57" spans="2:14" ht="24.75" customHeight="1">
      <c r="B57" s="45">
        <v>47</v>
      </c>
      <c r="C57" s="45" t="s">
        <v>544</v>
      </c>
      <c r="D57" s="45" t="s">
        <v>545</v>
      </c>
      <c r="E57" s="45" t="s">
        <v>546</v>
      </c>
      <c r="F57" s="45" t="s">
        <v>90</v>
      </c>
      <c r="G57" s="45" t="s">
        <v>91</v>
      </c>
      <c r="H57" s="45" t="s">
        <v>547</v>
      </c>
      <c r="I57" s="45">
        <v>5</v>
      </c>
      <c r="J57" s="45">
        <v>68</v>
      </c>
      <c r="K57" s="45" t="s">
        <v>127</v>
      </c>
      <c r="L57" s="46" t="s">
        <v>94</v>
      </c>
      <c r="M57" s="45">
        <v>367.2</v>
      </c>
      <c r="N57" s="47"/>
    </row>
    <row r="58" spans="2:14" ht="24.75" customHeight="1">
      <c r="B58" s="45">
        <v>48</v>
      </c>
      <c r="C58" s="45" t="s">
        <v>544</v>
      </c>
      <c r="D58" s="45" t="s">
        <v>545</v>
      </c>
      <c r="E58" s="45" t="s">
        <v>546</v>
      </c>
      <c r="F58" s="45" t="s">
        <v>90</v>
      </c>
      <c r="G58" s="45" t="s">
        <v>91</v>
      </c>
      <c r="H58" s="45" t="s">
        <v>547</v>
      </c>
      <c r="I58" s="45">
        <v>5</v>
      </c>
      <c r="J58" s="45">
        <v>68</v>
      </c>
      <c r="K58" s="45" t="s">
        <v>95</v>
      </c>
      <c r="L58" s="46" t="s">
        <v>96</v>
      </c>
      <c r="M58" s="45">
        <v>200</v>
      </c>
      <c r="N58" s="47"/>
    </row>
    <row r="59" spans="2:14" ht="24.75" customHeight="1">
      <c r="B59" s="45">
        <v>49</v>
      </c>
      <c r="C59" s="45" t="s">
        <v>544</v>
      </c>
      <c r="D59" s="45" t="s">
        <v>548</v>
      </c>
      <c r="E59" s="45" t="s">
        <v>549</v>
      </c>
      <c r="F59" s="45" t="s">
        <v>90</v>
      </c>
      <c r="G59" s="45" t="s">
        <v>91</v>
      </c>
      <c r="H59" s="45" t="s">
        <v>547</v>
      </c>
      <c r="I59" s="45">
        <v>12</v>
      </c>
      <c r="J59" s="45">
        <v>172</v>
      </c>
      <c r="K59" s="45" t="s">
        <v>127</v>
      </c>
      <c r="L59" s="46" t="s">
        <v>94</v>
      </c>
      <c r="M59" s="45">
        <v>928.8</v>
      </c>
      <c r="N59" s="47"/>
    </row>
    <row r="60" spans="2:14" ht="24.75" customHeight="1">
      <c r="B60" s="45">
        <v>50</v>
      </c>
      <c r="C60" s="45" t="s">
        <v>544</v>
      </c>
      <c r="D60" s="45" t="s">
        <v>548</v>
      </c>
      <c r="E60" s="45" t="s">
        <v>549</v>
      </c>
      <c r="F60" s="45" t="s">
        <v>90</v>
      </c>
      <c r="G60" s="45" t="s">
        <v>91</v>
      </c>
      <c r="H60" s="45" t="s">
        <v>547</v>
      </c>
      <c r="I60" s="45">
        <v>12</v>
      </c>
      <c r="J60" s="45">
        <v>172</v>
      </c>
      <c r="K60" s="45" t="s">
        <v>95</v>
      </c>
      <c r="L60" s="46" t="s">
        <v>96</v>
      </c>
      <c r="M60" s="45">
        <v>200</v>
      </c>
      <c r="N60" s="47"/>
    </row>
    <row r="61" spans="2:14" ht="24.75" customHeight="1">
      <c r="B61" s="45">
        <v>51</v>
      </c>
      <c r="C61" s="45" t="s">
        <v>258</v>
      </c>
      <c r="D61" s="45" t="s">
        <v>550</v>
      </c>
      <c r="E61" s="45" t="s">
        <v>551</v>
      </c>
      <c r="F61" s="45" t="s">
        <v>90</v>
      </c>
      <c r="G61" s="45" t="s">
        <v>91</v>
      </c>
      <c r="H61" s="45" t="s">
        <v>547</v>
      </c>
      <c r="I61" s="45">
        <v>134</v>
      </c>
      <c r="J61" s="45">
        <v>2114</v>
      </c>
      <c r="K61" s="45" t="s">
        <v>127</v>
      </c>
      <c r="L61" s="46" t="s">
        <v>94</v>
      </c>
      <c r="M61" s="45">
        <v>11415.6</v>
      </c>
      <c r="N61" s="47"/>
    </row>
    <row r="62" spans="2:14" ht="24.75" customHeight="1">
      <c r="B62" s="45">
        <v>52</v>
      </c>
      <c r="C62" s="45" t="s">
        <v>258</v>
      </c>
      <c r="D62" s="45" t="s">
        <v>552</v>
      </c>
      <c r="E62" s="45" t="s">
        <v>553</v>
      </c>
      <c r="F62" s="45" t="s">
        <v>90</v>
      </c>
      <c r="G62" s="45" t="s">
        <v>91</v>
      </c>
      <c r="H62" s="45" t="s">
        <v>92</v>
      </c>
      <c r="I62" s="45">
        <v>7</v>
      </c>
      <c r="J62" s="45">
        <v>95</v>
      </c>
      <c r="K62" s="45" t="s">
        <v>109</v>
      </c>
      <c r="L62" s="46" t="s">
        <v>94</v>
      </c>
      <c r="M62" s="45">
        <v>380</v>
      </c>
      <c r="N62" s="47"/>
    </row>
    <row r="63" spans="2:14" ht="24.75" customHeight="1">
      <c r="B63" s="45">
        <v>53</v>
      </c>
      <c r="C63" s="45" t="s">
        <v>258</v>
      </c>
      <c r="D63" s="45" t="s">
        <v>554</v>
      </c>
      <c r="E63" s="45" t="s">
        <v>555</v>
      </c>
      <c r="F63" s="45" t="s">
        <v>90</v>
      </c>
      <c r="G63" s="45" t="s">
        <v>91</v>
      </c>
      <c r="H63" s="45" t="s">
        <v>38</v>
      </c>
      <c r="I63" s="45">
        <v>13</v>
      </c>
      <c r="J63" s="45">
        <v>296</v>
      </c>
      <c r="K63" s="45" t="s">
        <v>178</v>
      </c>
      <c r="L63" s="46" t="s">
        <v>94</v>
      </c>
      <c r="M63" s="45">
        <v>1480</v>
      </c>
      <c r="N63" s="47"/>
    </row>
    <row r="64" spans="2:14" ht="24.75" customHeight="1">
      <c r="B64" s="45">
        <v>54</v>
      </c>
      <c r="C64" s="45" t="s">
        <v>258</v>
      </c>
      <c r="D64" s="45" t="s">
        <v>556</v>
      </c>
      <c r="E64" s="45" t="s">
        <v>557</v>
      </c>
      <c r="F64" s="45" t="s">
        <v>90</v>
      </c>
      <c r="G64" s="45" t="s">
        <v>91</v>
      </c>
      <c r="H64" s="45" t="s">
        <v>92</v>
      </c>
      <c r="I64" s="45">
        <v>15</v>
      </c>
      <c r="J64" s="45">
        <v>206</v>
      </c>
      <c r="K64" s="45" t="s">
        <v>109</v>
      </c>
      <c r="L64" s="46" t="s">
        <v>94</v>
      </c>
      <c r="M64" s="45">
        <v>824</v>
      </c>
      <c r="N64" s="47"/>
    </row>
    <row r="65" spans="2:14" ht="24.75" customHeight="1">
      <c r="B65" s="45">
        <v>55</v>
      </c>
      <c r="C65" s="45" t="s">
        <v>258</v>
      </c>
      <c r="D65" s="45" t="s">
        <v>558</v>
      </c>
      <c r="E65" s="45" t="s">
        <v>559</v>
      </c>
      <c r="F65" s="45" t="s">
        <v>90</v>
      </c>
      <c r="G65" s="45" t="s">
        <v>91</v>
      </c>
      <c r="H65" s="45" t="s">
        <v>52</v>
      </c>
      <c r="I65" s="45">
        <v>46</v>
      </c>
      <c r="J65" s="45">
        <v>636</v>
      </c>
      <c r="K65" s="45" t="s">
        <v>178</v>
      </c>
      <c r="L65" s="46" t="s">
        <v>94</v>
      </c>
      <c r="M65" s="45">
        <v>3180</v>
      </c>
      <c r="N65" s="47"/>
    </row>
    <row r="66" spans="2:14" ht="24.75" customHeight="1">
      <c r="B66" s="45">
        <v>56</v>
      </c>
      <c r="C66" s="45" t="s">
        <v>258</v>
      </c>
      <c r="D66" s="45" t="s">
        <v>560</v>
      </c>
      <c r="E66" s="45" t="s">
        <v>561</v>
      </c>
      <c r="F66" s="45" t="s">
        <v>90</v>
      </c>
      <c r="G66" s="45" t="s">
        <v>91</v>
      </c>
      <c r="H66" s="45" t="s">
        <v>38</v>
      </c>
      <c r="I66" s="45">
        <v>21</v>
      </c>
      <c r="J66" s="45">
        <v>322</v>
      </c>
      <c r="K66" s="45" t="s">
        <v>178</v>
      </c>
      <c r="L66" s="46" t="s">
        <v>94</v>
      </c>
      <c r="M66" s="45">
        <v>1610</v>
      </c>
      <c r="N66" s="47"/>
    </row>
    <row r="67" spans="2:14" ht="24.75" customHeight="1">
      <c r="B67" s="45">
        <v>57</v>
      </c>
      <c r="C67" s="45" t="s">
        <v>258</v>
      </c>
      <c r="D67" s="45" t="s">
        <v>560</v>
      </c>
      <c r="E67" s="45" t="s">
        <v>561</v>
      </c>
      <c r="F67" s="45" t="s">
        <v>90</v>
      </c>
      <c r="G67" s="45" t="s">
        <v>91</v>
      </c>
      <c r="H67" s="45" t="s">
        <v>38</v>
      </c>
      <c r="I67" s="45">
        <v>21</v>
      </c>
      <c r="J67" s="45">
        <v>322</v>
      </c>
      <c r="K67" s="45" t="s">
        <v>95</v>
      </c>
      <c r="L67" s="46" t="s">
        <v>96</v>
      </c>
      <c r="M67" s="45">
        <v>200</v>
      </c>
      <c r="N67" s="47"/>
    </row>
    <row r="68" spans="2:14" ht="24.75" customHeight="1"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6" t="s">
        <v>158</v>
      </c>
      <c r="M68" s="45" t="s">
        <v>562</v>
      </c>
      <c r="N68" s="47"/>
    </row>
    <row r="69" spans="2:14" s="44" customFormat="1" ht="24.75" customHeight="1">
      <c r="B69" s="47"/>
      <c r="C69" s="47"/>
      <c r="D69" s="45"/>
      <c r="E69" s="45"/>
      <c r="F69" s="45"/>
      <c r="G69" s="45"/>
      <c r="H69" s="45"/>
      <c r="I69" s="45"/>
      <c r="J69" s="45"/>
      <c r="K69" s="47"/>
      <c r="L69" s="49"/>
      <c r="M69" s="47"/>
      <c r="N69" s="47"/>
    </row>
    <row r="70" spans="2:14" s="44" customFormat="1" ht="24.75" customHeight="1">
      <c r="B70" s="47"/>
      <c r="C70" s="45"/>
      <c r="D70" s="47"/>
      <c r="E70" s="47"/>
      <c r="F70" s="47"/>
      <c r="G70" s="47"/>
      <c r="H70" s="47"/>
      <c r="I70" s="47"/>
      <c r="J70" s="47"/>
      <c r="K70" s="47"/>
      <c r="L70" s="49"/>
      <c r="M70" s="47"/>
      <c r="N70" s="47"/>
    </row>
    <row r="71" spans="2:14" s="50" customFormat="1" ht="24.75" customHeight="1">
      <c r="B71" s="174"/>
      <c r="C71" s="174"/>
      <c r="D71" s="174"/>
      <c r="E71" s="174"/>
      <c r="F71" s="174"/>
      <c r="G71" s="174"/>
      <c r="H71" s="174"/>
      <c r="I71" s="174"/>
      <c r="J71" s="174"/>
      <c r="K71" s="174"/>
      <c r="L71" s="174"/>
      <c r="M71" s="174"/>
    </row>
    <row r="72" spans="2:14" s="50" customFormat="1" ht="24.75" customHeight="1">
      <c r="B72" s="175"/>
      <c r="C72" s="175"/>
      <c r="D72" s="175"/>
      <c r="E72" s="175"/>
      <c r="F72" s="175"/>
      <c r="G72" s="175"/>
      <c r="H72" s="175"/>
      <c r="I72" s="175"/>
      <c r="J72" s="175"/>
      <c r="K72" s="175"/>
      <c r="L72" s="175"/>
      <c r="M72" s="175"/>
    </row>
    <row r="73" spans="2:14" s="50" customFormat="1" ht="24.75" customHeight="1">
      <c r="B73" s="175" t="s">
        <v>160</v>
      </c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</row>
    <row r="74" spans="2:14" ht="24.75" customHeight="1">
      <c r="B74" s="176" t="s">
        <v>161</v>
      </c>
      <c r="C74" s="176"/>
      <c r="D74" s="176"/>
      <c r="E74" s="176"/>
      <c r="F74" s="51"/>
      <c r="G74" s="51"/>
      <c r="H74" s="51"/>
      <c r="I74" s="51"/>
      <c r="J74" s="51"/>
      <c r="K74" s="52"/>
      <c r="L74" s="53"/>
      <c r="M74" s="51"/>
    </row>
    <row r="75" spans="2:14" ht="24.75" customHeight="1">
      <c r="B75" s="169" t="s">
        <v>162</v>
      </c>
      <c r="C75" s="170"/>
      <c r="D75" s="170"/>
      <c r="E75" s="171"/>
      <c r="F75" s="51"/>
      <c r="G75" s="51"/>
      <c r="H75" s="51"/>
      <c r="I75" s="51"/>
      <c r="J75" s="51"/>
      <c r="K75" s="51"/>
      <c r="L75" s="53"/>
      <c r="M75" s="51"/>
    </row>
    <row r="76" spans="2:14" ht="24.75" customHeight="1">
      <c r="B76" s="169" t="s">
        <v>163</v>
      </c>
      <c r="C76" s="170"/>
      <c r="D76" s="170"/>
      <c r="E76" s="171"/>
      <c r="F76" s="51"/>
      <c r="G76" s="51"/>
      <c r="H76" s="51"/>
      <c r="I76" s="51"/>
      <c r="J76" s="51"/>
      <c r="K76" s="51"/>
      <c r="L76" s="53"/>
      <c r="M76" s="51"/>
    </row>
    <row r="77" spans="2:14" ht="24.75" customHeight="1"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3"/>
      <c r="M77" s="51"/>
    </row>
    <row r="78" spans="2:14" ht="24.75" customHeight="1">
      <c r="B78" s="172" t="s">
        <v>164</v>
      </c>
      <c r="C78" s="172"/>
      <c r="D78" s="172"/>
      <c r="E78" s="172"/>
      <c r="F78" s="172"/>
      <c r="G78" s="172"/>
      <c r="H78" s="172"/>
      <c r="I78" s="172"/>
      <c r="J78" s="54"/>
      <c r="K78" s="54"/>
      <c r="L78" s="55"/>
      <c r="M78" s="54"/>
    </row>
    <row r="79" spans="2:14" ht="24.75" customHeight="1">
      <c r="B79" s="172"/>
      <c r="C79" s="172"/>
      <c r="D79" s="172"/>
      <c r="E79" s="172"/>
      <c r="F79" s="172"/>
      <c r="G79" s="172"/>
      <c r="H79" s="172"/>
      <c r="I79" s="172"/>
      <c r="J79" s="54"/>
      <c r="K79" s="54"/>
      <c r="L79" s="55"/>
      <c r="M79" s="54"/>
    </row>
    <row r="80" spans="2:14" ht="24.75" customHeight="1">
      <c r="B80" s="172"/>
      <c r="C80" s="172"/>
      <c r="D80" s="172"/>
      <c r="E80" s="172"/>
      <c r="F80" s="172"/>
      <c r="G80" s="172"/>
      <c r="H80" s="172"/>
      <c r="I80" s="172"/>
    </row>
  </sheetData>
  <mergeCells count="21">
    <mergeCell ref="B75:E75"/>
    <mergeCell ref="B76:E76"/>
    <mergeCell ref="B78:I80"/>
    <mergeCell ref="B9:C9"/>
    <mergeCell ref="D9:E9"/>
    <mergeCell ref="B71:M71"/>
    <mergeCell ref="B72:M72"/>
    <mergeCell ref="B73:M73"/>
    <mergeCell ref="B74:E74"/>
    <mergeCell ref="B6:C6"/>
    <mergeCell ref="D6:E6"/>
    <mergeCell ref="B7:C7"/>
    <mergeCell ref="D7:E7"/>
    <mergeCell ref="B8:C8"/>
    <mergeCell ref="D8:E8"/>
    <mergeCell ref="A1:B1"/>
    <mergeCell ref="E1:L2"/>
    <mergeCell ref="E3:L4"/>
    <mergeCell ref="A4:B4"/>
    <mergeCell ref="A5:B5"/>
    <mergeCell ref="I5:M5"/>
  </mergeCells>
  <phoneticPr fontId="3" type="noConversion"/>
  <pageMargins left="0.75" right="0.75" top="1" bottom="1" header="0.3" footer="0.3"/>
  <pageSetup paperSize="9" scale="48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万邦2604</vt:lpstr>
      <vt:lpstr>国润通2604</vt:lpstr>
      <vt:lpstr>天盛运费2604</vt:lpstr>
      <vt:lpstr>天盛报关费2604</vt:lpstr>
      <vt:lpstr>嘀嗒嘀4月账单</vt:lpstr>
      <vt:lpstr>积米2605</vt:lpstr>
      <vt:lpstr>京奕达2605</vt:lpstr>
      <vt:lpstr>万邦2605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点 润</dc:creator>
  <cp:lastModifiedBy>相丞 龙</cp:lastModifiedBy>
  <dcterms:created xsi:type="dcterms:W3CDTF">2026-05-14T07:12:44Z</dcterms:created>
  <dcterms:modified xsi:type="dcterms:W3CDTF">2026-06-25T12:47:19Z</dcterms:modified>
</cp:coreProperties>
</file>