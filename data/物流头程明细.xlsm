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icheng1806\workspace\project\logirecon\data\"/>
    </mc:Choice>
  </mc:AlternateContent>
  <xr:revisionPtr revIDLastSave="0" documentId="13_ncr:1_{F347B370-AD1E-4B1C-8F66-4EF7975CD871}" xr6:coauthVersionLast="47" xr6:coauthVersionMax="47" xr10:uidLastSave="{00000000-0000-0000-0000-000000000000}"/>
  <bookViews>
    <workbookView xWindow="3330" yWindow="2800" windowWidth="17530" windowHeight="11170" tabRatio="850" xr2:uid="{00000000-000D-0000-FFFF-FFFF00000000}"/>
  </bookViews>
  <sheets>
    <sheet name="亚马逊头程2026" sheetId="67" r:id="rId1"/>
  </sheets>
  <functionGroups builtInGroupCount="19"/>
  <definedNames>
    <definedName name="_xlnm._FilterDatabase" localSheetId="0" hidden="1">亚马逊头程2026!$A$1:$AN$811</definedName>
    <definedName name="_xleta.T" hidden="1" xlm="1">#NAME?</definedName>
    <definedName name="NativeTimeline_提货日期">#N/A</definedName>
    <definedName name="NativeTimeline_提货日期1">#N/A</definedName>
    <definedName name="NativeTimeline_提货日期10">#N/A</definedName>
    <definedName name="NativeTimeline_提货日期11">#N/A</definedName>
    <definedName name="NativeTimeline_提货日期12">#N/A</definedName>
    <definedName name="NativeTimeline_提货日期13">#N/A</definedName>
    <definedName name="NativeTimeline_提货日期14">#N/A</definedName>
    <definedName name="NativeTimeline_提货日期15">#N/A</definedName>
    <definedName name="NativeTimeline_提货日期16">#N/A</definedName>
    <definedName name="NativeTimeline_提货日期17">#N/A</definedName>
    <definedName name="NativeTimeline_提货日期18">#N/A</definedName>
    <definedName name="NativeTimeline_提货日期19">#N/A</definedName>
    <definedName name="NativeTimeline_提货日期2">#N/A</definedName>
    <definedName name="NativeTimeline_提货日期20">#N/A</definedName>
    <definedName name="NativeTimeline_提货日期21">#N/A</definedName>
    <definedName name="NativeTimeline_提货日期22">#N/A</definedName>
    <definedName name="NativeTimeline_提货日期23">#N/A</definedName>
    <definedName name="NativeTimeline_提货日期24">#N/A</definedName>
    <definedName name="NativeTimeline_提货日期25">#N/A</definedName>
    <definedName name="NativeTimeline_提货日期26">#N/A</definedName>
    <definedName name="NativeTimeline_提货日期27">#N/A</definedName>
    <definedName name="NativeTimeline_提货日期28">#N/A</definedName>
    <definedName name="NativeTimeline_提货日期29">#N/A</definedName>
    <definedName name="NativeTimeline_提货日期3">#N/A</definedName>
    <definedName name="NativeTimeline_提货日期30">#N/A</definedName>
    <definedName name="NativeTimeline_提货日期31">#N/A</definedName>
    <definedName name="NativeTimeline_提货日期4">#N/A</definedName>
    <definedName name="NativeTimeline_提货日期5">#N/A</definedName>
    <definedName name="NativeTimeline_提货日期6">#N/A</definedName>
    <definedName name="NativeTimeline_提货日期7">#N/A</definedName>
    <definedName name="NativeTimeline_提货日期8">#N/A</definedName>
    <definedName name="NativeTimeline_提货日期9">#N/A</definedName>
    <definedName name="NativeTimeline_提货时间">#N/A</definedName>
    <definedName name="NativeTimeline_提货时间1">#N/A</definedName>
    <definedName name="NativeTimeline_提货时间10">#N/A</definedName>
    <definedName name="NativeTimeline_提货时间11">#N/A</definedName>
    <definedName name="NativeTimeline_提货时间2">#N/A</definedName>
    <definedName name="NativeTimeline_提货时间3">#N/A</definedName>
    <definedName name="NativeTimeline_提货时间4">#N/A</definedName>
    <definedName name="NativeTimeline_提货时间5">#N/A</definedName>
    <definedName name="NativeTimeline_提货时间6">#N/A</definedName>
    <definedName name="NativeTimeline_提货时间7">#N/A</definedName>
    <definedName name="NativeTimeline_提货时间8">#N/A</definedName>
    <definedName name="NativeTimeline_提货时间9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91" i="67" l="1"/>
  <c r="V791" i="67" s="1"/>
  <c r="W791" i="67" s="1"/>
  <c r="U792" i="67"/>
  <c r="V792" i="67" s="1"/>
  <c r="W792" i="67" s="1"/>
  <c r="U793" i="67"/>
  <c r="V793" i="67" s="1"/>
  <c r="W793" i="67" s="1"/>
  <c r="U794" i="67"/>
  <c r="V794" i="67" s="1"/>
  <c r="W794" i="67" s="1"/>
  <c r="U795" i="67"/>
  <c r="V795" i="67" s="1"/>
  <c r="W795" i="67" s="1"/>
  <c r="U796" i="67"/>
  <c r="V796" i="67" s="1"/>
  <c r="W796" i="67" s="1"/>
  <c r="U797" i="67"/>
  <c r="V797" i="67" s="1"/>
  <c r="W797" i="67" s="1"/>
  <c r="U798" i="67"/>
  <c r="V798" i="67" s="1"/>
  <c r="W798" i="67" s="1"/>
  <c r="U799" i="67"/>
  <c r="V799" i="67" s="1"/>
  <c r="W799" i="67" s="1"/>
  <c r="U800" i="67"/>
  <c r="V800" i="67" s="1"/>
  <c r="W800" i="67" s="1"/>
  <c r="U801" i="67"/>
  <c r="V801" i="67" s="1"/>
  <c r="W801" i="67" s="1"/>
  <c r="U802" i="67"/>
  <c r="V802" i="67" s="1"/>
  <c r="W802" i="67" s="1"/>
  <c r="U803" i="67"/>
  <c r="V803" i="67" s="1"/>
  <c r="W803" i="67" s="1"/>
  <c r="U804" i="67"/>
  <c r="V804" i="67" s="1"/>
  <c r="W804" i="67" s="1"/>
  <c r="U805" i="67"/>
  <c r="V805" i="67" s="1"/>
  <c r="W805" i="67" s="1"/>
  <c r="U806" i="67"/>
  <c r="V806" i="67" s="1"/>
  <c r="W806" i="67" s="1"/>
  <c r="U807" i="67"/>
  <c r="V807" i="67" s="1"/>
  <c r="W807" i="67" s="1"/>
  <c r="U808" i="67"/>
  <c r="V808" i="67" s="1"/>
  <c r="W808" i="67" s="1"/>
  <c r="U809" i="67"/>
  <c r="V809" i="67" s="1"/>
  <c r="W809" i="67" s="1"/>
  <c r="U810" i="67"/>
  <c r="V810" i="67" s="1"/>
  <c r="W810" i="67" s="1"/>
  <c r="U811" i="67"/>
  <c r="V811" i="67" s="1"/>
  <c r="W811" i="67" s="1"/>
  <c r="L791" i="67"/>
  <c r="M791" i="67"/>
  <c r="N791" i="67"/>
  <c r="L792" i="67"/>
  <c r="M792" i="67"/>
  <c r="N792" i="67"/>
  <c r="L793" i="67"/>
  <c r="M793" i="67"/>
  <c r="N793" i="67"/>
  <c r="L794" i="67"/>
  <c r="M794" i="67"/>
  <c r="N794" i="67"/>
  <c r="L795" i="67"/>
  <c r="M795" i="67"/>
  <c r="N795" i="67"/>
  <c r="L796" i="67"/>
  <c r="M796" i="67"/>
  <c r="N796" i="67"/>
  <c r="L797" i="67"/>
  <c r="M797" i="67"/>
  <c r="N797" i="67"/>
  <c r="L798" i="67"/>
  <c r="M798" i="67"/>
  <c r="N798" i="67"/>
  <c r="L799" i="67"/>
  <c r="M799" i="67"/>
  <c r="N799" i="67"/>
  <c r="L800" i="67"/>
  <c r="M800" i="67"/>
  <c r="N800" i="67"/>
  <c r="L801" i="67"/>
  <c r="M801" i="67"/>
  <c r="N801" i="67"/>
  <c r="L802" i="67"/>
  <c r="M802" i="67"/>
  <c r="N802" i="67"/>
  <c r="L803" i="67"/>
  <c r="M803" i="67"/>
  <c r="N803" i="67"/>
  <c r="L804" i="67"/>
  <c r="M804" i="67"/>
  <c r="N804" i="67"/>
  <c r="L805" i="67"/>
  <c r="M805" i="67"/>
  <c r="N805" i="67"/>
  <c r="L806" i="67"/>
  <c r="M806" i="67"/>
  <c r="N806" i="67"/>
  <c r="L807" i="67"/>
  <c r="M807" i="67"/>
  <c r="N807" i="67"/>
  <c r="L808" i="67"/>
  <c r="M808" i="67"/>
  <c r="N808" i="67"/>
  <c r="L809" i="67"/>
  <c r="M809" i="67"/>
  <c r="N809" i="67"/>
  <c r="L810" i="67"/>
  <c r="M810" i="67"/>
  <c r="N810" i="67"/>
  <c r="L811" i="67"/>
  <c r="M811" i="67"/>
  <c r="N811" i="67"/>
  <c r="A791" i="67"/>
  <c r="A792" i="67"/>
  <c r="A793" i="67"/>
  <c r="A794" i="67"/>
  <c r="A795" i="67"/>
  <c r="A796" i="67"/>
  <c r="A797" i="67"/>
  <c r="A798" i="67"/>
  <c r="A799" i="67"/>
  <c r="A800" i="67"/>
  <c r="A801" i="67"/>
  <c r="A802" i="67"/>
  <c r="A803" i="67"/>
  <c r="A804" i="67"/>
  <c r="A805" i="67"/>
  <c r="A806" i="67"/>
  <c r="A807" i="67"/>
  <c r="A808" i="67"/>
  <c r="A809" i="67"/>
  <c r="A810" i="67"/>
  <c r="A811" i="67"/>
  <c r="U738" i="67" l="1"/>
  <c r="V738" i="67" s="1"/>
  <c r="W738" i="67" s="1"/>
  <c r="U739" i="67"/>
  <c r="V739" i="67" s="1"/>
  <c r="W739" i="67" s="1"/>
  <c r="U740" i="67"/>
  <c r="V740" i="67" s="1"/>
  <c r="W740" i="67" s="1"/>
  <c r="U741" i="67"/>
  <c r="V741" i="67" s="1"/>
  <c r="W741" i="67" s="1"/>
  <c r="U742" i="67"/>
  <c r="V742" i="67" s="1"/>
  <c r="W742" i="67" s="1"/>
  <c r="U743" i="67"/>
  <c r="V743" i="67" s="1"/>
  <c r="W743" i="67" s="1"/>
  <c r="U744" i="67"/>
  <c r="V744" i="67" s="1"/>
  <c r="W744" i="67" s="1"/>
  <c r="U745" i="67"/>
  <c r="V745" i="67" s="1"/>
  <c r="W745" i="67" s="1"/>
  <c r="U746" i="67"/>
  <c r="V746" i="67" s="1"/>
  <c r="W746" i="67" s="1"/>
  <c r="U747" i="67"/>
  <c r="V747" i="67" s="1"/>
  <c r="W747" i="67" s="1"/>
  <c r="U748" i="67"/>
  <c r="V748" i="67" s="1"/>
  <c r="W748" i="67" s="1"/>
  <c r="U749" i="67"/>
  <c r="V749" i="67" s="1"/>
  <c r="W749" i="67" s="1"/>
  <c r="U750" i="67"/>
  <c r="V750" i="67" s="1"/>
  <c r="W750" i="67" s="1"/>
  <c r="U751" i="67"/>
  <c r="V751" i="67" s="1"/>
  <c r="W751" i="67" s="1"/>
  <c r="U752" i="67"/>
  <c r="V752" i="67" s="1"/>
  <c r="W752" i="67" s="1"/>
  <c r="U753" i="67"/>
  <c r="V753" i="67" s="1"/>
  <c r="W753" i="67" s="1"/>
  <c r="U754" i="67"/>
  <c r="V754" i="67" s="1"/>
  <c r="W754" i="67" s="1"/>
  <c r="U755" i="67"/>
  <c r="V755" i="67"/>
  <c r="W755" i="67" s="1"/>
  <c r="U756" i="67"/>
  <c r="V756" i="67" s="1"/>
  <c r="W756" i="67" s="1"/>
  <c r="U757" i="67"/>
  <c r="V757" i="67" s="1"/>
  <c r="W757" i="67" s="1"/>
  <c r="U758" i="67"/>
  <c r="V758" i="67" s="1"/>
  <c r="W758" i="67" s="1"/>
  <c r="U759" i="67"/>
  <c r="V759" i="67" s="1"/>
  <c r="W759" i="67" s="1"/>
  <c r="U760" i="67"/>
  <c r="V760" i="67" s="1"/>
  <c r="W760" i="67" s="1"/>
  <c r="U761" i="67"/>
  <c r="V761" i="67" s="1"/>
  <c r="W761" i="67" s="1"/>
  <c r="U762" i="67"/>
  <c r="V762" i="67" s="1"/>
  <c r="W762" i="67" s="1"/>
  <c r="U763" i="67"/>
  <c r="V763" i="67" s="1"/>
  <c r="W763" i="67" s="1"/>
  <c r="U764" i="67"/>
  <c r="V764" i="67" s="1"/>
  <c r="W764" i="67" s="1"/>
  <c r="U765" i="67"/>
  <c r="V765" i="67" s="1"/>
  <c r="W765" i="67" s="1"/>
  <c r="U766" i="67"/>
  <c r="V766" i="67" s="1"/>
  <c r="W766" i="67" s="1"/>
  <c r="U767" i="67"/>
  <c r="V767" i="67" s="1"/>
  <c r="W767" i="67" s="1"/>
  <c r="U768" i="67"/>
  <c r="V768" i="67" s="1"/>
  <c r="W768" i="67" s="1"/>
  <c r="U769" i="67"/>
  <c r="V769" i="67" s="1"/>
  <c r="W769" i="67" s="1"/>
  <c r="U770" i="67"/>
  <c r="V770" i="67" s="1"/>
  <c r="W770" i="67" s="1"/>
  <c r="U771" i="67"/>
  <c r="V771" i="67" s="1"/>
  <c r="W771" i="67" s="1"/>
  <c r="U772" i="67"/>
  <c r="V772" i="67" s="1"/>
  <c r="W772" i="67" s="1"/>
  <c r="U773" i="67"/>
  <c r="V773" i="67" s="1"/>
  <c r="W773" i="67" s="1"/>
  <c r="U774" i="67"/>
  <c r="V774" i="67" s="1"/>
  <c r="W774" i="67" s="1"/>
  <c r="U775" i="67"/>
  <c r="V775" i="67" s="1"/>
  <c r="W775" i="67" s="1"/>
  <c r="U776" i="67"/>
  <c r="V776" i="67" s="1"/>
  <c r="W776" i="67" s="1"/>
  <c r="U777" i="67"/>
  <c r="V777" i="67" s="1"/>
  <c r="W777" i="67" s="1"/>
  <c r="U778" i="67"/>
  <c r="V778" i="67" s="1"/>
  <c r="W778" i="67" s="1"/>
  <c r="U779" i="67"/>
  <c r="V779" i="67" s="1"/>
  <c r="W779" i="67" s="1"/>
  <c r="U780" i="67"/>
  <c r="V780" i="67" s="1"/>
  <c r="W780" i="67" s="1"/>
  <c r="U781" i="67"/>
  <c r="V781" i="67" s="1"/>
  <c r="W781" i="67" s="1"/>
  <c r="U782" i="67"/>
  <c r="V782" i="67" s="1"/>
  <c r="W782" i="67" s="1"/>
  <c r="U783" i="67"/>
  <c r="V783" i="67" s="1"/>
  <c r="W783" i="67" s="1"/>
  <c r="U784" i="67"/>
  <c r="V784" i="67" s="1"/>
  <c r="W784" i="67" s="1"/>
  <c r="U785" i="67"/>
  <c r="V785" i="67" s="1"/>
  <c r="W785" i="67" s="1"/>
  <c r="U786" i="67"/>
  <c r="V786" i="67" s="1"/>
  <c r="W786" i="67" s="1"/>
  <c r="U787" i="67"/>
  <c r="V787" i="67" s="1"/>
  <c r="W787" i="67" s="1"/>
  <c r="U788" i="67"/>
  <c r="V788" i="67" s="1"/>
  <c r="W788" i="67" s="1"/>
  <c r="U789" i="67"/>
  <c r="V789" i="67" s="1"/>
  <c r="W789" i="67" s="1"/>
  <c r="U790" i="67"/>
  <c r="V790" i="67" s="1"/>
  <c r="W790" i="67" s="1"/>
  <c r="S743" i="67" l="1"/>
  <c r="S739" i="67"/>
  <c r="L738" i="67"/>
  <c r="M738" i="67"/>
  <c r="N738" i="67"/>
  <c r="L739" i="67"/>
  <c r="M739" i="67"/>
  <c r="N739" i="67"/>
  <c r="L740" i="67"/>
  <c r="M740" i="67"/>
  <c r="N740" i="67"/>
  <c r="L741" i="67"/>
  <c r="M741" i="67"/>
  <c r="N741" i="67"/>
  <c r="L742" i="67"/>
  <c r="M742" i="67"/>
  <c r="N742" i="67"/>
  <c r="L743" i="67"/>
  <c r="M743" i="67"/>
  <c r="N743" i="67"/>
  <c r="L744" i="67"/>
  <c r="M744" i="67"/>
  <c r="N744" i="67"/>
  <c r="L745" i="67"/>
  <c r="M745" i="67"/>
  <c r="N745" i="67"/>
  <c r="L746" i="67"/>
  <c r="M746" i="67"/>
  <c r="N746" i="67"/>
  <c r="L747" i="67"/>
  <c r="M747" i="67"/>
  <c r="N747" i="67"/>
  <c r="L748" i="67"/>
  <c r="M748" i="67"/>
  <c r="N748" i="67"/>
  <c r="L749" i="67"/>
  <c r="M749" i="67"/>
  <c r="N749" i="67"/>
  <c r="L750" i="67"/>
  <c r="M750" i="67"/>
  <c r="N750" i="67"/>
  <c r="L751" i="67"/>
  <c r="M751" i="67"/>
  <c r="N751" i="67"/>
  <c r="L752" i="67"/>
  <c r="M752" i="67"/>
  <c r="N752" i="67"/>
  <c r="L753" i="67"/>
  <c r="M753" i="67"/>
  <c r="N753" i="67"/>
  <c r="L754" i="67"/>
  <c r="M754" i="67"/>
  <c r="N754" i="67"/>
  <c r="L755" i="67"/>
  <c r="M755" i="67"/>
  <c r="N755" i="67"/>
  <c r="L756" i="67"/>
  <c r="M756" i="67"/>
  <c r="N756" i="67"/>
  <c r="L757" i="67"/>
  <c r="M757" i="67"/>
  <c r="N757" i="67"/>
  <c r="L758" i="67"/>
  <c r="M758" i="67"/>
  <c r="N758" i="67"/>
  <c r="L759" i="67"/>
  <c r="M759" i="67"/>
  <c r="N759" i="67"/>
  <c r="L760" i="67"/>
  <c r="M760" i="67"/>
  <c r="N760" i="67"/>
  <c r="L761" i="67"/>
  <c r="M761" i="67"/>
  <c r="N761" i="67"/>
  <c r="L762" i="67"/>
  <c r="M762" i="67"/>
  <c r="N762" i="67"/>
  <c r="L763" i="67"/>
  <c r="M763" i="67"/>
  <c r="N763" i="67"/>
  <c r="L764" i="67"/>
  <c r="M764" i="67"/>
  <c r="N764" i="67"/>
  <c r="L765" i="67"/>
  <c r="M765" i="67"/>
  <c r="N765" i="67"/>
  <c r="L766" i="67"/>
  <c r="M766" i="67"/>
  <c r="N766" i="67"/>
  <c r="L767" i="67"/>
  <c r="M767" i="67"/>
  <c r="N767" i="67"/>
  <c r="L768" i="67"/>
  <c r="M768" i="67"/>
  <c r="N768" i="67"/>
  <c r="L769" i="67"/>
  <c r="M769" i="67"/>
  <c r="N769" i="67"/>
  <c r="L770" i="67"/>
  <c r="M770" i="67"/>
  <c r="N770" i="67"/>
  <c r="L771" i="67"/>
  <c r="M771" i="67"/>
  <c r="N771" i="67"/>
  <c r="L772" i="67"/>
  <c r="M772" i="67"/>
  <c r="N772" i="67"/>
  <c r="L773" i="67"/>
  <c r="M773" i="67"/>
  <c r="N773" i="67"/>
  <c r="L774" i="67"/>
  <c r="M774" i="67"/>
  <c r="N774" i="67"/>
  <c r="L775" i="67"/>
  <c r="M775" i="67"/>
  <c r="N775" i="67"/>
  <c r="L776" i="67"/>
  <c r="M776" i="67"/>
  <c r="N776" i="67"/>
  <c r="L777" i="67"/>
  <c r="M777" i="67"/>
  <c r="N777" i="67"/>
  <c r="L778" i="67"/>
  <c r="M778" i="67"/>
  <c r="N778" i="67"/>
  <c r="L779" i="67"/>
  <c r="M779" i="67"/>
  <c r="N779" i="67"/>
  <c r="L780" i="67"/>
  <c r="M780" i="67"/>
  <c r="N780" i="67"/>
  <c r="L781" i="67"/>
  <c r="M781" i="67"/>
  <c r="N781" i="67"/>
  <c r="L782" i="67"/>
  <c r="M782" i="67"/>
  <c r="N782" i="67"/>
  <c r="L783" i="67"/>
  <c r="M783" i="67"/>
  <c r="N783" i="67"/>
  <c r="L784" i="67"/>
  <c r="M784" i="67"/>
  <c r="N784" i="67"/>
  <c r="L785" i="67"/>
  <c r="M785" i="67"/>
  <c r="N785" i="67"/>
  <c r="L786" i="67"/>
  <c r="M786" i="67"/>
  <c r="N786" i="67"/>
  <c r="L787" i="67"/>
  <c r="M787" i="67"/>
  <c r="N787" i="67"/>
  <c r="L788" i="67"/>
  <c r="M788" i="67"/>
  <c r="N788" i="67"/>
  <c r="L789" i="67"/>
  <c r="M789" i="67"/>
  <c r="N789" i="67"/>
  <c r="L790" i="67"/>
  <c r="M790" i="67"/>
  <c r="N790" i="67"/>
  <c r="A738" i="67"/>
  <c r="A739" i="67"/>
  <c r="A740" i="67"/>
  <c r="A741" i="67"/>
  <c r="A742" i="67"/>
  <c r="A743" i="67"/>
  <c r="A744" i="67"/>
  <c r="A745" i="67"/>
  <c r="A746" i="67"/>
  <c r="A747" i="67"/>
  <c r="A748" i="67"/>
  <c r="A749" i="67"/>
  <c r="A750" i="67"/>
  <c r="A751" i="67"/>
  <c r="A752" i="67"/>
  <c r="A753" i="67"/>
  <c r="A754" i="67"/>
  <c r="A755" i="67"/>
  <c r="A756" i="67"/>
  <c r="A757" i="67"/>
  <c r="A758" i="67"/>
  <c r="A759" i="67"/>
  <c r="A760" i="67"/>
  <c r="A761" i="67"/>
  <c r="A762" i="67"/>
  <c r="A763" i="67"/>
  <c r="A764" i="67"/>
  <c r="A765" i="67"/>
  <c r="A766" i="67"/>
  <c r="A767" i="67"/>
  <c r="A768" i="67"/>
  <c r="A769" i="67"/>
  <c r="A770" i="67"/>
  <c r="A771" i="67"/>
  <c r="A772" i="67"/>
  <c r="A773" i="67"/>
  <c r="A774" i="67"/>
  <c r="A775" i="67"/>
  <c r="A776" i="67"/>
  <c r="A777" i="67"/>
  <c r="A778" i="67"/>
  <c r="A779" i="67"/>
  <c r="A780" i="67"/>
  <c r="A781" i="67"/>
  <c r="A782" i="67"/>
  <c r="A783" i="67"/>
  <c r="A784" i="67"/>
  <c r="A785" i="67"/>
  <c r="A786" i="67"/>
  <c r="A787" i="67"/>
  <c r="A788" i="67"/>
  <c r="A789" i="67"/>
  <c r="A790" i="67"/>
  <c r="AG688" i="67" l="1"/>
  <c r="AG689" i="67"/>
  <c r="AG690" i="67"/>
  <c r="AG691" i="67"/>
  <c r="AG692" i="67"/>
  <c r="AG693" i="67"/>
  <c r="AG694" i="67"/>
  <c r="AG695" i="67"/>
  <c r="AG696" i="67"/>
  <c r="AG697" i="67"/>
  <c r="AG698" i="67"/>
  <c r="AG699" i="67"/>
  <c r="AG700" i="67"/>
  <c r="AG701" i="67"/>
  <c r="AG702" i="67"/>
  <c r="AG703" i="67"/>
  <c r="AG704" i="67"/>
  <c r="AG705" i="67"/>
  <c r="AG706" i="67"/>
  <c r="AG707" i="67"/>
  <c r="AG708" i="67"/>
  <c r="AG709" i="67"/>
  <c r="AG710" i="67"/>
  <c r="AG711" i="67"/>
  <c r="AG712" i="67"/>
  <c r="AG713" i="67"/>
  <c r="AG714" i="67"/>
  <c r="AG715" i="67"/>
  <c r="AG716" i="67"/>
  <c r="AG717" i="67"/>
  <c r="AG718" i="67"/>
  <c r="AG719" i="67"/>
  <c r="AG720" i="67"/>
  <c r="AG721" i="67"/>
  <c r="AG722" i="67"/>
  <c r="AG723" i="67"/>
  <c r="AG724" i="67"/>
  <c r="AG725" i="67"/>
  <c r="AG726" i="67"/>
  <c r="AG727" i="67"/>
  <c r="AG728" i="67"/>
  <c r="AG729" i="67"/>
  <c r="AG730" i="67"/>
  <c r="AG731" i="67"/>
  <c r="AG732" i="67"/>
  <c r="AG733" i="67"/>
  <c r="AG734" i="67"/>
  <c r="AG735" i="67"/>
  <c r="AG736" i="67"/>
  <c r="AG737" i="67"/>
  <c r="U688" i="67"/>
  <c r="V688" i="67" s="1"/>
  <c r="W688" i="67" s="1"/>
  <c r="U689" i="67"/>
  <c r="V689" i="67" s="1"/>
  <c r="W689" i="67" s="1"/>
  <c r="U690" i="67"/>
  <c r="V690" i="67" s="1"/>
  <c r="W690" i="67" s="1"/>
  <c r="U691" i="67"/>
  <c r="V691" i="67" s="1"/>
  <c r="W691" i="67" s="1"/>
  <c r="U692" i="67"/>
  <c r="V692" i="67" s="1"/>
  <c r="W692" i="67" s="1"/>
  <c r="U693" i="67"/>
  <c r="V693" i="67" s="1"/>
  <c r="W693" i="67" s="1"/>
  <c r="U694" i="67"/>
  <c r="V694" i="67" s="1"/>
  <c r="W694" i="67" s="1"/>
  <c r="U695" i="67"/>
  <c r="V695" i="67" s="1"/>
  <c r="W695" i="67" s="1"/>
  <c r="U696" i="67"/>
  <c r="V696" i="67" s="1"/>
  <c r="W696" i="67" s="1"/>
  <c r="U697" i="67"/>
  <c r="V697" i="67" s="1"/>
  <c r="W697" i="67" s="1"/>
  <c r="U698" i="67"/>
  <c r="V698" i="67" s="1"/>
  <c r="W698" i="67" s="1"/>
  <c r="U699" i="67"/>
  <c r="V699" i="67" s="1"/>
  <c r="W699" i="67" s="1"/>
  <c r="U700" i="67"/>
  <c r="V700" i="67" s="1"/>
  <c r="W700" i="67" s="1"/>
  <c r="U701" i="67"/>
  <c r="V701" i="67" s="1"/>
  <c r="W701" i="67" s="1"/>
  <c r="U702" i="67"/>
  <c r="V702" i="67" s="1"/>
  <c r="W702" i="67" s="1"/>
  <c r="U703" i="67"/>
  <c r="V703" i="67" s="1"/>
  <c r="W703" i="67" s="1"/>
  <c r="U704" i="67"/>
  <c r="V704" i="67" s="1"/>
  <c r="W704" i="67" s="1"/>
  <c r="U705" i="67"/>
  <c r="V705" i="67" s="1"/>
  <c r="W705" i="67" s="1"/>
  <c r="U706" i="67"/>
  <c r="V706" i="67" s="1"/>
  <c r="W706" i="67" s="1"/>
  <c r="U707" i="67"/>
  <c r="V707" i="67" s="1"/>
  <c r="W707" i="67" s="1"/>
  <c r="U708" i="67"/>
  <c r="V708" i="67" s="1"/>
  <c r="W708" i="67" s="1"/>
  <c r="U709" i="67"/>
  <c r="V709" i="67" s="1"/>
  <c r="W709" i="67" s="1"/>
  <c r="U710" i="67"/>
  <c r="V710" i="67" s="1"/>
  <c r="W710" i="67" s="1"/>
  <c r="U711" i="67"/>
  <c r="V711" i="67" s="1"/>
  <c r="W711" i="67" s="1"/>
  <c r="U712" i="67"/>
  <c r="V712" i="67" s="1"/>
  <c r="W712" i="67" s="1"/>
  <c r="U713" i="67"/>
  <c r="V713" i="67" s="1"/>
  <c r="W713" i="67" s="1"/>
  <c r="U714" i="67"/>
  <c r="V714" i="67" s="1"/>
  <c r="W714" i="67" s="1"/>
  <c r="U715" i="67"/>
  <c r="V715" i="67" s="1"/>
  <c r="W715" i="67" s="1"/>
  <c r="U716" i="67"/>
  <c r="V716" i="67" s="1"/>
  <c r="W716" i="67" s="1"/>
  <c r="U717" i="67"/>
  <c r="V717" i="67" s="1"/>
  <c r="W717" i="67" s="1"/>
  <c r="U718" i="67"/>
  <c r="V718" i="67" s="1"/>
  <c r="W718" i="67" s="1"/>
  <c r="U719" i="67"/>
  <c r="V719" i="67" s="1"/>
  <c r="W719" i="67" s="1"/>
  <c r="U720" i="67"/>
  <c r="V720" i="67" s="1"/>
  <c r="W720" i="67" s="1"/>
  <c r="U721" i="67"/>
  <c r="V721" i="67" s="1"/>
  <c r="W721" i="67" s="1"/>
  <c r="U722" i="67"/>
  <c r="V722" i="67" s="1"/>
  <c r="W722" i="67" s="1"/>
  <c r="U723" i="67"/>
  <c r="V723" i="67" s="1"/>
  <c r="W723" i="67" s="1"/>
  <c r="U724" i="67"/>
  <c r="V724" i="67" s="1"/>
  <c r="W724" i="67" s="1"/>
  <c r="U725" i="67"/>
  <c r="V725" i="67" s="1"/>
  <c r="W725" i="67" s="1"/>
  <c r="U726" i="67"/>
  <c r="V726" i="67" s="1"/>
  <c r="W726" i="67" s="1"/>
  <c r="U727" i="67"/>
  <c r="V727" i="67" s="1"/>
  <c r="W727" i="67" s="1"/>
  <c r="U728" i="67"/>
  <c r="V728" i="67" s="1"/>
  <c r="W728" i="67" s="1"/>
  <c r="U729" i="67"/>
  <c r="V729" i="67" s="1"/>
  <c r="W729" i="67" s="1"/>
  <c r="U730" i="67"/>
  <c r="V730" i="67" s="1"/>
  <c r="W730" i="67" s="1"/>
  <c r="U731" i="67"/>
  <c r="V731" i="67" s="1"/>
  <c r="W731" i="67" s="1"/>
  <c r="U732" i="67"/>
  <c r="V732" i="67" s="1"/>
  <c r="W732" i="67" s="1"/>
  <c r="U733" i="67"/>
  <c r="V733" i="67" s="1"/>
  <c r="W733" i="67" s="1"/>
  <c r="U734" i="67"/>
  <c r="V734" i="67" s="1"/>
  <c r="W734" i="67" s="1"/>
  <c r="U735" i="67"/>
  <c r="V735" i="67" s="1"/>
  <c r="W735" i="67" s="1"/>
  <c r="U736" i="67"/>
  <c r="V736" i="67" s="1"/>
  <c r="W736" i="67" s="1"/>
  <c r="U737" i="67"/>
  <c r="V737" i="67" s="1"/>
  <c r="W737" i="67" s="1"/>
  <c r="L688" i="67"/>
  <c r="M688" i="67"/>
  <c r="N688" i="67"/>
  <c r="L689" i="67"/>
  <c r="M689" i="67"/>
  <c r="N689" i="67"/>
  <c r="L690" i="67"/>
  <c r="M690" i="67"/>
  <c r="N690" i="67"/>
  <c r="L691" i="67"/>
  <c r="M691" i="67"/>
  <c r="N691" i="67"/>
  <c r="L692" i="67"/>
  <c r="M692" i="67"/>
  <c r="N692" i="67"/>
  <c r="L693" i="67"/>
  <c r="M693" i="67"/>
  <c r="N693" i="67"/>
  <c r="L694" i="67"/>
  <c r="M694" i="67"/>
  <c r="N694" i="67"/>
  <c r="L695" i="67"/>
  <c r="M695" i="67"/>
  <c r="N695" i="67"/>
  <c r="L696" i="67"/>
  <c r="M696" i="67"/>
  <c r="N696" i="67"/>
  <c r="L697" i="67"/>
  <c r="M697" i="67"/>
  <c r="N697" i="67"/>
  <c r="L698" i="67"/>
  <c r="M698" i="67"/>
  <c r="N698" i="67"/>
  <c r="L699" i="67"/>
  <c r="M699" i="67"/>
  <c r="N699" i="67"/>
  <c r="L700" i="67"/>
  <c r="M700" i="67"/>
  <c r="N700" i="67"/>
  <c r="L701" i="67"/>
  <c r="M701" i="67"/>
  <c r="N701" i="67"/>
  <c r="L702" i="67"/>
  <c r="M702" i="67"/>
  <c r="N702" i="67"/>
  <c r="L703" i="67"/>
  <c r="M703" i="67"/>
  <c r="N703" i="67"/>
  <c r="L704" i="67"/>
  <c r="M704" i="67"/>
  <c r="N704" i="67"/>
  <c r="L705" i="67"/>
  <c r="M705" i="67"/>
  <c r="N705" i="67"/>
  <c r="L706" i="67"/>
  <c r="M706" i="67"/>
  <c r="N706" i="67"/>
  <c r="L707" i="67"/>
  <c r="M707" i="67"/>
  <c r="N707" i="67"/>
  <c r="L708" i="67"/>
  <c r="M708" i="67"/>
  <c r="N708" i="67"/>
  <c r="L709" i="67"/>
  <c r="M709" i="67"/>
  <c r="N709" i="67"/>
  <c r="L710" i="67"/>
  <c r="M710" i="67"/>
  <c r="N710" i="67"/>
  <c r="L711" i="67"/>
  <c r="M711" i="67"/>
  <c r="N711" i="67"/>
  <c r="L712" i="67"/>
  <c r="M712" i="67"/>
  <c r="N712" i="67"/>
  <c r="L713" i="67"/>
  <c r="M713" i="67"/>
  <c r="N713" i="67"/>
  <c r="L714" i="67"/>
  <c r="M714" i="67"/>
  <c r="N714" i="67"/>
  <c r="L715" i="67"/>
  <c r="M715" i="67"/>
  <c r="N715" i="67"/>
  <c r="L716" i="67"/>
  <c r="M716" i="67"/>
  <c r="N716" i="67"/>
  <c r="L717" i="67"/>
  <c r="M717" i="67"/>
  <c r="N717" i="67"/>
  <c r="L718" i="67"/>
  <c r="M718" i="67"/>
  <c r="N718" i="67"/>
  <c r="L719" i="67"/>
  <c r="M719" i="67"/>
  <c r="N719" i="67"/>
  <c r="L720" i="67"/>
  <c r="M720" i="67"/>
  <c r="N720" i="67"/>
  <c r="L721" i="67"/>
  <c r="M721" i="67"/>
  <c r="N721" i="67"/>
  <c r="L722" i="67"/>
  <c r="M722" i="67"/>
  <c r="N722" i="67"/>
  <c r="L723" i="67"/>
  <c r="M723" i="67"/>
  <c r="N723" i="67"/>
  <c r="L724" i="67"/>
  <c r="M724" i="67"/>
  <c r="N724" i="67"/>
  <c r="L725" i="67"/>
  <c r="M725" i="67"/>
  <c r="N725" i="67"/>
  <c r="L726" i="67"/>
  <c r="M726" i="67"/>
  <c r="N726" i="67"/>
  <c r="L727" i="67"/>
  <c r="M727" i="67"/>
  <c r="N727" i="67"/>
  <c r="L728" i="67"/>
  <c r="M728" i="67"/>
  <c r="N728" i="67"/>
  <c r="L729" i="67"/>
  <c r="M729" i="67"/>
  <c r="N729" i="67"/>
  <c r="L730" i="67"/>
  <c r="M730" i="67"/>
  <c r="N730" i="67"/>
  <c r="L731" i="67"/>
  <c r="M731" i="67"/>
  <c r="N731" i="67"/>
  <c r="L732" i="67"/>
  <c r="M732" i="67"/>
  <c r="N732" i="67"/>
  <c r="L733" i="67"/>
  <c r="M733" i="67"/>
  <c r="N733" i="67"/>
  <c r="L734" i="67"/>
  <c r="M734" i="67"/>
  <c r="N734" i="67"/>
  <c r="L735" i="67"/>
  <c r="M735" i="67"/>
  <c r="N735" i="67"/>
  <c r="L736" i="67"/>
  <c r="M736" i="67"/>
  <c r="N736" i="67"/>
  <c r="L737" i="67"/>
  <c r="M737" i="67"/>
  <c r="N737" i="67"/>
  <c r="A688" i="67"/>
  <c r="A689" i="67"/>
  <c r="A690" i="67"/>
  <c r="A691" i="67"/>
  <c r="A692" i="67"/>
  <c r="A693" i="67"/>
  <c r="A694" i="67"/>
  <c r="A695" i="67"/>
  <c r="A696" i="67"/>
  <c r="A697" i="67"/>
  <c r="A698" i="67"/>
  <c r="A699" i="67"/>
  <c r="A700" i="67"/>
  <c r="A701" i="67"/>
  <c r="A702" i="67"/>
  <c r="A703" i="67"/>
  <c r="A704" i="67"/>
  <c r="A705" i="67"/>
  <c r="A706" i="67"/>
  <c r="A707" i="67"/>
  <c r="A708" i="67"/>
  <c r="A709" i="67"/>
  <c r="A710" i="67"/>
  <c r="A711" i="67"/>
  <c r="A712" i="67"/>
  <c r="A713" i="67"/>
  <c r="A714" i="67"/>
  <c r="A715" i="67"/>
  <c r="A716" i="67"/>
  <c r="A717" i="67"/>
  <c r="A718" i="67"/>
  <c r="A719" i="67"/>
  <c r="A720" i="67"/>
  <c r="A721" i="67"/>
  <c r="A722" i="67"/>
  <c r="A723" i="67"/>
  <c r="A724" i="67"/>
  <c r="A725" i="67"/>
  <c r="A726" i="67"/>
  <c r="A727" i="67"/>
  <c r="A728" i="67"/>
  <c r="A729" i="67"/>
  <c r="A730" i="67"/>
  <c r="A731" i="67"/>
  <c r="A732" i="67"/>
  <c r="A733" i="67"/>
  <c r="A734" i="67"/>
  <c r="A735" i="67"/>
  <c r="A736" i="67"/>
  <c r="A737" i="67"/>
  <c r="AG471" i="67" l="1"/>
  <c r="AG472" i="67"/>
  <c r="AG473" i="67"/>
  <c r="AG474" i="67"/>
  <c r="AG475" i="67"/>
  <c r="AG476" i="67"/>
  <c r="AG477" i="67"/>
  <c r="AG478" i="67"/>
  <c r="AG479" i="67"/>
  <c r="AG480" i="67"/>
  <c r="AG481" i="67"/>
  <c r="AG482" i="67"/>
  <c r="AG483" i="67"/>
  <c r="AG484" i="67"/>
  <c r="AG485" i="67"/>
  <c r="AG486" i="67"/>
  <c r="AG487" i="67"/>
  <c r="AG488" i="67"/>
  <c r="AG489" i="67"/>
  <c r="AG490" i="67"/>
  <c r="AG491" i="67"/>
  <c r="AG492" i="67"/>
  <c r="AG493" i="67"/>
  <c r="AG494" i="67"/>
  <c r="AG495" i="67"/>
  <c r="AG496" i="67"/>
  <c r="AG497" i="67"/>
  <c r="AG498" i="67"/>
  <c r="AG499" i="67"/>
  <c r="AG500" i="67"/>
  <c r="AG501" i="67"/>
  <c r="AG502" i="67"/>
  <c r="AG503" i="67"/>
  <c r="AG504" i="67"/>
  <c r="AG505" i="67"/>
  <c r="AG506" i="67"/>
  <c r="AG507" i="67"/>
  <c r="AG508" i="67"/>
  <c r="AG509" i="67"/>
  <c r="AG510" i="67"/>
  <c r="AG511" i="67"/>
  <c r="AG512" i="67"/>
  <c r="AG513" i="67"/>
  <c r="AG514" i="67"/>
  <c r="AG515" i="67"/>
  <c r="AG516" i="67"/>
  <c r="AG517" i="67"/>
  <c r="AG518" i="67"/>
  <c r="AG519" i="67"/>
  <c r="AG520" i="67"/>
  <c r="AG521" i="67"/>
  <c r="AG522" i="67"/>
  <c r="AG523" i="67"/>
  <c r="AG524" i="67"/>
  <c r="AG525" i="67"/>
  <c r="AG526" i="67"/>
  <c r="AG527" i="67"/>
  <c r="AG528" i="67"/>
  <c r="AG529" i="67"/>
  <c r="AG530" i="67"/>
  <c r="AG531" i="67"/>
  <c r="AG532" i="67"/>
  <c r="AG533" i="67"/>
  <c r="AG534" i="67"/>
  <c r="AG535" i="67"/>
  <c r="AG536" i="67"/>
  <c r="AG537" i="67"/>
  <c r="AG538" i="67"/>
  <c r="AG539" i="67"/>
  <c r="AG540" i="67"/>
  <c r="AG541" i="67"/>
  <c r="AG542" i="67"/>
  <c r="AG543" i="67"/>
  <c r="AG544" i="67"/>
  <c r="AG545" i="67"/>
  <c r="AG546" i="67"/>
  <c r="AG547" i="67"/>
  <c r="AG548" i="67"/>
  <c r="AG549" i="67"/>
  <c r="AG550" i="67"/>
  <c r="AG551" i="67"/>
  <c r="AG552" i="67"/>
  <c r="AG553" i="67"/>
  <c r="AG554" i="67"/>
  <c r="AG555" i="67"/>
  <c r="AG556" i="67"/>
  <c r="AG557" i="67"/>
  <c r="AG558" i="67"/>
  <c r="AG559" i="67"/>
  <c r="AG560" i="67"/>
  <c r="AG561" i="67"/>
  <c r="AG562" i="67"/>
  <c r="AG563" i="67"/>
  <c r="AG564" i="67"/>
  <c r="AG565" i="67"/>
  <c r="AG566" i="67"/>
  <c r="AG567" i="67"/>
  <c r="AG568" i="67"/>
  <c r="AG569" i="67"/>
  <c r="AG570" i="67"/>
  <c r="AG571" i="67"/>
  <c r="AG572" i="67"/>
  <c r="AG573" i="67"/>
  <c r="AG574" i="67"/>
  <c r="AG575" i="67"/>
  <c r="AG576" i="67"/>
  <c r="AG577" i="67"/>
  <c r="AG578" i="67"/>
  <c r="AG579" i="67"/>
  <c r="AG580" i="67"/>
  <c r="AG581" i="67"/>
  <c r="AG582" i="67"/>
  <c r="AG583" i="67"/>
  <c r="AG584" i="67"/>
  <c r="AG585" i="67"/>
  <c r="AG586" i="67"/>
  <c r="AG587" i="67"/>
  <c r="AG588" i="67"/>
  <c r="AG589" i="67"/>
  <c r="AG590" i="67"/>
  <c r="AG591" i="67"/>
  <c r="AG592" i="67"/>
  <c r="AG593" i="67"/>
  <c r="AG594" i="67"/>
  <c r="AG595" i="67"/>
  <c r="AG596" i="67"/>
  <c r="AG597" i="67"/>
  <c r="AG598" i="67"/>
  <c r="AG599" i="67"/>
  <c r="AG600" i="67"/>
  <c r="AG601" i="67"/>
  <c r="AG602" i="67"/>
  <c r="AG603" i="67"/>
  <c r="AG604" i="67"/>
  <c r="AG605" i="67"/>
  <c r="AG606" i="67"/>
  <c r="AG607" i="67"/>
  <c r="AG608" i="67"/>
  <c r="AG609" i="67"/>
  <c r="AG610" i="67"/>
  <c r="AG611" i="67"/>
  <c r="AG612" i="67"/>
  <c r="AG613" i="67"/>
  <c r="AG614" i="67"/>
  <c r="AG615" i="67"/>
  <c r="AG616" i="67"/>
  <c r="AG617" i="67"/>
  <c r="AG618" i="67"/>
  <c r="AG619" i="67"/>
  <c r="AG620" i="67"/>
  <c r="AG621" i="67"/>
  <c r="AG622" i="67"/>
  <c r="AG623" i="67"/>
  <c r="AG624" i="67"/>
  <c r="AG625" i="67"/>
  <c r="AG626" i="67"/>
  <c r="AG627" i="67"/>
  <c r="AG628" i="67"/>
  <c r="AG629" i="67"/>
  <c r="AG630" i="67"/>
  <c r="AG631" i="67"/>
  <c r="AG632" i="67"/>
  <c r="AG633" i="67"/>
  <c r="AG634" i="67"/>
  <c r="AG635" i="67"/>
  <c r="AG636" i="67"/>
  <c r="AG637" i="67"/>
  <c r="AG638" i="67"/>
  <c r="AG639" i="67"/>
  <c r="AG640" i="67"/>
  <c r="AG641" i="67"/>
  <c r="AG642" i="67"/>
  <c r="AG643" i="67"/>
  <c r="AG644" i="67"/>
  <c r="AG645" i="67"/>
  <c r="AG646" i="67"/>
  <c r="AG647" i="67"/>
  <c r="AG648" i="67"/>
  <c r="AG649" i="67"/>
  <c r="AG650" i="67"/>
  <c r="AG651" i="67"/>
  <c r="AG652" i="67"/>
  <c r="AG653" i="67"/>
  <c r="AG654" i="67"/>
  <c r="AG655" i="67"/>
  <c r="AG656" i="67"/>
  <c r="AG657" i="67"/>
  <c r="AG658" i="67"/>
  <c r="AG659" i="67"/>
  <c r="AG660" i="67"/>
  <c r="AG661" i="67"/>
  <c r="AG662" i="67"/>
  <c r="AG663" i="67"/>
  <c r="AG664" i="67"/>
  <c r="AG665" i="67"/>
  <c r="AG666" i="67"/>
  <c r="AG667" i="67"/>
  <c r="AG668" i="67"/>
  <c r="AG669" i="67"/>
  <c r="AG670" i="67"/>
  <c r="AG671" i="67"/>
  <c r="AG672" i="67"/>
  <c r="AG673" i="67"/>
  <c r="AG674" i="67"/>
  <c r="AG675" i="67"/>
  <c r="AG676" i="67"/>
  <c r="AG677" i="67"/>
  <c r="AG678" i="67"/>
  <c r="AG679" i="67"/>
  <c r="AG680" i="67"/>
  <c r="AG681" i="67"/>
  <c r="AG682" i="67"/>
  <c r="AG683" i="67"/>
  <c r="AG684" i="67"/>
  <c r="AG685" i="67"/>
  <c r="AG686" i="67"/>
  <c r="AG687" i="67"/>
  <c r="U658" i="67" l="1"/>
  <c r="V658" i="67" s="1"/>
  <c r="W658" i="67" s="1"/>
  <c r="U659" i="67"/>
  <c r="V659" i="67" s="1"/>
  <c r="W659" i="67" s="1"/>
  <c r="U660" i="67"/>
  <c r="V660" i="67" s="1"/>
  <c r="W660" i="67" s="1"/>
  <c r="U661" i="67"/>
  <c r="V661" i="67" s="1"/>
  <c r="W661" i="67" s="1"/>
  <c r="U662" i="67"/>
  <c r="V662" i="67" s="1"/>
  <c r="W662" i="67" s="1"/>
  <c r="U663" i="67"/>
  <c r="V663" i="67" s="1"/>
  <c r="W663" i="67" s="1"/>
  <c r="U664" i="67"/>
  <c r="V664" i="67" s="1"/>
  <c r="W664" i="67" s="1"/>
  <c r="U665" i="67"/>
  <c r="V665" i="67" s="1"/>
  <c r="W665" i="67" s="1"/>
  <c r="U666" i="67"/>
  <c r="V666" i="67" s="1"/>
  <c r="W666" i="67" s="1"/>
  <c r="U667" i="67"/>
  <c r="V667" i="67" s="1"/>
  <c r="W667" i="67" s="1"/>
  <c r="U668" i="67"/>
  <c r="V668" i="67" s="1"/>
  <c r="W668" i="67" s="1"/>
  <c r="U669" i="67"/>
  <c r="V669" i="67" s="1"/>
  <c r="W669" i="67" s="1"/>
  <c r="U670" i="67"/>
  <c r="V670" i="67" s="1"/>
  <c r="W670" i="67" s="1"/>
  <c r="U671" i="67"/>
  <c r="V671" i="67" s="1"/>
  <c r="W671" i="67" s="1"/>
  <c r="U672" i="67"/>
  <c r="V672" i="67" s="1"/>
  <c r="W672" i="67" s="1"/>
  <c r="U673" i="67"/>
  <c r="V673" i="67" s="1"/>
  <c r="W673" i="67" s="1"/>
  <c r="U674" i="67"/>
  <c r="V674" i="67" s="1"/>
  <c r="W674" i="67" s="1"/>
  <c r="U675" i="67"/>
  <c r="V675" i="67" s="1"/>
  <c r="W675" i="67" s="1"/>
  <c r="U676" i="67"/>
  <c r="V676" i="67" s="1"/>
  <c r="W676" i="67" s="1"/>
  <c r="U677" i="67"/>
  <c r="V677" i="67" s="1"/>
  <c r="W677" i="67" s="1"/>
  <c r="U678" i="67"/>
  <c r="V678" i="67" s="1"/>
  <c r="W678" i="67" s="1"/>
  <c r="U679" i="67"/>
  <c r="V679" i="67" s="1"/>
  <c r="W679" i="67" s="1"/>
  <c r="U680" i="67"/>
  <c r="V680" i="67" s="1"/>
  <c r="W680" i="67" s="1"/>
  <c r="U681" i="67"/>
  <c r="V681" i="67" s="1"/>
  <c r="W681" i="67" s="1"/>
  <c r="U682" i="67"/>
  <c r="V682" i="67" s="1"/>
  <c r="W682" i="67" s="1"/>
  <c r="U683" i="67"/>
  <c r="V683" i="67" s="1"/>
  <c r="W683" i="67" s="1"/>
  <c r="U684" i="67"/>
  <c r="V684" i="67" s="1"/>
  <c r="W684" i="67" s="1"/>
  <c r="U685" i="67"/>
  <c r="V685" i="67" s="1"/>
  <c r="W685" i="67" s="1"/>
  <c r="U686" i="67"/>
  <c r="V686" i="67" s="1"/>
  <c r="W686" i="67" s="1"/>
  <c r="U687" i="67"/>
  <c r="V687" i="67" s="1"/>
  <c r="W687" i="67" s="1"/>
  <c r="L658" i="67"/>
  <c r="M658" i="67"/>
  <c r="L659" i="67"/>
  <c r="M659" i="67"/>
  <c r="L660" i="67"/>
  <c r="M660" i="67"/>
  <c r="L661" i="67"/>
  <c r="M661" i="67"/>
  <c r="L662" i="67"/>
  <c r="M662" i="67"/>
  <c r="L663" i="67"/>
  <c r="M663" i="67"/>
  <c r="L664" i="67"/>
  <c r="M664" i="67"/>
  <c r="L665" i="67"/>
  <c r="M665" i="67"/>
  <c r="L666" i="67"/>
  <c r="M666" i="67"/>
  <c r="L667" i="67"/>
  <c r="M667" i="67"/>
  <c r="L668" i="67"/>
  <c r="M668" i="67"/>
  <c r="L669" i="67"/>
  <c r="M669" i="67"/>
  <c r="L670" i="67"/>
  <c r="M670" i="67"/>
  <c r="L671" i="67"/>
  <c r="M671" i="67"/>
  <c r="L672" i="67"/>
  <c r="M672" i="67"/>
  <c r="L673" i="67"/>
  <c r="M673" i="67"/>
  <c r="L674" i="67"/>
  <c r="M674" i="67"/>
  <c r="L675" i="67"/>
  <c r="M675" i="67"/>
  <c r="L676" i="67"/>
  <c r="M676" i="67"/>
  <c r="L677" i="67"/>
  <c r="M677" i="67"/>
  <c r="L678" i="67"/>
  <c r="M678" i="67"/>
  <c r="L679" i="67"/>
  <c r="M679" i="67"/>
  <c r="L680" i="67"/>
  <c r="M680" i="67"/>
  <c r="L681" i="67"/>
  <c r="M681" i="67"/>
  <c r="L682" i="67"/>
  <c r="M682" i="67"/>
  <c r="L683" i="67"/>
  <c r="M683" i="67"/>
  <c r="L684" i="67"/>
  <c r="M684" i="67"/>
  <c r="L685" i="67"/>
  <c r="M685" i="67"/>
  <c r="L686" i="67"/>
  <c r="M686" i="67"/>
  <c r="L687" i="67"/>
  <c r="M687" i="67"/>
  <c r="N658" i="67"/>
  <c r="N659" i="67"/>
  <c r="N660" i="67"/>
  <c r="N661" i="67"/>
  <c r="N662" i="67"/>
  <c r="N663" i="67"/>
  <c r="N664" i="67"/>
  <c r="N665" i="67"/>
  <c r="N666" i="67"/>
  <c r="N667" i="67"/>
  <c r="N668" i="67"/>
  <c r="N669" i="67"/>
  <c r="N670" i="67"/>
  <c r="N671" i="67"/>
  <c r="N672" i="67"/>
  <c r="N673" i="67"/>
  <c r="N674" i="67"/>
  <c r="N675" i="67"/>
  <c r="N676" i="67"/>
  <c r="N677" i="67"/>
  <c r="N678" i="67"/>
  <c r="N679" i="67"/>
  <c r="N680" i="67"/>
  <c r="N681" i="67"/>
  <c r="N682" i="67"/>
  <c r="N683" i="67"/>
  <c r="N684" i="67"/>
  <c r="N685" i="67"/>
  <c r="N686" i="67"/>
  <c r="N687" i="67"/>
  <c r="A658" i="67"/>
  <c r="A659" i="67"/>
  <c r="A660" i="67"/>
  <c r="A661" i="67"/>
  <c r="A662" i="67"/>
  <c r="A663" i="67"/>
  <c r="A664" i="67"/>
  <c r="A665" i="67"/>
  <c r="A666" i="67"/>
  <c r="A667" i="67"/>
  <c r="A668" i="67"/>
  <c r="A669" i="67"/>
  <c r="A670" i="67"/>
  <c r="A671" i="67"/>
  <c r="A672" i="67"/>
  <c r="A673" i="67"/>
  <c r="A674" i="67"/>
  <c r="A675" i="67"/>
  <c r="A676" i="67"/>
  <c r="A677" i="67"/>
  <c r="A678" i="67"/>
  <c r="A679" i="67"/>
  <c r="A680" i="67"/>
  <c r="A681" i="67"/>
  <c r="A682" i="67"/>
  <c r="A683" i="67"/>
  <c r="A684" i="67"/>
  <c r="A685" i="67"/>
  <c r="A686" i="67"/>
  <c r="A687" i="67"/>
  <c r="AD471" i="67" l="1"/>
  <c r="AE471" i="67" s="1"/>
  <c r="AD472" i="67"/>
  <c r="AE472" i="67" s="1"/>
  <c r="AD473" i="67"/>
  <c r="AE473" i="67" s="1"/>
  <c r="AD474" i="67"/>
  <c r="AE474" i="67" s="1"/>
  <c r="AD475" i="67"/>
  <c r="AE475" i="67" s="1"/>
  <c r="AD476" i="67"/>
  <c r="AE476" i="67" s="1"/>
  <c r="AD477" i="67"/>
  <c r="AE477" i="67" s="1"/>
  <c r="AD478" i="67"/>
  <c r="AE478" i="67" s="1"/>
  <c r="AD479" i="67"/>
  <c r="AE479" i="67" s="1"/>
  <c r="AD480" i="67"/>
  <c r="AE480" i="67" s="1"/>
  <c r="AD481" i="67"/>
  <c r="AE481" i="67" s="1"/>
  <c r="AD482" i="67"/>
  <c r="AE482" i="67" s="1"/>
  <c r="AD483" i="67"/>
  <c r="AE483" i="67" s="1"/>
  <c r="AD484" i="67"/>
  <c r="AE484" i="67" s="1"/>
  <c r="AD485" i="67"/>
  <c r="AE485" i="67" s="1"/>
  <c r="AD486" i="67"/>
  <c r="AE486" i="67" s="1"/>
  <c r="AD487" i="67"/>
  <c r="AE487" i="67" s="1"/>
  <c r="AD488" i="67"/>
  <c r="AE488" i="67" s="1"/>
  <c r="AD489" i="67"/>
  <c r="AE489" i="67" s="1"/>
  <c r="AD490" i="67"/>
  <c r="AE490" i="67" s="1"/>
  <c r="AD491" i="67"/>
  <c r="AE491" i="67" s="1"/>
  <c r="AD492" i="67"/>
  <c r="AE492" i="67" s="1"/>
  <c r="AD493" i="67"/>
  <c r="AE493" i="67" s="1"/>
  <c r="AD494" i="67"/>
  <c r="AE494" i="67" s="1"/>
  <c r="AD495" i="67"/>
  <c r="AE495" i="67" s="1"/>
  <c r="AD496" i="67"/>
  <c r="AE496" i="67" s="1"/>
  <c r="AD497" i="67"/>
  <c r="AE497" i="67" s="1"/>
  <c r="AD498" i="67"/>
  <c r="AE498" i="67" s="1"/>
  <c r="AD499" i="67"/>
  <c r="AE499" i="67" s="1"/>
  <c r="AD500" i="67"/>
  <c r="AE500" i="67" s="1"/>
  <c r="AD501" i="67"/>
  <c r="AE501" i="67" s="1"/>
  <c r="AD502" i="67"/>
  <c r="AE502" i="67" s="1"/>
  <c r="AD503" i="67"/>
  <c r="AE503" i="67" s="1"/>
  <c r="AD504" i="67"/>
  <c r="AE504" i="67" s="1"/>
  <c r="AD505" i="67"/>
  <c r="AE505" i="67" s="1"/>
  <c r="AD506" i="67"/>
  <c r="AE506" i="67" s="1"/>
  <c r="AD507" i="67"/>
  <c r="AE507" i="67" s="1"/>
  <c r="AD508" i="67"/>
  <c r="AE508" i="67" s="1"/>
  <c r="AD509" i="67"/>
  <c r="AE509" i="67" s="1"/>
  <c r="AD510" i="67"/>
  <c r="AE510" i="67" s="1"/>
  <c r="AD511" i="67"/>
  <c r="AE511" i="67" s="1"/>
  <c r="AD512" i="67"/>
  <c r="AE512" i="67" s="1"/>
  <c r="AD513" i="67"/>
  <c r="AE513" i="67" s="1"/>
  <c r="AD514" i="67"/>
  <c r="AE514" i="67" s="1"/>
  <c r="AD515" i="67"/>
  <c r="AE515" i="67" s="1"/>
  <c r="AD516" i="67"/>
  <c r="AE516" i="67" s="1"/>
  <c r="AD517" i="67"/>
  <c r="AE517" i="67" s="1"/>
  <c r="AD518" i="67"/>
  <c r="AE518" i="67" s="1"/>
  <c r="AD519" i="67"/>
  <c r="AE519" i="67" s="1"/>
  <c r="AD520" i="67"/>
  <c r="AE520" i="67" s="1"/>
  <c r="AD521" i="67"/>
  <c r="AE521" i="67" s="1"/>
  <c r="AD522" i="67"/>
  <c r="AE522" i="67" s="1"/>
  <c r="AD523" i="67"/>
  <c r="AE523" i="67" s="1"/>
  <c r="AD524" i="67"/>
  <c r="AE524" i="67" s="1"/>
  <c r="AD525" i="67"/>
  <c r="AE525" i="67" s="1"/>
  <c r="AD526" i="67"/>
  <c r="AE526" i="67" s="1"/>
  <c r="AD527" i="67"/>
  <c r="AE527" i="67" s="1"/>
  <c r="AD528" i="67"/>
  <c r="AE528" i="67" s="1"/>
  <c r="AD529" i="67"/>
  <c r="AE529" i="67" s="1"/>
  <c r="AD530" i="67"/>
  <c r="AE530" i="67" s="1"/>
  <c r="AD531" i="67"/>
  <c r="AE531" i="67" s="1"/>
  <c r="AD532" i="67"/>
  <c r="AE532" i="67" s="1"/>
  <c r="AD533" i="67"/>
  <c r="AE533" i="67" s="1"/>
  <c r="AD534" i="67"/>
  <c r="AE534" i="67" s="1"/>
  <c r="AD535" i="67"/>
  <c r="AE535" i="67" s="1"/>
  <c r="AD536" i="67"/>
  <c r="AE536" i="67" s="1"/>
  <c r="AD537" i="67"/>
  <c r="AE537" i="67" s="1"/>
  <c r="AD538" i="67"/>
  <c r="AE538" i="67" s="1"/>
  <c r="AD539" i="67"/>
  <c r="AE539" i="67" s="1"/>
  <c r="AD540" i="67"/>
  <c r="AE540" i="67" s="1"/>
  <c r="AD541" i="67"/>
  <c r="AE541" i="67" s="1"/>
  <c r="AD542" i="67"/>
  <c r="AE542" i="67" s="1"/>
  <c r="AD543" i="67"/>
  <c r="AE543" i="67" s="1"/>
  <c r="AD544" i="67"/>
  <c r="AE544" i="67" s="1"/>
  <c r="AD545" i="67"/>
  <c r="AE545" i="67" s="1"/>
  <c r="AD546" i="67"/>
  <c r="AE546" i="67" s="1"/>
  <c r="AD547" i="67"/>
  <c r="AE547" i="67" s="1"/>
  <c r="AD548" i="67"/>
  <c r="AE548" i="67" s="1"/>
  <c r="AD549" i="67"/>
  <c r="AE549" i="67" s="1"/>
  <c r="AD550" i="67"/>
  <c r="AE550" i="67" s="1"/>
  <c r="AD551" i="67"/>
  <c r="AE551" i="67" s="1"/>
  <c r="AD552" i="67"/>
  <c r="AE552" i="67" s="1"/>
  <c r="AD553" i="67"/>
  <c r="AE553" i="67" s="1"/>
  <c r="AD554" i="67"/>
  <c r="AE554" i="67" s="1"/>
  <c r="AD555" i="67"/>
  <c r="AE555" i="67" s="1"/>
  <c r="AD556" i="67"/>
  <c r="AE556" i="67" s="1"/>
  <c r="AD557" i="67"/>
  <c r="AE557" i="67" s="1"/>
  <c r="AD558" i="67"/>
  <c r="AE558" i="67" s="1"/>
  <c r="AD559" i="67"/>
  <c r="AE559" i="67" s="1"/>
  <c r="AD560" i="67"/>
  <c r="AE560" i="67" s="1"/>
  <c r="AD561" i="67"/>
  <c r="AE561" i="67" s="1"/>
  <c r="AD562" i="67"/>
  <c r="AE562" i="67" s="1"/>
  <c r="AD563" i="67"/>
  <c r="AE563" i="67" s="1"/>
  <c r="AD564" i="67"/>
  <c r="AE564" i="67" s="1"/>
  <c r="AD565" i="67"/>
  <c r="AE565" i="67" s="1"/>
  <c r="AD566" i="67"/>
  <c r="AE566" i="67" s="1"/>
  <c r="AD567" i="67"/>
  <c r="AE567" i="67" s="1"/>
  <c r="AD568" i="67"/>
  <c r="AE568" i="67" s="1"/>
  <c r="AD569" i="67"/>
  <c r="AE569" i="67" s="1"/>
  <c r="AD570" i="67"/>
  <c r="AE570" i="67" s="1"/>
  <c r="AD571" i="67"/>
  <c r="AE571" i="67" s="1"/>
  <c r="AD572" i="67"/>
  <c r="AE572" i="67" s="1"/>
  <c r="AD573" i="67"/>
  <c r="AE573" i="67" s="1"/>
  <c r="AD574" i="67"/>
  <c r="AE574" i="67" s="1"/>
  <c r="AD575" i="67"/>
  <c r="AE575" i="67" s="1"/>
  <c r="AD576" i="67"/>
  <c r="AE576" i="67" s="1"/>
  <c r="AD577" i="67"/>
  <c r="AE577" i="67" s="1"/>
  <c r="AD578" i="67"/>
  <c r="AE578" i="67" s="1"/>
  <c r="AD579" i="67"/>
  <c r="AE579" i="67" s="1"/>
  <c r="AD580" i="67"/>
  <c r="AE580" i="67" s="1"/>
  <c r="AD581" i="67"/>
  <c r="AE581" i="67" s="1"/>
  <c r="AD582" i="67"/>
  <c r="AE582" i="67" s="1"/>
  <c r="AD583" i="67"/>
  <c r="AE583" i="67" s="1"/>
  <c r="AD584" i="67"/>
  <c r="AE584" i="67" s="1"/>
  <c r="AD585" i="67"/>
  <c r="AE585" i="67" s="1"/>
  <c r="AD586" i="67"/>
  <c r="AE586" i="67" s="1"/>
  <c r="AD587" i="67"/>
  <c r="AE587" i="67" s="1"/>
  <c r="AD588" i="67"/>
  <c r="AE588" i="67" s="1"/>
  <c r="AD589" i="67"/>
  <c r="AE589" i="67" s="1"/>
  <c r="AD590" i="67"/>
  <c r="AE590" i="67" s="1"/>
  <c r="AD591" i="67"/>
  <c r="AE591" i="67" s="1"/>
  <c r="AD592" i="67"/>
  <c r="AE592" i="67" s="1"/>
  <c r="AD593" i="67"/>
  <c r="AE593" i="67" s="1"/>
  <c r="AD594" i="67"/>
  <c r="AE594" i="67" s="1"/>
  <c r="AD595" i="67"/>
  <c r="AE595" i="67" s="1"/>
  <c r="AD596" i="67"/>
  <c r="AE596" i="67" s="1"/>
  <c r="AD597" i="67"/>
  <c r="AE597" i="67" s="1"/>
  <c r="AD598" i="67"/>
  <c r="AE598" i="67" s="1"/>
  <c r="AD599" i="67"/>
  <c r="AE599" i="67" s="1"/>
  <c r="AD600" i="67"/>
  <c r="AE600" i="67" s="1"/>
  <c r="AD601" i="67"/>
  <c r="AE601" i="67" s="1"/>
  <c r="AD602" i="67"/>
  <c r="AE602" i="67" s="1"/>
  <c r="AD603" i="67"/>
  <c r="AE603" i="67" s="1"/>
  <c r="AD604" i="67"/>
  <c r="AE604" i="67" s="1"/>
  <c r="AD605" i="67"/>
  <c r="AE605" i="67" s="1"/>
  <c r="AD606" i="67"/>
  <c r="AE606" i="67" s="1"/>
  <c r="AD607" i="67"/>
  <c r="AE607" i="67" s="1"/>
  <c r="AD608" i="67"/>
  <c r="AE608" i="67" s="1"/>
  <c r="AD609" i="67"/>
  <c r="AE609" i="67" s="1"/>
  <c r="AD610" i="67"/>
  <c r="AE610" i="67" s="1"/>
  <c r="AD611" i="67"/>
  <c r="AE611" i="67" s="1"/>
  <c r="AD612" i="67"/>
  <c r="AE612" i="67" s="1"/>
  <c r="AD613" i="67"/>
  <c r="AE613" i="67" s="1"/>
  <c r="AD614" i="67"/>
  <c r="AE614" i="67" s="1"/>
  <c r="AD615" i="67"/>
  <c r="AE615" i="67" s="1"/>
  <c r="AD616" i="67"/>
  <c r="AE616" i="67" s="1"/>
  <c r="AD617" i="67"/>
  <c r="AE617" i="67" s="1"/>
  <c r="AD618" i="67"/>
  <c r="AE618" i="67" s="1"/>
  <c r="AD619" i="67"/>
  <c r="AE619" i="67" s="1"/>
  <c r="AD620" i="67"/>
  <c r="AE620" i="67" s="1"/>
  <c r="AD621" i="67"/>
  <c r="AE621" i="67" s="1"/>
  <c r="AD622" i="67"/>
  <c r="AE622" i="67" s="1"/>
  <c r="AD623" i="67"/>
  <c r="AE623" i="67" s="1"/>
  <c r="AD624" i="67"/>
  <c r="AE624" i="67" s="1"/>
  <c r="AD625" i="67"/>
  <c r="AE625" i="67" s="1"/>
  <c r="AD626" i="67"/>
  <c r="AE626" i="67" s="1"/>
  <c r="AD627" i="67"/>
  <c r="AE627" i="67" s="1"/>
  <c r="AD628" i="67"/>
  <c r="AE628" i="67" s="1"/>
  <c r="AD629" i="67"/>
  <c r="AE629" i="67" s="1"/>
  <c r="AD630" i="67"/>
  <c r="AE630" i="67" s="1"/>
  <c r="AD631" i="67"/>
  <c r="AE631" i="67" s="1"/>
  <c r="AD632" i="67"/>
  <c r="AE632" i="67" s="1"/>
  <c r="AD633" i="67"/>
  <c r="AE633" i="67" s="1"/>
  <c r="AD634" i="67"/>
  <c r="AE634" i="67" s="1"/>
  <c r="AD635" i="67"/>
  <c r="AE635" i="67" s="1"/>
  <c r="AD636" i="67"/>
  <c r="AE636" i="67" s="1"/>
  <c r="AD637" i="67"/>
  <c r="AE637" i="67" s="1"/>
  <c r="AD638" i="67"/>
  <c r="AE638" i="67" s="1"/>
  <c r="AD639" i="67"/>
  <c r="AE639" i="67" s="1"/>
  <c r="AD640" i="67"/>
  <c r="AE640" i="67" s="1"/>
  <c r="AD641" i="67"/>
  <c r="AE641" i="67" s="1"/>
  <c r="AD642" i="67"/>
  <c r="AE642" i="67" s="1"/>
  <c r="AD643" i="67"/>
  <c r="AE643" i="67" s="1"/>
  <c r="AD644" i="67"/>
  <c r="AE644" i="67" s="1"/>
  <c r="AD645" i="67"/>
  <c r="AE645" i="67" s="1"/>
  <c r="AD646" i="67"/>
  <c r="AE646" i="67" s="1"/>
  <c r="AD647" i="67"/>
  <c r="AE647" i="67" s="1"/>
  <c r="AD648" i="67"/>
  <c r="AE648" i="67" s="1"/>
  <c r="AD649" i="67"/>
  <c r="AE649" i="67" s="1"/>
  <c r="AD650" i="67"/>
  <c r="AE650" i="67" s="1"/>
  <c r="AD651" i="67"/>
  <c r="AE651" i="67" s="1"/>
  <c r="AD652" i="67"/>
  <c r="AE652" i="67" s="1"/>
  <c r="AD653" i="67"/>
  <c r="AE653" i="67" s="1"/>
  <c r="AD654" i="67"/>
  <c r="AE654" i="67" s="1"/>
  <c r="AD655" i="67"/>
  <c r="AE655" i="67" s="1"/>
  <c r="AD656" i="67"/>
  <c r="AE656" i="67" s="1"/>
  <c r="AD657" i="67"/>
  <c r="AE657" i="67" s="1"/>
  <c r="U619" i="67" l="1"/>
  <c r="V619" i="67" s="1"/>
  <c r="W619" i="67" s="1"/>
  <c r="U620" i="67"/>
  <c r="V620" i="67" s="1"/>
  <c r="W620" i="67" s="1"/>
  <c r="U621" i="67"/>
  <c r="V621" i="67" s="1"/>
  <c r="W621" i="67" s="1"/>
  <c r="U622" i="67"/>
  <c r="V622" i="67" s="1"/>
  <c r="W622" i="67" s="1"/>
  <c r="U623" i="67"/>
  <c r="V623" i="67" s="1"/>
  <c r="W623" i="67" s="1"/>
  <c r="U624" i="67"/>
  <c r="V624" i="67" s="1"/>
  <c r="W624" i="67" s="1"/>
  <c r="U625" i="67"/>
  <c r="V625" i="67" s="1"/>
  <c r="W625" i="67" s="1"/>
  <c r="U626" i="67"/>
  <c r="V626" i="67" s="1"/>
  <c r="W626" i="67" s="1"/>
  <c r="U627" i="67"/>
  <c r="V627" i="67" s="1"/>
  <c r="W627" i="67" s="1"/>
  <c r="U628" i="67"/>
  <c r="V628" i="67" s="1"/>
  <c r="W628" i="67" s="1"/>
  <c r="U629" i="67"/>
  <c r="V629" i="67" s="1"/>
  <c r="W629" i="67" s="1"/>
  <c r="U630" i="67"/>
  <c r="V630" i="67" s="1"/>
  <c r="W630" i="67" s="1"/>
  <c r="U631" i="67"/>
  <c r="V631" i="67" s="1"/>
  <c r="W631" i="67" s="1"/>
  <c r="U632" i="67"/>
  <c r="V632" i="67" s="1"/>
  <c r="W632" i="67" s="1"/>
  <c r="U633" i="67"/>
  <c r="V633" i="67" s="1"/>
  <c r="W633" i="67" s="1"/>
  <c r="U634" i="67"/>
  <c r="V634" i="67" s="1"/>
  <c r="W634" i="67" s="1"/>
  <c r="U635" i="67"/>
  <c r="V635" i="67" s="1"/>
  <c r="W635" i="67" s="1"/>
  <c r="U636" i="67"/>
  <c r="V636" i="67" s="1"/>
  <c r="W636" i="67" s="1"/>
  <c r="U637" i="67"/>
  <c r="V637" i="67" s="1"/>
  <c r="W637" i="67" s="1"/>
  <c r="U638" i="67"/>
  <c r="V638" i="67" s="1"/>
  <c r="W638" i="67" s="1"/>
  <c r="U639" i="67"/>
  <c r="V639" i="67" s="1"/>
  <c r="W639" i="67" s="1"/>
  <c r="U640" i="67"/>
  <c r="V640" i="67" s="1"/>
  <c r="W640" i="67" s="1"/>
  <c r="U641" i="67"/>
  <c r="V641" i="67" s="1"/>
  <c r="W641" i="67" s="1"/>
  <c r="U642" i="67"/>
  <c r="V642" i="67" s="1"/>
  <c r="W642" i="67" s="1"/>
  <c r="U643" i="67"/>
  <c r="V643" i="67" s="1"/>
  <c r="W643" i="67" s="1"/>
  <c r="U644" i="67"/>
  <c r="V644" i="67" s="1"/>
  <c r="W644" i="67" s="1"/>
  <c r="U645" i="67"/>
  <c r="V645" i="67" s="1"/>
  <c r="W645" i="67" s="1"/>
  <c r="U646" i="67"/>
  <c r="V646" i="67" s="1"/>
  <c r="W646" i="67" s="1"/>
  <c r="U647" i="67"/>
  <c r="V647" i="67" s="1"/>
  <c r="W647" i="67" s="1"/>
  <c r="U648" i="67"/>
  <c r="V648" i="67" s="1"/>
  <c r="W648" i="67" s="1"/>
  <c r="U649" i="67"/>
  <c r="V649" i="67" s="1"/>
  <c r="W649" i="67" s="1"/>
  <c r="U650" i="67"/>
  <c r="V650" i="67" s="1"/>
  <c r="W650" i="67" s="1"/>
  <c r="U651" i="67"/>
  <c r="V651" i="67" s="1"/>
  <c r="W651" i="67" s="1"/>
  <c r="U652" i="67"/>
  <c r="V652" i="67" s="1"/>
  <c r="W652" i="67" s="1"/>
  <c r="U653" i="67"/>
  <c r="V653" i="67" s="1"/>
  <c r="W653" i="67" s="1"/>
  <c r="U654" i="67"/>
  <c r="V654" i="67" s="1"/>
  <c r="W654" i="67" s="1"/>
  <c r="U655" i="67"/>
  <c r="V655" i="67" s="1"/>
  <c r="W655" i="67" s="1"/>
  <c r="U656" i="67"/>
  <c r="V656" i="67" s="1"/>
  <c r="W656" i="67" s="1"/>
  <c r="U657" i="67"/>
  <c r="V657" i="67" s="1"/>
  <c r="W657" i="67" s="1"/>
  <c r="L619" i="67"/>
  <c r="M619" i="67"/>
  <c r="N619" i="67"/>
  <c r="L620" i="67"/>
  <c r="M620" i="67"/>
  <c r="N620" i="67"/>
  <c r="L621" i="67"/>
  <c r="M621" i="67"/>
  <c r="N621" i="67"/>
  <c r="L622" i="67"/>
  <c r="M622" i="67"/>
  <c r="N622" i="67"/>
  <c r="L623" i="67"/>
  <c r="M623" i="67"/>
  <c r="N623" i="67"/>
  <c r="L624" i="67"/>
  <c r="M624" i="67"/>
  <c r="N624" i="67"/>
  <c r="L625" i="67"/>
  <c r="M625" i="67"/>
  <c r="N625" i="67"/>
  <c r="L626" i="67"/>
  <c r="M626" i="67"/>
  <c r="N626" i="67"/>
  <c r="L627" i="67"/>
  <c r="M627" i="67"/>
  <c r="N627" i="67"/>
  <c r="L628" i="67"/>
  <c r="M628" i="67"/>
  <c r="N628" i="67"/>
  <c r="L629" i="67"/>
  <c r="M629" i="67"/>
  <c r="N629" i="67"/>
  <c r="L630" i="67"/>
  <c r="M630" i="67"/>
  <c r="N630" i="67"/>
  <c r="L631" i="67"/>
  <c r="M631" i="67"/>
  <c r="N631" i="67"/>
  <c r="L632" i="67"/>
  <c r="M632" i="67"/>
  <c r="N632" i="67"/>
  <c r="L633" i="67"/>
  <c r="M633" i="67"/>
  <c r="N633" i="67"/>
  <c r="L634" i="67"/>
  <c r="M634" i="67"/>
  <c r="N634" i="67"/>
  <c r="L635" i="67"/>
  <c r="M635" i="67"/>
  <c r="N635" i="67"/>
  <c r="L636" i="67"/>
  <c r="M636" i="67"/>
  <c r="N636" i="67"/>
  <c r="L637" i="67"/>
  <c r="M637" i="67"/>
  <c r="N637" i="67"/>
  <c r="L638" i="67"/>
  <c r="M638" i="67"/>
  <c r="N638" i="67"/>
  <c r="L639" i="67"/>
  <c r="M639" i="67"/>
  <c r="N639" i="67"/>
  <c r="L640" i="67"/>
  <c r="M640" i="67"/>
  <c r="N640" i="67"/>
  <c r="L641" i="67"/>
  <c r="M641" i="67"/>
  <c r="N641" i="67"/>
  <c r="L642" i="67"/>
  <c r="M642" i="67"/>
  <c r="N642" i="67"/>
  <c r="L643" i="67"/>
  <c r="M643" i="67"/>
  <c r="N643" i="67"/>
  <c r="L644" i="67"/>
  <c r="M644" i="67"/>
  <c r="N644" i="67"/>
  <c r="L645" i="67"/>
  <c r="M645" i="67"/>
  <c r="N645" i="67"/>
  <c r="L646" i="67"/>
  <c r="M646" i="67"/>
  <c r="N646" i="67"/>
  <c r="L647" i="67"/>
  <c r="M647" i="67"/>
  <c r="N647" i="67"/>
  <c r="L648" i="67"/>
  <c r="M648" i="67"/>
  <c r="N648" i="67"/>
  <c r="L649" i="67"/>
  <c r="M649" i="67"/>
  <c r="N649" i="67"/>
  <c r="L650" i="67"/>
  <c r="M650" i="67"/>
  <c r="N650" i="67"/>
  <c r="L651" i="67"/>
  <c r="M651" i="67"/>
  <c r="N651" i="67"/>
  <c r="L652" i="67"/>
  <c r="M652" i="67"/>
  <c r="N652" i="67"/>
  <c r="L653" i="67"/>
  <c r="M653" i="67"/>
  <c r="N653" i="67"/>
  <c r="L654" i="67"/>
  <c r="M654" i="67"/>
  <c r="N654" i="67"/>
  <c r="L655" i="67"/>
  <c r="M655" i="67"/>
  <c r="N655" i="67"/>
  <c r="L656" i="67"/>
  <c r="M656" i="67"/>
  <c r="N656" i="67"/>
  <c r="L657" i="67"/>
  <c r="M657" i="67"/>
  <c r="N657" i="67"/>
  <c r="A621" i="67"/>
  <c r="A622" i="67"/>
  <c r="A623" i="67"/>
  <c r="A624" i="67"/>
  <c r="A625" i="67"/>
  <c r="A626" i="67"/>
  <c r="A627" i="67"/>
  <c r="A628" i="67"/>
  <c r="A629" i="67"/>
  <c r="A630" i="67"/>
  <c r="A631" i="67"/>
  <c r="A632" i="67"/>
  <c r="A633" i="67"/>
  <c r="A634" i="67"/>
  <c r="A635" i="67"/>
  <c r="A636" i="67"/>
  <c r="A637" i="67"/>
  <c r="A638" i="67"/>
  <c r="A639" i="67"/>
  <c r="A640" i="67"/>
  <c r="A641" i="67"/>
  <c r="A642" i="67"/>
  <c r="A643" i="67"/>
  <c r="A644" i="67"/>
  <c r="A645" i="67"/>
  <c r="A646" i="67"/>
  <c r="A647" i="67"/>
  <c r="A648" i="67"/>
  <c r="A649" i="67"/>
  <c r="A650" i="67"/>
  <c r="A651" i="67"/>
  <c r="A652" i="67"/>
  <c r="A653" i="67"/>
  <c r="A654" i="67"/>
  <c r="A655" i="67"/>
  <c r="A656" i="67"/>
  <c r="A657" i="67"/>
  <c r="A620" i="67"/>
  <c r="U573" i="67"/>
  <c r="V573" i="67" s="1"/>
  <c r="W573" i="67" s="1"/>
  <c r="U574" i="67"/>
  <c r="V574" i="67" s="1"/>
  <c r="W574" i="67" s="1"/>
  <c r="U575" i="67"/>
  <c r="V575" i="67" s="1"/>
  <c r="W575" i="67" s="1"/>
  <c r="U576" i="67"/>
  <c r="V576" i="67" s="1"/>
  <c r="W576" i="67" s="1"/>
  <c r="U577" i="67"/>
  <c r="V577" i="67" s="1"/>
  <c r="W577" i="67" s="1"/>
  <c r="U578" i="67"/>
  <c r="V578" i="67" s="1"/>
  <c r="W578" i="67" s="1"/>
  <c r="U579" i="67"/>
  <c r="V579" i="67" s="1"/>
  <c r="W579" i="67" s="1"/>
  <c r="U580" i="67"/>
  <c r="V580" i="67" s="1"/>
  <c r="W580" i="67" s="1"/>
  <c r="U581" i="67"/>
  <c r="V581" i="67" s="1"/>
  <c r="W581" i="67" s="1"/>
  <c r="U582" i="67"/>
  <c r="V582" i="67" s="1"/>
  <c r="W582" i="67" s="1"/>
  <c r="U583" i="67"/>
  <c r="V583" i="67" s="1"/>
  <c r="W583" i="67" s="1"/>
  <c r="U584" i="67"/>
  <c r="V584" i="67" s="1"/>
  <c r="W584" i="67" s="1"/>
  <c r="U585" i="67"/>
  <c r="V585" i="67" s="1"/>
  <c r="W585" i="67" s="1"/>
  <c r="U586" i="67"/>
  <c r="V586" i="67" s="1"/>
  <c r="W586" i="67" s="1"/>
  <c r="U587" i="67"/>
  <c r="V587" i="67" s="1"/>
  <c r="W587" i="67" s="1"/>
  <c r="U588" i="67"/>
  <c r="V588" i="67" s="1"/>
  <c r="W588" i="67" s="1"/>
  <c r="U589" i="67"/>
  <c r="V589" i="67" s="1"/>
  <c r="W589" i="67" s="1"/>
  <c r="U590" i="67"/>
  <c r="V590" i="67" s="1"/>
  <c r="W590" i="67" s="1"/>
  <c r="U591" i="67"/>
  <c r="V591" i="67" s="1"/>
  <c r="W591" i="67" s="1"/>
  <c r="U592" i="67"/>
  <c r="V592" i="67" s="1"/>
  <c r="W592" i="67" s="1"/>
  <c r="U593" i="67"/>
  <c r="V593" i="67" s="1"/>
  <c r="W593" i="67" s="1"/>
  <c r="U594" i="67"/>
  <c r="V594" i="67" s="1"/>
  <c r="W594" i="67" s="1"/>
  <c r="U595" i="67"/>
  <c r="V595" i="67" s="1"/>
  <c r="W595" i="67" s="1"/>
  <c r="U596" i="67"/>
  <c r="V596" i="67" s="1"/>
  <c r="W596" i="67" s="1"/>
  <c r="U597" i="67"/>
  <c r="V597" i="67" s="1"/>
  <c r="W597" i="67" s="1"/>
  <c r="U598" i="67"/>
  <c r="V598" i="67" s="1"/>
  <c r="W598" i="67" s="1"/>
  <c r="U599" i="67"/>
  <c r="V599" i="67" s="1"/>
  <c r="W599" i="67" s="1"/>
  <c r="U600" i="67"/>
  <c r="V600" i="67" s="1"/>
  <c r="W600" i="67" s="1"/>
  <c r="U601" i="67"/>
  <c r="V601" i="67" s="1"/>
  <c r="W601" i="67" s="1"/>
  <c r="U602" i="67"/>
  <c r="V602" i="67" s="1"/>
  <c r="W602" i="67" s="1"/>
  <c r="U603" i="67"/>
  <c r="V603" i="67" s="1"/>
  <c r="W603" i="67" s="1"/>
  <c r="U604" i="67"/>
  <c r="V604" i="67" s="1"/>
  <c r="W604" i="67" s="1"/>
  <c r="U605" i="67"/>
  <c r="V605" i="67" s="1"/>
  <c r="W605" i="67" s="1"/>
  <c r="U606" i="67"/>
  <c r="V606" i="67" s="1"/>
  <c r="W606" i="67" s="1"/>
  <c r="U607" i="67"/>
  <c r="V607" i="67" s="1"/>
  <c r="W607" i="67" s="1"/>
  <c r="U608" i="67"/>
  <c r="V608" i="67" s="1"/>
  <c r="W608" i="67" s="1"/>
  <c r="U609" i="67"/>
  <c r="V609" i="67" s="1"/>
  <c r="W609" i="67" s="1"/>
  <c r="U610" i="67"/>
  <c r="V610" i="67" s="1"/>
  <c r="W610" i="67" s="1"/>
  <c r="U611" i="67"/>
  <c r="V611" i="67" s="1"/>
  <c r="W611" i="67" s="1"/>
  <c r="U612" i="67"/>
  <c r="V612" i="67" s="1"/>
  <c r="W612" i="67" s="1"/>
  <c r="U613" i="67"/>
  <c r="V613" i="67" s="1"/>
  <c r="W613" i="67" s="1"/>
  <c r="U614" i="67"/>
  <c r="V614" i="67" s="1"/>
  <c r="W614" i="67" s="1"/>
  <c r="U615" i="67"/>
  <c r="V615" i="67" s="1"/>
  <c r="W615" i="67" s="1"/>
  <c r="U616" i="67"/>
  <c r="V616" i="67" s="1"/>
  <c r="W616" i="67" s="1"/>
  <c r="U617" i="67"/>
  <c r="V617" i="67" s="1"/>
  <c r="W617" i="67" s="1"/>
  <c r="U618" i="67"/>
  <c r="V618" i="67" s="1"/>
  <c r="W618" i="67" s="1"/>
  <c r="L573" i="67"/>
  <c r="M573" i="67"/>
  <c r="N573" i="67"/>
  <c r="L574" i="67"/>
  <c r="M574" i="67"/>
  <c r="N574" i="67"/>
  <c r="L575" i="67"/>
  <c r="M575" i="67"/>
  <c r="N575" i="67"/>
  <c r="L576" i="67"/>
  <c r="M576" i="67"/>
  <c r="N576" i="67"/>
  <c r="L577" i="67"/>
  <c r="M577" i="67"/>
  <c r="N577" i="67"/>
  <c r="L578" i="67"/>
  <c r="M578" i="67"/>
  <c r="N578" i="67"/>
  <c r="L579" i="67"/>
  <c r="M579" i="67"/>
  <c r="N579" i="67"/>
  <c r="L580" i="67"/>
  <c r="M580" i="67"/>
  <c r="N580" i="67"/>
  <c r="L581" i="67"/>
  <c r="M581" i="67"/>
  <c r="N581" i="67"/>
  <c r="L582" i="67"/>
  <c r="M582" i="67"/>
  <c r="N582" i="67"/>
  <c r="L583" i="67"/>
  <c r="M583" i="67"/>
  <c r="N583" i="67"/>
  <c r="L584" i="67"/>
  <c r="M584" i="67"/>
  <c r="N584" i="67"/>
  <c r="L585" i="67"/>
  <c r="M585" i="67"/>
  <c r="N585" i="67"/>
  <c r="L586" i="67"/>
  <c r="M586" i="67"/>
  <c r="N586" i="67"/>
  <c r="L587" i="67"/>
  <c r="M587" i="67"/>
  <c r="N587" i="67"/>
  <c r="L588" i="67"/>
  <c r="M588" i="67"/>
  <c r="N588" i="67"/>
  <c r="L589" i="67"/>
  <c r="M589" i="67"/>
  <c r="N589" i="67"/>
  <c r="L590" i="67"/>
  <c r="M590" i="67"/>
  <c r="N590" i="67"/>
  <c r="L591" i="67"/>
  <c r="M591" i="67"/>
  <c r="N591" i="67"/>
  <c r="L592" i="67"/>
  <c r="M592" i="67"/>
  <c r="N592" i="67"/>
  <c r="L593" i="67"/>
  <c r="M593" i="67"/>
  <c r="N593" i="67"/>
  <c r="L594" i="67"/>
  <c r="M594" i="67"/>
  <c r="N594" i="67"/>
  <c r="L595" i="67"/>
  <c r="M595" i="67"/>
  <c r="N595" i="67"/>
  <c r="L596" i="67"/>
  <c r="M596" i="67"/>
  <c r="N596" i="67"/>
  <c r="L597" i="67"/>
  <c r="M597" i="67"/>
  <c r="N597" i="67"/>
  <c r="L598" i="67"/>
  <c r="M598" i="67"/>
  <c r="N598" i="67"/>
  <c r="L599" i="67"/>
  <c r="M599" i="67"/>
  <c r="N599" i="67"/>
  <c r="L600" i="67"/>
  <c r="M600" i="67"/>
  <c r="N600" i="67"/>
  <c r="L601" i="67"/>
  <c r="M601" i="67"/>
  <c r="N601" i="67"/>
  <c r="L602" i="67"/>
  <c r="M602" i="67"/>
  <c r="N602" i="67"/>
  <c r="L603" i="67"/>
  <c r="M603" i="67"/>
  <c r="N603" i="67"/>
  <c r="L604" i="67"/>
  <c r="M604" i="67"/>
  <c r="N604" i="67"/>
  <c r="L605" i="67"/>
  <c r="M605" i="67"/>
  <c r="N605" i="67"/>
  <c r="L606" i="67"/>
  <c r="M606" i="67"/>
  <c r="N606" i="67"/>
  <c r="L607" i="67"/>
  <c r="M607" i="67"/>
  <c r="N607" i="67"/>
  <c r="L608" i="67"/>
  <c r="M608" i="67"/>
  <c r="N608" i="67"/>
  <c r="L609" i="67"/>
  <c r="M609" i="67"/>
  <c r="N609" i="67"/>
  <c r="L610" i="67"/>
  <c r="M610" i="67"/>
  <c r="N610" i="67"/>
  <c r="L611" i="67"/>
  <c r="M611" i="67"/>
  <c r="N611" i="67"/>
  <c r="L612" i="67"/>
  <c r="M612" i="67"/>
  <c r="N612" i="67"/>
  <c r="L613" i="67"/>
  <c r="M613" i="67"/>
  <c r="N613" i="67"/>
  <c r="L614" i="67"/>
  <c r="M614" i="67"/>
  <c r="N614" i="67"/>
  <c r="L615" i="67"/>
  <c r="M615" i="67"/>
  <c r="N615" i="67"/>
  <c r="L616" i="67"/>
  <c r="M616" i="67"/>
  <c r="N616" i="67"/>
  <c r="L617" i="67"/>
  <c r="M617" i="67"/>
  <c r="N617" i="67"/>
  <c r="L618" i="67"/>
  <c r="M618" i="67"/>
  <c r="N618" i="67"/>
  <c r="AG470" i="67"/>
  <c r="AG469" i="67"/>
  <c r="AG468" i="67"/>
  <c r="AG467" i="67"/>
  <c r="AG466" i="67"/>
  <c r="AG465" i="67"/>
  <c r="AG464" i="67"/>
  <c r="AG463" i="67"/>
  <c r="AG462" i="67"/>
  <c r="AG461" i="67"/>
  <c r="AG460" i="67"/>
  <c r="AG459" i="67"/>
  <c r="AG458" i="67"/>
  <c r="AG457" i="67"/>
  <c r="AG456" i="67"/>
  <c r="AG455" i="67"/>
  <c r="AG454" i="67"/>
  <c r="AG453" i="67"/>
  <c r="AG452" i="67"/>
  <c r="AG451" i="67"/>
  <c r="AG450" i="67"/>
  <c r="AG449" i="67"/>
  <c r="AG448" i="67"/>
  <c r="AG447" i="67"/>
  <c r="AG446" i="67"/>
  <c r="AG445" i="67"/>
  <c r="AG444" i="67"/>
  <c r="AG443" i="67"/>
  <c r="AG442" i="67"/>
  <c r="AG441" i="67"/>
  <c r="AG440" i="67"/>
  <c r="AG439" i="67"/>
  <c r="AG438" i="67"/>
  <c r="AG437" i="67"/>
  <c r="AG436" i="67"/>
  <c r="AG435" i="67"/>
  <c r="AG434" i="67"/>
  <c r="AG433" i="67"/>
  <c r="AG432" i="67"/>
  <c r="AG431" i="67"/>
  <c r="AG430" i="67"/>
  <c r="AG429" i="67"/>
  <c r="AG428" i="67"/>
  <c r="AG427" i="67"/>
  <c r="AG426" i="67"/>
  <c r="AG425" i="67"/>
  <c r="AG424" i="67"/>
  <c r="AG423" i="67"/>
  <c r="AG422" i="67"/>
  <c r="AG421" i="67"/>
  <c r="AG420" i="67"/>
  <c r="AG419" i="67"/>
  <c r="AG418" i="67"/>
  <c r="AG417" i="67"/>
  <c r="AG416" i="67"/>
  <c r="AG415" i="67"/>
  <c r="AG414" i="67"/>
  <c r="AG413" i="67"/>
  <c r="AG412" i="67"/>
  <c r="AG411" i="67"/>
  <c r="AG410" i="67"/>
  <c r="AG409" i="67"/>
  <c r="AG408" i="67"/>
  <c r="AG407" i="67"/>
  <c r="AG406" i="67"/>
  <c r="AG405" i="67"/>
  <c r="AG404" i="67"/>
  <c r="AG403" i="67"/>
  <c r="AG402" i="67"/>
  <c r="AG401" i="67"/>
  <c r="AG400" i="67"/>
  <c r="AG399" i="67"/>
  <c r="AG398" i="67"/>
  <c r="AG397" i="67"/>
  <c r="AG396" i="67"/>
  <c r="AG395" i="67"/>
  <c r="AG394" i="67"/>
  <c r="AG393" i="67"/>
  <c r="AG392" i="67"/>
  <c r="AG391" i="67"/>
  <c r="AG390" i="67"/>
  <c r="AG389" i="67"/>
  <c r="AG388" i="67"/>
  <c r="AG387" i="67"/>
  <c r="AG386" i="67"/>
  <c r="AG385" i="67"/>
  <c r="AG384" i="67"/>
  <c r="AG383" i="67"/>
  <c r="AG382" i="67"/>
  <c r="AG381" i="67"/>
  <c r="AG380" i="67"/>
  <c r="AG379" i="67"/>
  <c r="AG378" i="67"/>
  <c r="AG377" i="67"/>
  <c r="AG376" i="67"/>
  <c r="AG375" i="67"/>
  <c r="AG374" i="67"/>
  <c r="AG373" i="67"/>
  <c r="AG372" i="67"/>
  <c r="AG371" i="67"/>
  <c r="AG370" i="67"/>
  <c r="AG369" i="67"/>
  <c r="AG368" i="67"/>
  <c r="AG367" i="67"/>
  <c r="AG366" i="67"/>
  <c r="AG365" i="67"/>
  <c r="AG364" i="67"/>
  <c r="AG363" i="67"/>
  <c r="AG362" i="67"/>
  <c r="AG361" i="67"/>
  <c r="AG360" i="67"/>
  <c r="AG359" i="67"/>
  <c r="AG358" i="67"/>
  <c r="AG357" i="67"/>
  <c r="AG356" i="67"/>
  <c r="AG355" i="67"/>
  <c r="AG354" i="67"/>
  <c r="AG353" i="67"/>
  <c r="AG352" i="67"/>
  <c r="AG351" i="67"/>
  <c r="AG350" i="67"/>
  <c r="AG349" i="67"/>
  <c r="AG348" i="67"/>
  <c r="AG347" i="67"/>
  <c r="AG346" i="67"/>
  <c r="AG345" i="67"/>
  <c r="AG344" i="67"/>
  <c r="AG343" i="67"/>
  <c r="AG342" i="67"/>
  <c r="AG341" i="67"/>
  <c r="AG340" i="67"/>
  <c r="AG339" i="67"/>
  <c r="AG338" i="67"/>
  <c r="AG337" i="67"/>
  <c r="AG336" i="67"/>
  <c r="AG335" i="67"/>
  <c r="AG334" i="67"/>
  <c r="AG333" i="67"/>
  <c r="AG332" i="67"/>
  <c r="AG331" i="67"/>
  <c r="AG330" i="67"/>
  <c r="AG329" i="67"/>
  <c r="AG328" i="67"/>
  <c r="AG327" i="67"/>
  <c r="AG326" i="67"/>
  <c r="AG325" i="67"/>
  <c r="AG324" i="67"/>
  <c r="AG323" i="67"/>
  <c r="AG322" i="67"/>
  <c r="AG321" i="67"/>
  <c r="AG320" i="67"/>
  <c r="AG319" i="67"/>
  <c r="AG318" i="67"/>
  <c r="AG317" i="67"/>
  <c r="AG316" i="67"/>
  <c r="AG315" i="67"/>
  <c r="AG314" i="67"/>
  <c r="AG313" i="67"/>
  <c r="AG312" i="67"/>
  <c r="AG311" i="67"/>
  <c r="AG310" i="67"/>
  <c r="AG309" i="67"/>
  <c r="AG308" i="67"/>
  <c r="AG307" i="67"/>
  <c r="AG306" i="67"/>
  <c r="AG305" i="67"/>
  <c r="AG304" i="67"/>
  <c r="AG303" i="67"/>
  <c r="AG302" i="67"/>
  <c r="AG301" i="67"/>
  <c r="AG300" i="67"/>
  <c r="AG299" i="67"/>
  <c r="AG298" i="67"/>
  <c r="AG297" i="67"/>
  <c r="AG296" i="67"/>
  <c r="AG295" i="67"/>
  <c r="AG294" i="67"/>
  <c r="AG293" i="67"/>
  <c r="AG292" i="67"/>
  <c r="AG291" i="67"/>
  <c r="AG290" i="67"/>
  <c r="AG289" i="67"/>
  <c r="AG288" i="67"/>
  <c r="AG287" i="67"/>
  <c r="AG286" i="67"/>
  <c r="AG285" i="67"/>
  <c r="AG284" i="67"/>
  <c r="AG283" i="67"/>
  <c r="AG282" i="67"/>
  <c r="AG281" i="67"/>
  <c r="AG280" i="67"/>
  <c r="AG279" i="67"/>
  <c r="AG278" i="67"/>
  <c r="AG277" i="67"/>
  <c r="AG276" i="67"/>
  <c r="AG275" i="67"/>
  <c r="AG274" i="67"/>
  <c r="AG273" i="67"/>
  <c r="AG272" i="67"/>
  <c r="AG271" i="67"/>
  <c r="AG270" i="67"/>
  <c r="AG269" i="67"/>
  <c r="AG268" i="67"/>
  <c r="AG267" i="67"/>
  <c r="AG266" i="67"/>
  <c r="AG265" i="67"/>
  <c r="AG264" i="67"/>
  <c r="AG263" i="67"/>
  <c r="AG262" i="67"/>
  <c r="AG261" i="67"/>
  <c r="AG260" i="67"/>
  <c r="AG259" i="67"/>
  <c r="AG258" i="67"/>
  <c r="AG257" i="67"/>
  <c r="AG256" i="67"/>
  <c r="AG255" i="67"/>
  <c r="AG254" i="67"/>
  <c r="AG253" i="67"/>
  <c r="AG252" i="67"/>
  <c r="AG251" i="67"/>
  <c r="AG250" i="67"/>
  <c r="AG249" i="67"/>
  <c r="AG248" i="67"/>
  <c r="AG247" i="67"/>
  <c r="AG246" i="67"/>
  <c r="AG245" i="67"/>
  <c r="AG244" i="67"/>
  <c r="AG243" i="67"/>
  <c r="AG242" i="67"/>
  <c r="AG241" i="67"/>
  <c r="AG240" i="67"/>
  <c r="AG239" i="67"/>
  <c r="AG238" i="67"/>
  <c r="AG237" i="67"/>
  <c r="AG236" i="67"/>
  <c r="AG235" i="67"/>
  <c r="AG234" i="67"/>
  <c r="AG233" i="67"/>
  <c r="AG232" i="67"/>
  <c r="AG231" i="67"/>
  <c r="AG230" i="67"/>
  <c r="AG229" i="67"/>
  <c r="AG228" i="67"/>
  <c r="AG227" i="67"/>
  <c r="AG226" i="67"/>
  <c r="AG225" i="67"/>
  <c r="AG224" i="67"/>
  <c r="AG223" i="67"/>
  <c r="AG222" i="67"/>
  <c r="AG221" i="67"/>
  <c r="AG220" i="67"/>
  <c r="AG219" i="67"/>
  <c r="AG218" i="67"/>
  <c r="AG217" i="67"/>
  <c r="AG216" i="67"/>
  <c r="AG215" i="67"/>
  <c r="AG214" i="67"/>
  <c r="AG213" i="67"/>
  <c r="AG212" i="67"/>
  <c r="AG211" i="67"/>
  <c r="AG210" i="67"/>
  <c r="AG209" i="67"/>
  <c r="AG208" i="67"/>
  <c r="AG207" i="67"/>
  <c r="AG206" i="67"/>
  <c r="AG205" i="67"/>
  <c r="AG204" i="67"/>
  <c r="AG203" i="67"/>
  <c r="AG202" i="67"/>
  <c r="AG201" i="67"/>
  <c r="AG200" i="67"/>
  <c r="AG199" i="67"/>
  <c r="AG198" i="67"/>
  <c r="AG197" i="67"/>
  <c r="AG196" i="67"/>
  <c r="AG195" i="67"/>
  <c r="AG194" i="67"/>
  <c r="AG193" i="67"/>
  <c r="AG192" i="67"/>
  <c r="AG191" i="67"/>
  <c r="AG190" i="67"/>
  <c r="AG189" i="67"/>
  <c r="AG188" i="67"/>
  <c r="AG187" i="67"/>
  <c r="AG186" i="67"/>
  <c r="AG185" i="67"/>
  <c r="AG184" i="67"/>
  <c r="AG183" i="67"/>
  <c r="AG182" i="67"/>
  <c r="AG181" i="67"/>
  <c r="AG180" i="67"/>
  <c r="AG179" i="67"/>
  <c r="AG178" i="67"/>
  <c r="AG177" i="67"/>
  <c r="AG176" i="67"/>
  <c r="AG175" i="67"/>
  <c r="AG174" i="67"/>
  <c r="AG173" i="67"/>
  <c r="AG172" i="67"/>
  <c r="AG171" i="67"/>
  <c r="AG170" i="67"/>
  <c r="AG169" i="67"/>
  <c r="AG168" i="67"/>
  <c r="AG167" i="67"/>
  <c r="AG166" i="67"/>
  <c r="AG165" i="67"/>
  <c r="AG164" i="67"/>
  <c r="AG163" i="67"/>
  <c r="AG162" i="67"/>
  <c r="AG161" i="67"/>
  <c r="AG160" i="67"/>
  <c r="AG159" i="67"/>
  <c r="AG158" i="67"/>
  <c r="AG157" i="67"/>
  <c r="AG156" i="67"/>
  <c r="AG155" i="67"/>
  <c r="AG154" i="67"/>
  <c r="AG153" i="67"/>
  <c r="AG152" i="67"/>
  <c r="AG151" i="67"/>
  <c r="AG150" i="67"/>
  <c r="AG149" i="67"/>
  <c r="AG148" i="67"/>
  <c r="AG147" i="67"/>
  <c r="AG146" i="67"/>
  <c r="AG145" i="67"/>
  <c r="AG144" i="67"/>
  <c r="AG143" i="67"/>
  <c r="AG142" i="67"/>
  <c r="AG141" i="67"/>
  <c r="AG140" i="67"/>
  <c r="AG139" i="67"/>
  <c r="AG138" i="67"/>
  <c r="AG137" i="67"/>
  <c r="AG136" i="67"/>
  <c r="AG135" i="67"/>
  <c r="AG134" i="67"/>
  <c r="AG133" i="67"/>
  <c r="AG132" i="67"/>
  <c r="AG131" i="67"/>
  <c r="AG130" i="67"/>
  <c r="AG129" i="67"/>
  <c r="AG128" i="67"/>
  <c r="AG127" i="67"/>
  <c r="AG126" i="67"/>
  <c r="AG125" i="67"/>
  <c r="AG124" i="67"/>
  <c r="AG123" i="67"/>
  <c r="AG122" i="67"/>
  <c r="AG121" i="67"/>
  <c r="AG120" i="67"/>
  <c r="AG119" i="67"/>
  <c r="AG118" i="67"/>
  <c r="AG117" i="67"/>
  <c r="AG116" i="67"/>
  <c r="AG115" i="67"/>
  <c r="AG114" i="67"/>
  <c r="AG113" i="67"/>
  <c r="AG112" i="67"/>
  <c r="AG111" i="67"/>
  <c r="AG110" i="67"/>
  <c r="AG109" i="67"/>
  <c r="AG108" i="67"/>
  <c r="AG107" i="67"/>
  <c r="AG106" i="67"/>
  <c r="AG105" i="67"/>
  <c r="AG104" i="67"/>
  <c r="AG103" i="67"/>
  <c r="AG102" i="67"/>
  <c r="AG101" i="67"/>
  <c r="AG100" i="67"/>
  <c r="AG99" i="67"/>
  <c r="AG98" i="67"/>
  <c r="AG97" i="67"/>
  <c r="AG96" i="67"/>
  <c r="AG95" i="67"/>
  <c r="AG94" i="67"/>
  <c r="AG93" i="67"/>
  <c r="AG92" i="67"/>
  <c r="AG91" i="67"/>
  <c r="AG90" i="67"/>
  <c r="AG89" i="67"/>
  <c r="AG88" i="67"/>
  <c r="AG87" i="67"/>
  <c r="AG86" i="67"/>
  <c r="AG85" i="67"/>
  <c r="AG84" i="67"/>
  <c r="AG83" i="67"/>
  <c r="AG82" i="67"/>
  <c r="AG81" i="67"/>
  <c r="AG80" i="67"/>
  <c r="AG79" i="67"/>
  <c r="AG78" i="67"/>
  <c r="AG77" i="67"/>
  <c r="AG76" i="67"/>
  <c r="AG75" i="67"/>
  <c r="AG74" i="67"/>
  <c r="AG73" i="67"/>
  <c r="AG72" i="67"/>
  <c r="AG71" i="67"/>
  <c r="AG70" i="67"/>
  <c r="AG69" i="67"/>
  <c r="AG68" i="67"/>
  <c r="AG67" i="67"/>
  <c r="AG66" i="67"/>
  <c r="AG65" i="67"/>
  <c r="AG64" i="67"/>
  <c r="AG63" i="67"/>
  <c r="AG62" i="67"/>
  <c r="AG61" i="67"/>
  <c r="AG60" i="67"/>
  <c r="AG59" i="67"/>
  <c r="AG58" i="67"/>
  <c r="AG57" i="67"/>
  <c r="AG56" i="67"/>
  <c r="AG55" i="67"/>
  <c r="AG54" i="67"/>
  <c r="AG53" i="67"/>
  <c r="AG52" i="67"/>
  <c r="AG51" i="67"/>
  <c r="AG50" i="67"/>
  <c r="AG49" i="67"/>
  <c r="AG48" i="67"/>
  <c r="AG47" i="67"/>
  <c r="AG46" i="67"/>
  <c r="AG45" i="67"/>
  <c r="AG44" i="67"/>
  <c r="AG43" i="67"/>
  <c r="AG42" i="67"/>
  <c r="AG41" i="67"/>
  <c r="AG40" i="67"/>
  <c r="AG39" i="67"/>
  <c r="AG38" i="67"/>
  <c r="AG37" i="67"/>
  <c r="AG36" i="67"/>
  <c r="AG35" i="67"/>
  <c r="AG34" i="67"/>
  <c r="AG33" i="67"/>
  <c r="AG32" i="67"/>
  <c r="AG31" i="67"/>
  <c r="AG30" i="67"/>
  <c r="AG29" i="67"/>
  <c r="AG28" i="67"/>
  <c r="AG27" i="67"/>
  <c r="AG26" i="67"/>
  <c r="AG25" i="67"/>
  <c r="AG24" i="67"/>
  <c r="AG23" i="67"/>
  <c r="AG22" i="67"/>
  <c r="AG21" i="67"/>
  <c r="AG20" i="67"/>
  <c r="AG19" i="67"/>
  <c r="AG18" i="67"/>
  <c r="AG17" i="67"/>
  <c r="AG16" i="67"/>
  <c r="AG15" i="67"/>
  <c r="AG14" i="67"/>
  <c r="AG13" i="67"/>
  <c r="AG12" i="67"/>
  <c r="AG11" i="67"/>
  <c r="AG10" i="67"/>
  <c r="AG9" i="67"/>
  <c r="AG8" i="67"/>
  <c r="AG7" i="67"/>
  <c r="AG6" i="67"/>
  <c r="AG5" i="67"/>
  <c r="AG4" i="67"/>
  <c r="AG3" i="67"/>
  <c r="AG2" i="67"/>
  <c r="U554" i="67" l="1"/>
  <c r="V554" i="67" s="1"/>
  <c r="W554" i="67" s="1"/>
  <c r="U555" i="67"/>
  <c r="V555" i="67" s="1"/>
  <c r="W555" i="67" s="1"/>
  <c r="U556" i="67"/>
  <c r="V556" i="67" s="1"/>
  <c r="W556" i="67" s="1"/>
  <c r="U557" i="67"/>
  <c r="V557" i="67" s="1"/>
  <c r="W557" i="67" s="1"/>
  <c r="U558" i="67"/>
  <c r="V558" i="67" s="1"/>
  <c r="W558" i="67" s="1"/>
  <c r="U559" i="67"/>
  <c r="V559" i="67" s="1"/>
  <c r="W559" i="67" s="1"/>
  <c r="U560" i="67"/>
  <c r="V560" i="67" s="1"/>
  <c r="W560" i="67" s="1"/>
  <c r="U561" i="67"/>
  <c r="V561" i="67" s="1"/>
  <c r="W561" i="67" s="1"/>
  <c r="U562" i="67"/>
  <c r="V562" i="67" s="1"/>
  <c r="W562" i="67" s="1"/>
  <c r="U563" i="67"/>
  <c r="V563" i="67" s="1"/>
  <c r="W563" i="67" s="1"/>
  <c r="U564" i="67"/>
  <c r="V564" i="67" s="1"/>
  <c r="W564" i="67" s="1"/>
  <c r="U565" i="67"/>
  <c r="V565" i="67" s="1"/>
  <c r="W565" i="67" s="1"/>
  <c r="U566" i="67"/>
  <c r="V566" i="67" s="1"/>
  <c r="W566" i="67" s="1"/>
  <c r="U567" i="67"/>
  <c r="V567" i="67" s="1"/>
  <c r="W567" i="67" s="1"/>
  <c r="U568" i="67"/>
  <c r="V568" i="67" s="1"/>
  <c r="W568" i="67" s="1"/>
  <c r="U569" i="67"/>
  <c r="V569" i="67" s="1"/>
  <c r="W569" i="67" s="1"/>
  <c r="U570" i="67"/>
  <c r="V570" i="67" s="1"/>
  <c r="W570" i="67" s="1"/>
  <c r="U571" i="67"/>
  <c r="V571" i="67" s="1"/>
  <c r="W571" i="67" s="1"/>
  <c r="U572" i="67"/>
  <c r="V572" i="67" s="1"/>
  <c r="W572" i="67" s="1"/>
  <c r="L554" i="67"/>
  <c r="M554" i="67"/>
  <c r="N554" i="67"/>
  <c r="L555" i="67"/>
  <c r="M555" i="67"/>
  <c r="N555" i="67"/>
  <c r="L556" i="67"/>
  <c r="M556" i="67"/>
  <c r="N556" i="67"/>
  <c r="L557" i="67"/>
  <c r="M557" i="67"/>
  <c r="N557" i="67"/>
  <c r="L558" i="67"/>
  <c r="M558" i="67"/>
  <c r="N558" i="67"/>
  <c r="L559" i="67"/>
  <c r="M559" i="67"/>
  <c r="N559" i="67"/>
  <c r="L560" i="67"/>
  <c r="M560" i="67"/>
  <c r="N560" i="67"/>
  <c r="L561" i="67"/>
  <c r="M561" i="67"/>
  <c r="N561" i="67"/>
  <c r="L562" i="67"/>
  <c r="M562" i="67"/>
  <c r="N562" i="67"/>
  <c r="L563" i="67"/>
  <c r="M563" i="67"/>
  <c r="N563" i="67"/>
  <c r="L564" i="67"/>
  <c r="M564" i="67"/>
  <c r="N564" i="67"/>
  <c r="L565" i="67"/>
  <c r="M565" i="67"/>
  <c r="N565" i="67"/>
  <c r="L566" i="67"/>
  <c r="M566" i="67"/>
  <c r="N566" i="67"/>
  <c r="L567" i="67"/>
  <c r="M567" i="67"/>
  <c r="N567" i="67"/>
  <c r="L568" i="67"/>
  <c r="M568" i="67"/>
  <c r="N568" i="67"/>
  <c r="L569" i="67"/>
  <c r="M569" i="67"/>
  <c r="N569" i="67"/>
  <c r="L570" i="67"/>
  <c r="M570" i="67"/>
  <c r="N570" i="67"/>
  <c r="L571" i="67"/>
  <c r="M571" i="67"/>
  <c r="N571" i="67"/>
  <c r="L572" i="67"/>
  <c r="M572" i="67"/>
  <c r="N572" i="67"/>
  <c r="U513" i="67" l="1"/>
  <c r="V513" i="67" s="1"/>
  <c r="W513" i="67" s="1"/>
  <c r="U514" i="67"/>
  <c r="V514" i="67" s="1"/>
  <c r="W514" i="67" s="1"/>
  <c r="U515" i="67"/>
  <c r="V515" i="67" s="1"/>
  <c r="W515" i="67" s="1"/>
  <c r="U516" i="67"/>
  <c r="V516" i="67" s="1"/>
  <c r="W516" i="67" s="1"/>
  <c r="U517" i="67"/>
  <c r="V517" i="67" s="1"/>
  <c r="W517" i="67" s="1"/>
  <c r="U518" i="67"/>
  <c r="V518" i="67" s="1"/>
  <c r="W518" i="67" s="1"/>
  <c r="U519" i="67"/>
  <c r="V519" i="67" s="1"/>
  <c r="W519" i="67" s="1"/>
  <c r="U520" i="67"/>
  <c r="V520" i="67" s="1"/>
  <c r="W520" i="67" s="1"/>
  <c r="U521" i="67"/>
  <c r="V521" i="67" s="1"/>
  <c r="W521" i="67" s="1"/>
  <c r="U522" i="67"/>
  <c r="V522" i="67" s="1"/>
  <c r="W522" i="67" s="1"/>
  <c r="U523" i="67"/>
  <c r="V523" i="67" s="1"/>
  <c r="W523" i="67" s="1"/>
  <c r="U524" i="67"/>
  <c r="V524" i="67" s="1"/>
  <c r="W524" i="67" s="1"/>
  <c r="U525" i="67"/>
  <c r="V525" i="67" s="1"/>
  <c r="W525" i="67" s="1"/>
  <c r="U526" i="67"/>
  <c r="V526" i="67" s="1"/>
  <c r="W526" i="67" s="1"/>
  <c r="U527" i="67"/>
  <c r="V527" i="67" s="1"/>
  <c r="W527" i="67" s="1"/>
  <c r="U528" i="67"/>
  <c r="V528" i="67" s="1"/>
  <c r="W528" i="67" s="1"/>
  <c r="U529" i="67"/>
  <c r="V529" i="67" s="1"/>
  <c r="W529" i="67" s="1"/>
  <c r="U530" i="67"/>
  <c r="V530" i="67" s="1"/>
  <c r="W530" i="67" s="1"/>
  <c r="U531" i="67"/>
  <c r="V531" i="67" s="1"/>
  <c r="W531" i="67" s="1"/>
  <c r="U532" i="67"/>
  <c r="V532" i="67" s="1"/>
  <c r="W532" i="67" s="1"/>
  <c r="U533" i="67"/>
  <c r="V533" i="67" s="1"/>
  <c r="W533" i="67" s="1"/>
  <c r="U534" i="67"/>
  <c r="V534" i="67" s="1"/>
  <c r="W534" i="67" s="1"/>
  <c r="U535" i="67"/>
  <c r="V535" i="67" s="1"/>
  <c r="W535" i="67" s="1"/>
  <c r="U536" i="67"/>
  <c r="V536" i="67" s="1"/>
  <c r="W536" i="67" s="1"/>
  <c r="U537" i="67"/>
  <c r="V537" i="67" s="1"/>
  <c r="W537" i="67" s="1"/>
  <c r="U538" i="67"/>
  <c r="V538" i="67" s="1"/>
  <c r="W538" i="67" s="1"/>
  <c r="U539" i="67"/>
  <c r="V539" i="67" s="1"/>
  <c r="W539" i="67" s="1"/>
  <c r="U540" i="67"/>
  <c r="V540" i="67" s="1"/>
  <c r="W540" i="67" s="1"/>
  <c r="U541" i="67"/>
  <c r="V541" i="67" s="1"/>
  <c r="W541" i="67" s="1"/>
  <c r="U542" i="67"/>
  <c r="V542" i="67" s="1"/>
  <c r="W542" i="67" s="1"/>
  <c r="U543" i="67"/>
  <c r="V543" i="67" s="1"/>
  <c r="W543" i="67" s="1"/>
  <c r="U544" i="67"/>
  <c r="V544" i="67" s="1"/>
  <c r="W544" i="67" s="1"/>
  <c r="U545" i="67"/>
  <c r="V545" i="67" s="1"/>
  <c r="W545" i="67" s="1"/>
  <c r="U546" i="67"/>
  <c r="V546" i="67" s="1"/>
  <c r="W546" i="67" s="1"/>
  <c r="U547" i="67"/>
  <c r="V547" i="67" s="1"/>
  <c r="W547" i="67" s="1"/>
  <c r="U548" i="67"/>
  <c r="V548" i="67" s="1"/>
  <c r="W548" i="67" s="1"/>
  <c r="U549" i="67"/>
  <c r="V549" i="67" s="1"/>
  <c r="W549" i="67" s="1"/>
  <c r="U550" i="67"/>
  <c r="V550" i="67" s="1"/>
  <c r="W550" i="67" s="1"/>
  <c r="U551" i="67"/>
  <c r="V551" i="67" s="1"/>
  <c r="W551" i="67" s="1"/>
  <c r="U552" i="67"/>
  <c r="V552" i="67" s="1"/>
  <c r="W552" i="67" s="1"/>
  <c r="U553" i="67"/>
  <c r="V553" i="67" s="1"/>
  <c r="W553" i="67" s="1"/>
  <c r="L513" i="67"/>
  <c r="M513" i="67"/>
  <c r="N513" i="67"/>
  <c r="L514" i="67"/>
  <c r="M514" i="67"/>
  <c r="N514" i="67"/>
  <c r="L515" i="67"/>
  <c r="M515" i="67"/>
  <c r="N515" i="67"/>
  <c r="L516" i="67"/>
  <c r="M516" i="67"/>
  <c r="N516" i="67"/>
  <c r="L517" i="67"/>
  <c r="M517" i="67"/>
  <c r="N517" i="67"/>
  <c r="L518" i="67"/>
  <c r="M518" i="67"/>
  <c r="N518" i="67"/>
  <c r="L519" i="67"/>
  <c r="M519" i="67"/>
  <c r="N519" i="67"/>
  <c r="L520" i="67"/>
  <c r="M520" i="67"/>
  <c r="N520" i="67"/>
  <c r="L521" i="67"/>
  <c r="M521" i="67"/>
  <c r="N521" i="67"/>
  <c r="L522" i="67"/>
  <c r="M522" i="67"/>
  <c r="N522" i="67"/>
  <c r="L523" i="67"/>
  <c r="M523" i="67"/>
  <c r="N523" i="67"/>
  <c r="L524" i="67"/>
  <c r="M524" i="67"/>
  <c r="N524" i="67"/>
  <c r="L525" i="67"/>
  <c r="M525" i="67"/>
  <c r="N525" i="67"/>
  <c r="L526" i="67"/>
  <c r="M526" i="67"/>
  <c r="N526" i="67"/>
  <c r="L527" i="67"/>
  <c r="M527" i="67"/>
  <c r="N527" i="67"/>
  <c r="L528" i="67"/>
  <c r="M528" i="67"/>
  <c r="N528" i="67"/>
  <c r="L529" i="67"/>
  <c r="M529" i="67"/>
  <c r="N529" i="67"/>
  <c r="L530" i="67"/>
  <c r="M530" i="67"/>
  <c r="N530" i="67"/>
  <c r="L531" i="67"/>
  <c r="M531" i="67"/>
  <c r="N531" i="67"/>
  <c r="L532" i="67"/>
  <c r="M532" i="67"/>
  <c r="N532" i="67"/>
  <c r="L533" i="67"/>
  <c r="M533" i="67"/>
  <c r="N533" i="67"/>
  <c r="L534" i="67"/>
  <c r="M534" i="67"/>
  <c r="N534" i="67"/>
  <c r="L535" i="67"/>
  <c r="M535" i="67"/>
  <c r="N535" i="67"/>
  <c r="L536" i="67"/>
  <c r="M536" i="67"/>
  <c r="N536" i="67"/>
  <c r="L537" i="67"/>
  <c r="M537" i="67"/>
  <c r="N537" i="67"/>
  <c r="L538" i="67"/>
  <c r="M538" i="67"/>
  <c r="N538" i="67"/>
  <c r="L539" i="67"/>
  <c r="M539" i="67"/>
  <c r="N539" i="67"/>
  <c r="L540" i="67"/>
  <c r="M540" i="67"/>
  <c r="N540" i="67"/>
  <c r="L541" i="67"/>
  <c r="M541" i="67"/>
  <c r="N541" i="67"/>
  <c r="L542" i="67"/>
  <c r="M542" i="67"/>
  <c r="N542" i="67"/>
  <c r="L543" i="67"/>
  <c r="M543" i="67"/>
  <c r="N543" i="67"/>
  <c r="L544" i="67"/>
  <c r="M544" i="67"/>
  <c r="N544" i="67"/>
  <c r="L545" i="67"/>
  <c r="M545" i="67"/>
  <c r="N545" i="67"/>
  <c r="L546" i="67"/>
  <c r="M546" i="67"/>
  <c r="N546" i="67"/>
  <c r="L547" i="67"/>
  <c r="M547" i="67"/>
  <c r="N547" i="67"/>
  <c r="L548" i="67"/>
  <c r="M548" i="67"/>
  <c r="N548" i="67"/>
  <c r="L549" i="67"/>
  <c r="M549" i="67"/>
  <c r="N549" i="67"/>
  <c r="L550" i="67"/>
  <c r="M550" i="67"/>
  <c r="N550" i="67"/>
  <c r="L551" i="67"/>
  <c r="M551" i="67"/>
  <c r="N551" i="67"/>
  <c r="L552" i="67"/>
  <c r="M552" i="67"/>
  <c r="N552" i="67"/>
  <c r="L553" i="67"/>
  <c r="M553" i="67"/>
  <c r="N553" i="67"/>
  <c r="U220" i="67" l="1"/>
  <c r="U221" i="67"/>
  <c r="U222" i="67"/>
  <c r="U223" i="67"/>
  <c r="U240" i="67"/>
  <c r="V240" i="67" s="1"/>
  <c r="W240" i="67" s="1"/>
  <c r="U241" i="67"/>
  <c r="V241" i="67" s="1"/>
  <c r="W241" i="67" s="1"/>
  <c r="U235" i="67"/>
  <c r="V235" i="67" s="1"/>
  <c r="W235" i="67" s="1"/>
  <c r="U471" i="67" l="1"/>
  <c r="V471" i="67" s="1"/>
  <c r="W471" i="67" s="1"/>
  <c r="U472" i="67"/>
  <c r="V472" i="67" s="1"/>
  <c r="W472" i="67" s="1"/>
  <c r="U473" i="67"/>
  <c r="V473" i="67" s="1"/>
  <c r="W473" i="67" s="1"/>
  <c r="U474" i="67"/>
  <c r="V474" i="67" s="1"/>
  <c r="W474" i="67" s="1"/>
  <c r="U475" i="67"/>
  <c r="V475" i="67" s="1"/>
  <c r="W475" i="67" s="1"/>
  <c r="U476" i="67"/>
  <c r="V476" i="67" s="1"/>
  <c r="W476" i="67" s="1"/>
  <c r="U477" i="67"/>
  <c r="V477" i="67" s="1"/>
  <c r="W477" i="67" s="1"/>
  <c r="U478" i="67"/>
  <c r="V478" i="67" s="1"/>
  <c r="W478" i="67" s="1"/>
  <c r="U479" i="67"/>
  <c r="V479" i="67" s="1"/>
  <c r="W479" i="67" s="1"/>
  <c r="U480" i="67"/>
  <c r="V480" i="67" s="1"/>
  <c r="W480" i="67" s="1"/>
  <c r="U481" i="67"/>
  <c r="V481" i="67" s="1"/>
  <c r="W481" i="67" s="1"/>
  <c r="U482" i="67"/>
  <c r="V482" i="67" s="1"/>
  <c r="W482" i="67" s="1"/>
  <c r="U483" i="67"/>
  <c r="V483" i="67" s="1"/>
  <c r="W483" i="67" s="1"/>
  <c r="U484" i="67"/>
  <c r="V484" i="67" s="1"/>
  <c r="W484" i="67" s="1"/>
  <c r="U485" i="67"/>
  <c r="V485" i="67" s="1"/>
  <c r="W485" i="67" s="1"/>
  <c r="U486" i="67"/>
  <c r="V486" i="67" s="1"/>
  <c r="W486" i="67" s="1"/>
  <c r="U487" i="67"/>
  <c r="V487" i="67" s="1"/>
  <c r="W487" i="67" s="1"/>
  <c r="U488" i="67"/>
  <c r="V488" i="67" s="1"/>
  <c r="W488" i="67" s="1"/>
  <c r="U489" i="67"/>
  <c r="V489" i="67" s="1"/>
  <c r="W489" i="67" s="1"/>
  <c r="U490" i="67"/>
  <c r="V490" i="67" s="1"/>
  <c r="W490" i="67" s="1"/>
  <c r="U491" i="67"/>
  <c r="V491" i="67" s="1"/>
  <c r="W491" i="67" s="1"/>
  <c r="U492" i="67"/>
  <c r="V492" i="67" s="1"/>
  <c r="W492" i="67" s="1"/>
  <c r="U493" i="67"/>
  <c r="V493" i="67" s="1"/>
  <c r="W493" i="67" s="1"/>
  <c r="U494" i="67"/>
  <c r="V494" i="67" s="1"/>
  <c r="W494" i="67" s="1"/>
  <c r="U495" i="67"/>
  <c r="V495" i="67" s="1"/>
  <c r="W495" i="67" s="1"/>
  <c r="U496" i="67"/>
  <c r="V496" i="67" s="1"/>
  <c r="W496" i="67" s="1"/>
  <c r="U497" i="67"/>
  <c r="V497" i="67" s="1"/>
  <c r="W497" i="67" s="1"/>
  <c r="U498" i="67"/>
  <c r="V498" i="67" s="1"/>
  <c r="W498" i="67" s="1"/>
  <c r="U499" i="67"/>
  <c r="V499" i="67" s="1"/>
  <c r="W499" i="67" s="1"/>
  <c r="U500" i="67"/>
  <c r="V500" i="67" s="1"/>
  <c r="W500" i="67" s="1"/>
  <c r="U501" i="67"/>
  <c r="V501" i="67" s="1"/>
  <c r="W501" i="67" s="1"/>
  <c r="U502" i="67"/>
  <c r="V502" i="67" s="1"/>
  <c r="W502" i="67" s="1"/>
  <c r="U503" i="67"/>
  <c r="V503" i="67" s="1"/>
  <c r="W503" i="67" s="1"/>
  <c r="U504" i="67"/>
  <c r="V504" i="67" s="1"/>
  <c r="W504" i="67" s="1"/>
  <c r="U505" i="67"/>
  <c r="V505" i="67" s="1"/>
  <c r="W505" i="67" s="1"/>
  <c r="U506" i="67"/>
  <c r="V506" i="67" s="1"/>
  <c r="W506" i="67" s="1"/>
  <c r="U507" i="67"/>
  <c r="V507" i="67" s="1"/>
  <c r="W507" i="67" s="1"/>
  <c r="U508" i="67"/>
  <c r="V508" i="67" s="1"/>
  <c r="W508" i="67" s="1"/>
  <c r="U509" i="67"/>
  <c r="V509" i="67" s="1"/>
  <c r="W509" i="67" s="1"/>
  <c r="U510" i="67"/>
  <c r="V510" i="67" s="1"/>
  <c r="W510" i="67" s="1"/>
  <c r="U511" i="67"/>
  <c r="V511" i="67" s="1"/>
  <c r="W511" i="67" s="1"/>
  <c r="U512" i="67"/>
  <c r="V512" i="67" s="1"/>
  <c r="W512" i="67" s="1"/>
  <c r="L471" i="67"/>
  <c r="M471" i="67"/>
  <c r="N471" i="67"/>
  <c r="L472" i="67"/>
  <c r="M472" i="67"/>
  <c r="N472" i="67"/>
  <c r="L473" i="67"/>
  <c r="M473" i="67"/>
  <c r="N473" i="67"/>
  <c r="L474" i="67"/>
  <c r="M474" i="67"/>
  <c r="N474" i="67"/>
  <c r="L475" i="67"/>
  <c r="M475" i="67"/>
  <c r="N475" i="67"/>
  <c r="L476" i="67"/>
  <c r="M476" i="67"/>
  <c r="N476" i="67"/>
  <c r="L477" i="67"/>
  <c r="M477" i="67"/>
  <c r="N477" i="67"/>
  <c r="L478" i="67"/>
  <c r="M478" i="67"/>
  <c r="N478" i="67"/>
  <c r="L479" i="67"/>
  <c r="M479" i="67"/>
  <c r="N479" i="67"/>
  <c r="L480" i="67"/>
  <c r="M480" i="67"/>
  <c r="N480" i="67"/>
  <c r="L481" i="67"/>
  <c r="M481" i="67"/>
  <c r="N481" i="67"/>
  <c r="L482" i="67"/>
  <c r="M482" i="67"/>
  <c r="N482" i="67"/>
  <c r="L483" i="67"/>
  <c r="M483" i="67"/>
  <c r="N483" i="67"/>
  <c r="L484" i="67"/>
  <c r="M484" i="67"/>
  <c r="N484" i="67"/>
  <c r="L485" i="67"/>
  <c r="M485" i="67"/>
  <c r="N485" i="67"/>
  <c r="L486" i="67"/>
  <c r="M486" i="67"/>
  <c r="N486" i="67"/>
  <c r="L487" i="67"/>
  <c r="M487" i="67"/>
  <c r="N487" i="67"/>
  <c r="L488" i="67"/>
  <c r="M488" i="67"/>
  <c r="N488" i="67"/>
  <c r="L489" i="67"/>
  <c r="M489" i="67"/>
  <c r="N489" i="67"/>
  <c r="L490" i="67"/>
  <c r="M490" i="67"/>
  <c r="N490" i="67"/>
  <c r="L491" i="67"/>
  <c r="M491" i="67"/>
  <c r="N491" i="67"/>
  <c r="L492" i="67"/>
  <c r="M492" i="67"/>
  <c r="N492" i="67"/>
  <c r="L493" i="67"/>
  <c r="M493" i="67"/>
  <c r="N493" i="67"/>
  <c r="L494" i="67"/>
  <c r="M494" i="67"/>
  <c r="N494" i="67"/>
  <c r="L495" i="67"/>
  <c r="M495" i="67"/>
  <c r="N495" i="67"/>
  <c r="L496" i="67"/>
  <c r="M496" i="67"/>
  <c r="N496" i="67"/>
  <c r="L497" i="67"/>
  <c r="M497" i="67"/>
  <c r="N497" i="67"/>
  <c r="L498" i="67"/>
  <c r="M498" i="67"/>
  <c r="N498" i="67"/>
  <c r="L499" i="67"/>
  <c r="M499" i="67"/>
  <c r="N499" i="67"/>
  <c r="L500" i="67"/>
  <c r="M500" i="67"/>
  <c r="N500" i="67"/>
  <c r="L501" i="67"/>
  <c r="M501" i="67"/>
  <c r="N501" i="67"/>
  <c r="L502" i="67"/>
  <c r="M502" i="67"/>
  <c r="N502" i="67"/>
  <c r="L503" i="67"/>
  <c r="M503" i="67"/>
  <c r="N503" i="67"/>
  <c r="L504" i="67"/>
  <c r="M504" i="67"/>
  <c r="N504" i="67"/>
  <c r="L505" i="67"/>
  <c r="M505" i="67"/>
  <c r="N505" i="67"/>
  <c r="L506" i="67"/>
  <c r="M506" i="67"/>
  <c r="N506" i="67"/>
  <c r="L507" i="67"/>
  <c r="M507" i="67"/>
  <c r="N507" i="67"/>
  <c r="L508" i="67"/>
  <c r="M508" i="67"/>
  <c r="N508" i="67"/>
  <c r="L509" i="67"/>
  <c r="M509" i="67"/>
  <c r="N509" i="67"/>
  <c r="L510" i="67"/>
  <c r="M510" i="67"/>
  <c r="N510" i="67"/>
  <c r="L511" i="67"/>
  <c r="M511" i="67"/>
  <c r="N511" i="67"/>
  <c r="L512" i="67"/>
  <c r="M512" i="67"/>
  <c r="N512" i="67"/>
  <c r="AD375" i="67" l="1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AD399" i="67"/>
  <c r="AE399" i="67" s="1"/>
  <c r="AD400" i="67"/>
  <c r="AE400" i="67" s="1"/>
  <c r="AD401" i="67"/>
  <c r="AE401" i="67" s="1"/>
  <c r="AD402" i="67"/>
  <c r="AE402" i="67" s="1"/>
  <c r="AD403" i="67"/>
  <c r="AE403" i="67" s="1"/>
  <c r="AD404" i="67"/>
  <c r="AE404" i="67" s="1"/>
  <c r="AD405" i="67"/>
  <c r="AE405" i="67" s="1"/>
  <c r="AD406" i="67"/>
  <c r="AE406" i="67" s="1"/>
  <c r="AD407" i="67"/>
  <c r="AE407" i="67" s="1"/>
  <c r="AD408" i="67"/>
  <c r="AE408" i="67" s="1"/>
  <c r="AD409" i="67"/>
  <c r="AE409" i="67" s="1"/>
  <c r="AD410" i="67"/>
  <c r="AE410" i="67" s="1"/>
  <c r="AD411" i="67"/>
  <c r="AE411" i="67" s="1"/>
  <c r="AD412" i="67"/>
  <c r="AE412" i="67" s="1"/>
  <c r="AD413" i="67"/>
  <c r="AE413" i="67" s="1"/>
  <c r="AD414" i="67"/>
  <c r="AE414" i="67" s="1"/>
  <c r="AD415" i="67"/>
  <c r="AE415" i="67" s="1"/>
  <c r="AD416" i="67"/>
  <c r="AE416" i="67" s="1"/>
  <c r="AD417" i="67"/>
  <c r="AE417" i="67" s="1"/>
  <c r="AD418" i="67"/>
  <c r="AE418" i="67" s="1"/>
  <c r="AD419" i="67"/>
  <c r="AE419" i="67" s="1"/>
  <c r="AD420" i="67"/>
  <c r="AE420" i="67" s="1"/>
  <c r="AD421" i="67"/>
  <c r="AE421" i="67" s="1"/>
  <c r="AD422" i="67"/>
  <c r="AE422" i="67" s="1"/>
  <c r="AD423" i="67"/>
  <c r="AE423" i="67" s="1"/>
  <c r="AD424" i="67"/>
  <c r="AE424" i="67" s="1"/>
  <c r="AD425" i="67"/>
  <c r="AE425" i="67" s="1"/>
  <c r="AD426" i="67"/>
  <c r="AE426" i="67" s="1"/>
  <c r="AD427" i="67"/>
  <c r="AE427" i="67" s="1"/>
  <c r="AD428" i="67"/>
  <c r="AE428" i="67" s="1"/>
  <c r="AD429" i="67"/>
  <c r="AE429" i="67" s="1"/>
  <c r="AD430" i="67"/>
  <c r="AE430" i="67" s="1"/>
  <c r="AD431" i="67"/>
  <c r="AE431" i="67" s="1"/>
  <c r="AD432" i="67"/>
  <c r="AE432" i="67" s="1"/>
  <c r="AD433" i="67"/>
  <c r="AE433" i="67" s="1"/>
  <c r="AD434" i="67"/>
  <c r="AE434" i="67" s="1"/>
  <c r="AD435" i="67"/>
  <c r="AE435" i="67" s="1"/>
  <c r="AD436" i="67"/>
  <c r="AE436" i="67" s="1"/>
  <c r="AD437" i="67"/>
  <c r="AE437" i="67" s="1"/>
  <c r="AD438" i="67"/>
  <c r="AE438" i="67" s="1"/>
  <c r="AD439" i="67"/>
  <c r="AE439" i="67" s="1"/>
  <c r="AD440" i="67"/>
  <c r="AE440" i="67" s="1"/>
  <c r="AD441" i="67"/>
  <c r="AE441" i="67" s="1"/>
  <c r="AD442" i="67"/>
  <c r="AE442" i="67" s="1"/>
  <c r="AD443" i="67"/>
  <c r="AE443" i="67" s="1"/>
  <c r="AD444" i="67"/>
  <c r="AE444" i="67" s="1"/>
  <c r="AD445" i="67"/>
  <c r="AE445" i="67" s="1"/>
  <c r="AD446" i="67"/>
  <c r="AE446" i="67" s="1"/>
  <c r="AD447" i="67"/>
  <c r="AE447" i="67" s="1"/>
  <c r="AD448" i="67"/>
  <c r="AE448" i="67" s="1"/>
  <c r="AD449" i="67"/>
  <c r="AE449" i="67" s="1"/>
  <c r="AD450" i="67"/>
  <c r="AE450" i="67" s="1"/>
  <c r="AD451" i="67"/>
  <c r="AE451" i="67" s="1"/>
  <c r="AD452" i="67"/>
  <c r="AE452" i="67" s="1"/>
  <c r="AD453" i="67"/>
  <c r="AE453" i="67" s="1"/>
  <c r="AD454" i="67"/>
  <c r="AE454" i="67" s="1"/>
  <c r="AD455" i="67"/>
  <c r="AE455" i="67" s="1"/>
  <c r="AD456" i="67"/>
  <c r="AE456" i="67" s="1"/>
  <c r="AD457" i="67"/>
  <c r="AE457" i="67" s="1"/>
  <c r="AD458" i="67"/>
  <c r="AE458" i="67" s="1"/>
  <c r="AD459" i="67"/>
  <c r="AE459" i="67" s="1"/>
  <c r="AD460" i="67"/>
  <c r="AE460" i="67" s="1"/>
  <c r="AD461" i="67"/>
  <c r="AE461" i="67" s="1"/>
  <c r="AD462" i="67"/>
  <c r="AE462" i="67" s="1"/>
  <c r="AD463" i="67"/>
  <c r="AE463" i="67" s="1"/>
  <c r="AD464" i="67"/>
  <c r="AE464" i="67" s="1"/>
  <c r="AD465" i="67"/>
  <c r="AE465" i="67" s="1"/>
  <c r="AD466" i="67"/>
  <c r="AE466" i="67" s="1"/>
  <c r="AD467" i="67"/>
  <c r="AE467" i="67" s="1"/>
  <c r="AD468" i="67"/>
  <c r="AE468" i="67" s="1"/>
  <c r="AD469" i="67"/>
  <c r="AE469" i="67" s="1"/>
  <c r="AD470" i="67"/>
  <c r="AE470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J3" i="67" l="1"/>
  <c r="AJ4" i="67"/>
  <c r="AJ5" i="67"/>
  <c r="AJ6" i="67"/>
  <c r="AJ7" i="67"/>
  <c r="AJ8" i="67"/>
  <c r="AJ9" i="67"/>
  <c r="AJ10" i="67"/>
  <c r="AJ11" i="67"/>
  <c r="AJ12" i="67"/>
  <c r="AJ13" i="67"/>
  <c r="AJ14" i="67"/>
  <c r="AJ15" i="67"/>
  <c r="AJ16" i="67"/>
  <c r="AJ17" i="67"/>
  <c r="AJ18" i="67"/>
  <c r="AJ19" i="67"/>
  <c r="AJ20" i="67"/>
  <c r="AJ21" i="67"/>
  <c r="AJ22" i="67"/>
  <c r="AJ23" i="67"/>
  <c r="AJ24" i="67"/>
  <c r="AJ25" i="67"/>
  <c r="AJ26" i="67"/>
  <c r="AJ27" i="67"/>
  <c r="AJ28" i="67"/>
  <c r="AJ29" i="67"/>
  <c r="AJ30" i="67"/>
  <c r="AJ31" i="67"/>
  <c r="AJ32" i="67"/>
  <c r="AJ33" i="67"/>
  <c r="AJ34" i="67"/>
  <c r="AJ35" i="67"/>
  <c r="AJ36" i="67"/>
  <c r="AJ37" i="67"/>
  <c r="AJ38" i="67"/>
  <c r="AJ39" i="67"/>
  <c r="AJ40" i="67"/>
  <c r="AJ41" i="67"/>
  <c r="AJ42" i="67"/>
  <c r="AJ43" i="67"/>
  <c r="AJ44" i="67"/>
  <c r="AJ45" i="67"/>
  <c r="AJ46" i="67"/>
  <c r="AJ47" i="67"/>
  <c r="AJ48" i="67"/>
  <c r="AJ49" i="67"/>
  <c r="AJ50" i="67"/>
  <c r="AJ51" i="67"/>
  <c r="AJ52" i="67"/>
  <c r="AJ53" i="67"/>
  <c r="AJ54" i="67"/>
  <c r="AJ55" i="67"/>
  <c r="AJ56" i="67"/>
  <c r="AJ57" i="67"/>
  <c r="AJ58" i="67"/>
  <c r="AJ59" i="67"/>
  <c r="AJ60" i="67"/>
  <c r="AJ61" i="67"/>
  <c r="AJ62" i="67"/>
  <c r="AJ63" i="67"/>
  <c r="AJ64" i="67"/>
  <c r="AJ65" i="67"/>
  <c r="AJ66" i="67"/>
  <c r="AJ67" i="67"/>
  <c r="AJ68" i="67"/>
  <c r="AJ69" i="67"/>
  <c r="AJ70" i="67"/>
  <c r="AJ71" i="67"/>
  <c r="AJ72" i="67"/>
  <c r="AJ73" i="67"/>
  <c r="AJ74" i="67"/>
  <c r="AJ75" i="67"/>
  <c r="AJ76" i="67"/>
  <c r="AJ77" i="67"/>
  <c r="AJ78" i="67"/>
  <c r="AJ79" i="67"/>
  <c r="AJ80" i="67"/>
  <c r="AJ81" i="67"/>
  <c r="AJ82" i="67"/>
  <c r="AJ83" i="67"/>
  <c r="AJ84" i="67"/>
  <c r="AJ85" i="67"/>
  <c r="AJ86" i="67"/>
  <c r="AJ87" i="67"/>
  <c r="AJ88" i="67"/>
  <c r="AJ89" i="67"/>
  <c r="AJ90" i="67"/>
  <c r="AJ91" i="67"/>
  <c r="AJ92" i="67"/>
  <c r="AJ93" i="67"/>
  <c r="AJ94" i="67"/>
  <c r="AJ95" i="67"/>
  <c r="AJ96" i="67"/>
  <c r="AJ97" i="67"/>
  <c r="AJ98" i="67"/>
  <c r="AJ99" i="67"/>
  <c r="AJ100" i="67"/>
  <c r="AJ101" i="67"/>
  <c r="AJ102" i="67"/>
  <c r="AJ103" i="67"/>
  <c r="AJ104" i="67"/>
  <c r="AJ105" i="67"/>
  <c r="AJ106" i="67"/>
  <c r="AJ107" i="67"/>
  <c r="AJ108" i="67"/>
  <c r="AJ109" i="67"/>
  <c r="AJ110" i="67"/>
  <c r="AJ111" i="67"/>
  <c r="AJ112" i="67"/>
  <c r="AJ113" i="67"/>
  <c r="AJ114" i="67"/>
  <c r="AJ115" i="67"/>
  <c r="AJ116" i="67"/>
  <c r="AJ117" i="67"/>
  <c r="AJ118" i="67"/>
  <c r="AJ119" i="67"/>
  <c r="AJ120" i="67"/>
  <c r="AJ121" i="67"/>
  <c r="AJ122" i="67"/>
  <c r="AJ123" i="67"/>
  <c r="AJ124" i="67"/>
  <c r="AJ125" i="67"/>
  <c r="AJ126" i="67"/>
  <c r="AJ127" i="67"/>
  <c r="AJ128" i="67"/>
  <c r="AJ129" i="67"/>
  <c r="AJ130" i="67"/>
  <c r="AJ131" i="67"/>
  <c r="AJ132" i="67"/>
  <c r="AJ133" i="67"/>
  <c r="AJ134" i="67"/>
  <c r="AJ135" i="67"/>
  <c r="AJ136" i="67"/>
  <c r="AJ137" i="67"/>
  <c r="AJ138" i="67"/>
  <c r="AJ139" i="67"/>
  <c r="AJ140" i="67"/>
  <c r="AJ141" i="67"/>
  <c r="AJ142" i="67"/>
  <c r="AJ143" i="67"/>
  <c r="AJ144" i="67"/>
  <c r="AJ145" i="67"/>
  <c r="AJ146" i="67"/>
  <c r="AJ147" i="67"/>
  <c r="AJ148" i="67"/>
  <c r="AJ149" i="67"/>
  <c r="AJ150" i="67"/>
  <c r="AJ151" i="67"/>
  <c r="AJ152" i="67"/>
  <c r="AJ153" i="67"/>
  <c r="AJ154" i="67"/>
  <c r="AJ155" i="67"/>
  <c r="AJ156" i="67"/>
  <c r="AJ157" i="67"/>
  <c r="AJ158" i="67"/>
  <c r="AJ159" i="67"/>
  <c r="AJ160" i="67"/>
  <c r="AJ161" i="67"/>
  <c r="AJ162" i="67"/>
  <c r="AJ163" i="67"/>
  <c r="AJ164" i="67"/>
  <c r="AJ165" i="67"/>
  <c r="AJ166" i="67"/>
  <c r="AJ167" i="67"/>
  <c r="AJ168" i="67"/>
  <c r="AJ169" i="67"/>
  <c r="AJ170" i="67"/>
  <c r="AJ171" i="67"/>
  <c r="AJ172" i="67"/>
  <c r="AJ173" i="67"/>
  <c r="AJ174" i="67"/>
  <c r="AJ175" i="67"/>
  <c r="AJ176" i="67"/>
  <c r="AJ177" i="67"/>
  <c r="AJ178" i="67"/>
  <c r="AJ179" i="67"/>
  <c r="AJ180" i="67"/>
  <c r="AJ181" i="67"/>
  <c r="AJ182" i="67"/>
  <c r="AJ183" i="67"/>
  <c r="AJ184" i="67"/>
  <c r="AJ185" i="67"/>
  <c r="AJ186" i="67"/>
  <c r="AJ187" i="67"/>
  <c r="AJ188" i="67"/>
  <c r="AJ189" i="67"/>
  <c r="AJ190" i="67"/>
  <c r="AJ191" i="67"/>
  <c r="AJ192" i="67"/>
  <c r="AJ193" i="67"/>
  <c r="AJ194" i="67"/>
  <c r="AJ195" i="67"/>
  <c r="AJ196" i="67"/>
  <c r="AJ197" i="67"/>
  <c r="AJ198" i="67"/>
  <c r="AJ199" i="67"/>
  <c r="AJ200" i="67"/>
  <c r="AJ201" i="67"/>
  <c r="AJ202" i="67"/>
  <c r="AJ203" i="67"/>
  <c r="AJ204" i="67"/>
  <c r="AJ205" i="67"/>
  <c r="AJ206" i="67"/>
  <c r="AJ207" i="67"/>
  <c r="AJ208" i="67"/>
  <c r="AJ209" i="67"/>
  <c r="AJ210" i="67"/>
  <c r="AJ211" i="67"/>
  <c r="AJ212" i="67"/>
  <c r="AJ213" i="67"/>
  <c r="AJ214" i="67"/>
  <c r="AJ215" i="67"/>
  <c r="AJ216" i="67"/>
  <c r="AJ217" i="67"/>
  <c r="AJ218" i="67"/>
  <c r="AJ219" i="67"/>
  <c r="AJ220" i="67"/>
  <c r="AJ221" i="67"/>
  <c r="AJ222" i="67"/>
  <c r="AJ223" i="67"/>
  <c r="AJ224" i="67"/>
  <c r="AJ225" i="67"/>
  <c r="AJ226" i="67"/>
  <c r="AJ227" i="67"/>
  <c r="AJ228" i="67"/>
  <c r="AJ229" i="67"/>
  <c r="AJ230" i="67"/>
  <c r="AJ231" i="67"/>
  <c r="AJ232" i="67"/>
  <c r="AJ233" i="67"/>
  <c r="AJ234" i="67"/>
  <c r="AJ235" i="67"/>
  <c r="AJ236" i="67"/>
  <c r="AJ237" i="67"/>
  <c r="AJ238" i="67"/>
  <c r="AJ239" i="67"/>
  <c r="AJ240" i="67"/>
  <c r="AJ241" i="67"/>
  <c r="AJ242" i="67"/>
  <c r="AJ243" i="67"/>
  <c r="AJ244" i="67"/>
  <c r="AJ245" i="67"/>
  <c r="AJ246" i="67"/>
  <c r="AJ247" i="67"/>
  <c r="AJ248" i="67"/>
  <c r="AJ249" i="67"/>
  <c r="AJ250" i="67"/>
  <c r="AJ251" i="67"/>
  <c r="AJ252" i="67"/>
  <c r="AJ253" i="67"/>
  <c r="AJ254" i="67"/>
  <c r="AJ255" i="67"/>
  <c r="AJ256" i="67"/>
  <c r="AJ257" i="67"/>
  <c r="AJ258" i="67"/>
  <c r="AJ259" i="67"/>
  <c r="AJ260" i="67"/>
  <c r="AJ261" i="67"/>
  <c r="AJ262" i="67"/>
  <c r="AJ263" i="67"/>
  <c r="AJ264" i="67"/>
  <c r="AJ265" i="67"/>
  <c r="AJ266" i="67"/>
  <c r="AJ267" i="67"/>
  <c r="AJ268" i="67"/>
  <c r="AJ269" i="67"/>
  <c r="AJ270" i="67"/>
  <c r="AJ271" i="67"/>
  <c r="AJ272" i="67"/>
  <c r="AJ273" i="67"/>
  <c r="AJ274" i="67"/>
  <c r="AJ275" i="67"/>
  <c r="AJ276" i="67"/>
  <c r="AJ277" i="67"/>
  <c r="AJ278" i="67"/>
  <c r="AJ279" i="67"/>
  <c r="AJ280" i="67"/>
  <c r="AJ281" i="67"/>
  <c r="AJ282" i="67"/>
  <c r="AJ283" i="67"/>
  <c r="AJ284" i="67"/>
  <c r="AJ285" i="67"/>
  <c r="AJ286" i="67"/>
  <c r="AJ287" i="67"/>
  <c r="AJ288" i="67"/>
  <c r="AJ289" i="67"/>
  <c r="AJ290" i="67"/>
  <c r="AJ291" i="67"/>
  <c r="AJ292" i="67"/>
  <c r="AJ293" i="67"/>
  <c r="AJ294" i="67"/>
  <c r="AJ295" i="67"/>
  <c r="AJ296" i="67"/>
  <c r="AJ297" i="67"/>
  <c r="AJ298" i="67"/>
  <c r="AJ299" i="67"/>
  <c r="AJ300" i="67"/>
  <c r="AJ301" i="67"/>
  <c r="AJ302" i="67"/>
  <c r="AJ303" i="67"/>
  <c r="AJ304" i="67"/>
  <c r="AJ305" i="67"/>
  <c r="AJ306" i="67"/>
  <c r="AJ307" i="67"/>
  <c r="AJ308" i="67"/>
  <c r="AJ309" i="67"/>
  <c r="AJ310" i="67"/>
  <c r="AJ311" i="67"/>
  <c r="AJ312" i="67"/>
  <c r="AJ313" i="67"/>
  <c r="AJ314" i="67"/>
  <c r="AJ315" i="67"/>
  <c r="AJ316" i="67"/>
  <c r="AJ317" i="67"/>
  <c r="AJ318" i="67"/>
  <c r="AJ319" i="67"/>
  <c r="AJ320" i="67"/>
  <c r="AJ321" i="67"/>
  <c r="AJ322" i="67"/>
  <c r="AJ323" i="67"/>
  <c r="AJ324" i="67"/>
  <c r="AJ325" i="67"/>
  <c r="AJ326" i="67"/>
  <c r="AJ327" i="67"/>
  <c r="AJ328" i="67"/>
  <c r="AJ329" i="67"/>
  <c r="AJ330" i="67"/>
  <c r="AJ331" i="67"/>
  <c r="AJ332" i="67"/>
  <c r="AJ333" i="67"/>
  <c r="AJ334" i="67"/>
  <c r="AJ335" i="67"/>
  <c r="AJ336" i="67"/>
  <c r="AJ337" i="67"/>
  <c r="AJ338" i="67"/>
  <c r="AJ339" i="67"/>
  <c r="AJ2" i="67"/>
  <c r="U414" i="67"/>
  <c r="V414" i="67" s="1"/>
  <c r="W414" i="67" s="1"/>
  <c r="U415" i="67"/>
  <c r="V415" i="67" s="1"/>
  <c r="W415" i="67" s="1"/>
  <c r="U416" i="67"/>
  <c r="V416" i="67" s="1"/>
  <c r="W416" i="67" s="1"/>
  <c r="U417" i="67"/>
  <c r="V417" i="67" s="1"/>
  <c r="W417" i="67" s="1"/>
  <c r="U418" i="67"/>
  <c r="V418" i="67" s="1"/>
  <c r="W418" i="67" s="1"/>
  <c r="U419" i="67"/>
  <c r="V419" i="67" s="1"/>
  <c r="W419" i="67" s="1"/>
  <c r="U420" i="67"/>
  <c r="V420" i="67" s="1"/>
  <c r="W420" i="67" s="1"/>
  <c r="U421" i="67"/>
  <c r="V421" i="67" s="1"/>
  <c r="W421" i="67" s="1"/>
  <c r="U422" i="67"/>
  <c r="V422" i="67" s="1"/>
  <c r="W422" i="67" s="1"/>
  <c r="U423" i="67"/>
  <c r="V423" i="67" s="1"/>
  <c r="W423" i="67" s="1"/>
  <c r="U424" i="67"/>
  <c r="V424" i="67" s="1"/>
  <c r="W424" i="67" s="1"/>
  <c r="U425" i="67"/>
  <c r="V425" i="67" s="1"/>
  <c r="W425" i="67" s="1"/>
  <c r="U426" i="67"/>
  <c r="V426" i="67" s="1"/>
  <c r="W426" i="67" s="1"/>
  <c r="U427" i="67"/>
  <c r="V427" i="67" s="1"/>
  <c r="W427" i="67" s="1"/>
  <c r="U428" i="67"/>
  <c r="V428" i="67" s="1"/>
  <c r="W428" i="67" s="1"/>
  <c r="U429" i="67"/>
  <c r="V429" i="67" s="1"/>
  <c r="W429" i="67" s="1"/>
  <c r="U430" i="67"/>
  <c r="V430" i="67" s="1"/>
  <c r="W430" i="67" s="1"/>
  <c r="U431" i="67"/>
  <c r="V431" i="67" s="1"/>
  <c r="W431" i="67" s="1"/>
  <c r="U432" i="67"/>
  <c r="V432" i="67" s="1"/>
  <c r="W432" i="67" s="1"/>
  <c r="U433" i="67"/>
  <c r="V433" i="67" s="1"/>
  <c r="W433" i="67" s="1"/>
  <c r="U434" i="67"/>
  <c r="V434" i="67" s="1"/>
  <c r="W434" i="67" s="1"/>
  <c r="U435" i="67"/>
  <c r="V435" i="67" s="1"/>
  <c r="W435" i="67" s="1"/>
  <c r="U436" i="67"/>
  <c r="V436" i="67" s="1"/>
  <c r="W436" i="67" s="1"/>
  <c r="U437" i="67"/>
  <c r="V437" i="67" s="1"/>
  <c r="W437" i="67" s="1"/>
  <c r="U438" i="67"/>
  <c r="V438" i="67" s="1"/>
  <c r="W438" i="67" s="1"/>
  <c r="U439" i="67"/>
  <c r="V439" i="67" s="1"/>
  <c r="W439" i="67" s="1"/>
  <c r="U440" i="67"/>
  <c r="V440" i="67" s="1"/>
  <c r="W440" i="67" s="1"/>
  <c r="U441" i="67"/>
  <c r="V441" i="67" s="1"/>
  <c r="W441" i="67" s="1"/>
  <c r="U442" i="67"/>
  <c r="V442" i="67" s="1"/>
  <c r="W442" i="67" s="1"/>
  <c r="U443" i="67"/>
  <c r="V443" i="67" s="1"/>
  <c r="W443" i="67" s="1"/>
  <c r="U444" i="67"/>
  <c r="V444" i="67" s="1"/>
  <c r="W444" i="67" s="1"/>
  <c r="U445" i="67"/>
  <c r="V445" i="67" s="1"/>
  <c r="W445" i="67" s="1"/>
  <c r="U446" i="67"/>
  <c r="V446" i="67" s="1"/>
  <c r="W446" i="67" s="1"/>
  <c r="U447" i="67"/>
  <c r="V447" i="67" s="1"/>
  <c r="W447" i="67" s="1"/>
  <c r="U448" i="67"/>
  <c r="V448" i="67" s="1"/>
  <c r="W448" i="67" s="1"/>
  <c r="U449" i="67"/>
  <c r="V449" i="67" s="1"/>
  <c r="W449" i="67" s="1"/>
  <c r="U450" i="67"/>
  <c r="V450" i="67" s="1"/>
  <c r="W450" i="67" s="1"/>
  <c r="U451" i="67"/>
  <c r="V451" i="67" s="1"/>
  <c r="W451" i="67" s="1"/>
  <c r="U452" i="67"/>
  <c r="V452" i="67" s="1"/>
  <c r="W452" i="67" s="1"/>
  <c r="U453" i="67"/>
  <c r="V453" i="67" s="1"/>
  <c r="W453" i="67" s="1"/>
  <c r="U454" i="67"/>
  <c r="V454" i="67" s="1"/>
  <c r="W454" i="67" s="1"/>
  <c r="U455" i="67"/>
  <c r="V455" i="67" s="1"/>
  <c r="W455" i="67" s="1"/>
  <c r="U456" i="67"/>
  <c r="V456" i="67" s="1"/>
  <c r="W456" i="67" s="1"/>
  <c r="U457" i="67"/>
  <c r="V457" i="67" s="1"/>
  <c r="W457" i="67" s="1"/>
  <c r="U458" i="67"/>
  <c r="V458" i="67" s="1"/>
  <c r="W458" i="67" s="1"/>
  <c r="U459" i="67"/>
  <c r="V459" i="67" s="1"/>
  <c r="W459" i="67" s="1"/>
  <c r="U460" i="67"/>
  <c r="V460" i="67" s="1"/>
  <c r="W460" i="67" s="1"/>
  <c r="U461" i="67"/>
  <c r="V461" i="67" s="1"/>
  <c r="W461" i="67" s="1"/>
  <c r="U462" i="67"/>
  <c r="V462" i="67" s="1"/>
  <c r="W462" i="67" s="1"/>
  <c r="U463" i="67"/>
  <c r="V463" i="67" s="1"/>
  <c r="W463" i="67" s="1"/>
  <c r="U464" i="67"/>
  <c r="V464" i="67" s="1"/>
  <c r="W464" i="67" s="1"/>
  <c r="U465" i="67"/>
  <c r="V465" i="67" s="1"/>
  <c r="W465" i="67" s="1"/>
  <c r="U466" i="67"/>
  <c r="V466" i="67" s="1"/>
  <c r="W466" i="67" s="1"/>
  <c r="U467" i="67"/>
  <c r="V467" i="67" s="1"/>
  <c r="W467" i="67" s="1"/>
  <c r="U468" i="67"/>
  <c r="V468" i="67" s="1"/>
  <c r="W468" i="67" s="1"/>
  <c r="U469" i="67"/>
  <c r="V469" i="67" s="1"/>
  <c r="W469" i="67" s="1"/>
  <c r="U470" i="67"/>
  <c r="V470" i="67" s="1"/>
  <c r="W470" i="67" s="1"/>
  <c r="L414" i="67"/>
  <c r="M414" i="67"/>
  <c r="N414" i="67"/>
  <c r="L415" i="67"/>
  <c r="M415" i="67"/>
  <c r="N415" i="67"/>
  <c r="L416" i="67"/>
  <c r="M416" i="67"/>
  <c r="N416" i="67"/>
  <c r="L417" i="67"/>
  <c r="M417" i="67"/>
  <c r="N417" i="67"/>
  <c r="L418" i="67"/>
  <c r="M418" i="67"/>
  <c r="N418" i="67"/>
  <c r="L419" i="67"/>
  <c r="M419" i="67"/>
  <c r="N419" i="67"/>
  <c r="L420" i="67"/>
  <c r="M420" i="67"/>
  <c r="N420" i="67"/>
  <c r="L421" i="67"/>
  <c r="M421" i="67"/>
  <c r="N421" i="67"/>
  <c r="L422" i="67"/>
  <c r="M422" i="67"/>
  <c r="N422" i="67"/>
  <c r="L423" i="67"/>
  <c r="M423" i="67"/>
  <c r="N423" i="67"/>
  <c r="L424" i="67"/>
  <c r="M424" i="67"/>
  <c r="N424" i="67"/>
  <c r="L425" i="67"/>
  <c r="M425" i="67"/>
  <c r="N425" i="67"/>
  <c r="L426" i="67"/>
  <c r="M426" i="67"/>
  <c r="N426" i="67"/>
  <c r="L427" i="67"/>
  <c r="M427" i="67"/>
  <c r="N427" i="67"/>
  <c r="L428" i="67"/>
  <c r="M428" i="67"/>
  <c r="N428" i="67"/>
  <c r="L429" i="67"/>
  <c r="M429" i="67"/>
  <c r="N429" i="67"/>
  <c r="L430" i="67"/>
  <c r="M430" i="67"/>
  <c r="N430" i="67"/>
  <c r="L431" i="67"/>
  <c r="M431" i="67"/>
  <c r="N431" i="67"/>
  <c r="L432" i="67"/>
  <c r="M432" i="67"/>
  <c r="N432" i="67"/>
  <c r="L433" i="67"/>
  <c r="M433" i="67"/>
  <c r="N433" i="67"/>
  <c r="L434" i="67"/>
  <c r="M434" i="67"/>
  <c r="N434" i="67"/>
  <c r="L435" i="67"/>
  <c r="M435" i="67"/>
  <c r="N435" i="67"/>
  <c r="L436" i="67"/>
  <c r="M436" i="67"/>
  <c r="N436" i="67"/>
  <c r="L437" i="67"/>
  <c r="M437" i="67"/>
  <c r="N437" i="67"/>
  <c r="L438" i="67"/>
  <c r="M438" i="67"/>
  <c r="N438" i="67"/>
  <c r="L439" i="67"/>
  <c r="M439" i="67"/>
  <c r="N439" i="67"/>
  <c r="L440" i="67"/>
  <c r="M440" i="67"/>
  <c r="N440" i="67"/>
  <c r="L441" i="67"/>
  <c r="M441" i="67"/>
  <c r="N441" i="67"/>
  <c r="L442" i="67"/>
  <c r="M442" i="67"/>
  <c r="N442" i="67"/>
  <c r="L443" i="67"/>
  <c r="M443" i="67"/>
  <c r="N443" i="67"/>
  <c r="L444" i="67"/>
  <c r="M444" i="67"/>
  <c r="N444" i="67"/>
  <c r="L445" i="67"/>
  <c r="M445" i="67"/>
  <c r="N445" i="67"/>
  <c r="L446" i="67"/>
  <c r="M446" i="67"/>
  <c r="N446" i="67"/>
  <c r="L447" i="67"/>
  <c r="M447" i="67"/>
  <c r="N447" i="67"/>
  <c r="L448" i="67"/>
  <c r="M448" i="67"/>
  <c r="N448" i="67"/>
  <c r="L449" i="67"/>
  <c r="M449" i="67"/>
  <c r="N449" i="67"/>
  <c r="L450" i="67"/>
  <c r="M450" i="67"/>
  <c r="N450" i="67"/>
  <c r="L451" i="67"/>
  <c r="M451" i="67"/>
  <c r="N451" i="67"/>
  <c r="L452" i="67"/>
  <c r="M452" i="67"/>
  <c r="N452" i="67"/>
  <c r="L453" i="67"/>
  <c r="M453" i="67"/>
  <c r="N453" i="67"/>
  <c r="L454" i="67"/>
  <c r="M454" i="67"/>
  <c r="N454" i="67"/>
  <c r="L455" i="67"/>
  <c r="M455" i="67"/>
  <c r="N455" i="67"/>
  <c r="L456" i="67"/>
  <c r="M456" i="67"/>
  <c r="N456" i="67"/>
  <c r="L457" i="67"/>
  <c r="M457" i="67"/>
  <c r="N457" i="67"/>
  <c r="L458" i="67"/>
  <c r="M458" i="67"/>
  <c r="N458" i="67"/>
  <c r="L459" i="67"/>
  <c r="M459" i="67"/>
  <c r="N459" i="67"/>
  <c r="L460" i="67"/>
  <c r="M460" i="67"/>
  <c r="N460" i="67"/>
  <c r="L461" i="67"/>
  <c r="M461" i="67"/>
  <c r="N461" i="67"/>
  <c r="L462" i="67"/>
  <c r="M462" i="67"/>
  <c r="N462" i="67"/>
  <c r="L463" i="67"/>
  <c r="M463" i="67"/>
  <c r="N463" i="67"/>
  <c r="L464" i="67"/>
  <c r="M464" i="67"/>
  <c r="N464" i="67"/>
  <c r="L465" i="67"/>
  <c r="M465" i="67"/>
  <c r="N465" i="67"/>
  <c r="L466" i="67"/>
  <c r="M466" i="67"/>
  <c r="N466" i="67"/>
  <c r="L467" i="67"/>
  <c r="M467" i="67"/>
  <c r="N467" i="67"/>
  <c r="L468" i="67"/>
  <c r="M468" i="67"/>
  <c r="N468" i="67"/>
  <c r="L469" i="67"/>
  <c r="M469" i="67"/>
  <c r="N469" i="67"/>
  <c r="L470" i="67"/>
  <c r="M470" i="67"/>
  <c r="N470" i="67"/>
  <c r="U375" i="67" l="1"/>
  <c r="V375" i="67" s="1"/>
  <c r="W375" i="67" s="1"/>
  <c r="U376" i="67"/>
  <c r="V376" i="67" s="1"/>
  <c r="W376" i="67" s="1"/>
  <c r="U377" i="67"/>
  <c r="V377" i="67" s="1"/>
  <c r="W377" i="67" s="1"/>
  <c r="U378" i="67"/>
  <c r="V378" i="67" s="1"/>
  <c r="W378" i="67" s="1"/>
  <c r="U379" i="67"/>
  <c r="V379" i="67" s="1"/>
  <c r="W379" i="67" s="1"/>
  <c r="U380" i="67"/>
  <c r="V380" i="67" s="1"/>
  <c r="W380" i="67" s="1"/>
  <c r="U381" i="67"/>
  <c r="V381" i="67" s="1"/>
  <c r="W381" i="67" s="1"/>
  <c r="U382" i="67"/>
  <c r="V382" i="67" s="1"/>
  <c r="W382" i="67" s="1"/>
  <c r="U383" i="67"/>
  <c r="V383" i="67" s="1"/>
  <c r="W383" i="67" s="1"/>
  <c r="U384" i="67"/>
  <c r="V384" i="67" s="1"/>
  <c r="W384" i="67" s="1"/>
  <c r="U385" i="67"/>
  <c r="V385" i="67" s="1"/>
  <c r="W385" i="67" s="1"/>
  <c r="U386" i="67"/>
  <c r="V386" i="67" s="1"/>
  <c r="W386" i="67" s="1"/>
  <c r="U387" i="67"/>
  <c r="V387" i="67" s="1"/>
  <c r="W387" i="67" s="1"/>
  <c r="U388" i="67"/>
  <c r="V388" i="67" s="1"/>
  <c r="W388" i="67" s="1"/>
  <c r="U389" i="67"/>
  <c r="V389" i="67" s="1"/>
  <c r="W389" i="67" s="1"/>
  <c r="U390" i="67"/>
  <c r="V390" i="67" s="1"/>
  <c r="W390" i="67" s="1"/>
  <c r="U391" i="67"/>
  <c r="V391" i="67" s="1"/>
  <c r="W391" i="67" s="1"/>
  <c r="U392" i="67"/>
  <c r="V392" i="67" s="1"/>
  <c r="W392" i="67" s="1"/>
  <c r="U393" i="67"/>
  <c r="V393" i="67" s="1"/>
  <c r="W393" i="67" s="1"/>
  <c r="U394" i="67"/>
  <c r="V394" i="67" s="1"/>
  <c r="W394" i="67" s="1"/>
  <c r="U395" i="67"/>
  <c r="V395" i="67" s="1"/>
  <c r="W395" i="67" s="1"/>
  <c r="U396" i="67"/>
  <c r="V396" i="67" s="1"/>
  <c r="W396" i="67" s="1"/>
  <c r="U397" i="67"/>
  <c r="V397" i="67" s="1"/>
  <c r="W397" i="67" s="1"/>
  <c r="U398" i="67"/>
  <c r="V398" i="67" s="1"/>
  <c r="W398" i="67" s="1"/>
  <c r="U399" i="67"/>
  <c r="V399" i="67" s="1"/>
  <c r="W399" i="67" s="1"/>
  <c r="U400" i="67"/>
  <c r="V400" i="67" s="1"/>
  <c r="W400" i="67" s="1"/>
  <c r="U401" i="67"/>
  <c r="V401" i="67" s="1"/>
  <c r="W401" i="67" s="1"/>
  <c r="U402" i="67"/>
  <c r="V402" i="67" s="1"/>
  <c r="W402" i="67" s="1"/>
  <c r="U403" i="67"/>
  <c r="V403" i="67" s="1"/>
  <c r="W403" i="67" s="1"/>
  <c r="U404" i="67"/>
  <c r="V404" i="67" s="1"/>
  <c r="W404" i="67" s="1"/>
  <c r="U405" i="67"/>
  <c r="V405" i="67" s="1"/>
  <c r="W405" i="67" s="1"/>
  <c r="U406" i="67"/>
  <c r="V406" i="67" s="1"/>
  <c r="W406" i="67" s="1"/>
  <c r="U407" i="67"/>
  <c r="V407" i="67" s="1"/>
  <c r="W407" i="67" s="1"/>
  <c r="U408" i="67"/>
  <c r="V408" i="67" s="1"/>
  <c r="W408" i="67" s="1"/>
  <c r="U409" i="67"/>
  <c r="V409" i="67" s="1"/>
  <c r="W409" i="67" s="1"/>
  <c r="U410" i="67"/>
  <c r="V410" i="67" s="1"/>
  <c r="W410" i="67" s="1"/>
  <c r="U411" i="67"/>
  <c r="V411" i="67" s="1"/>
  <c r="W411" i="67" s="1"/>
  <c r="U412" i="67"/>
  <c r="V412" i="67" s="1"/>
  <c r="W412" i="67" s="1"/>
  <c r="U413" i="67"/>
  <c r="V413" i="67" s="1"/>
  <c r="W413" i="67" s="1"/>
  <c r="M375" i="67"/>
  <c r="N375" i="67"/>
  <c r="M376" i="67"/>
  <c r="N376" i="67"/>
  <c r="M377" i="67"/>
  <c r="N377" i="67"/>
  <c r="M378" i="67"/>
  <c r="N378" i="67"/>
  <c r="M379" i="67"/>
  <c r="N379" i="67"/>
  <c r="M380" i="67"/>
  <c r="N380" i="67"/>
  <c r="M381" i="67"/>
  <c r="N381" i="67"/>
  <c r="M382" i="67"/>
  <c r="N382" i="67"/>
  <c r="M383" i="67"/>
  <c r="N383" i="67"/>
  <c r="M384" i="67"/>
  <c r="N384" i="67"/>
  <c r="M385" i="67"/>
  <c r="N385" i="67"/>
  <c r="M386" i="67"/>
  <c r="N386" i="67"/>
  <c r="M387" i="67"/>
  <c r="N387" i="67"/>
  <c r="M388" i="67"/>
  <c r="N388" i="67"/>
  <c r="M389" i="67"/>
  <c r="N389" i="67"/>
  <c r="M390" i="67"/>
  <c r="N390" i="67"/>
  <c r="M391" i="67"/>
  <c r="N391" i="67"/>
  <c r="M392" i="67"/>
  <c r="N392" i="67"/>
  <c r="M393" i="67"/>
  <c r="N393" i="67"/>
  <c r="M394" i="67"/>
  <c r="N394" i="67"/>
  <c r="M395" i="67"/>
  <c r="N395" i="67"/>
  <c r="M396" i="67"/>
  <c r="N396" i="67"/>
  <c r="M397" i="67"/>
  <c r="N397" i="67"/>
  <c r="M398" i="67"/>
  <c r="N398" i="67"/>
  <c r="M399" i="67"/>
  <c r="N399" i="67"/>
  <c r="M400" i="67"/>
  <c r="N400" i="67"/>
  <c r="M401" i="67"/>
  <c r="N401" i="67"/>
  <c r="M402" i="67"/>
  <c r="N402" i="67"/>
  <c r="M403" i="67"/>
  <c r="N403" i="67"/>
  <c r="M404" i="67"/>
  <c r="N404" i="67"/>
  <c r="M405" i="67"/>
  <c r="N405" i="67"/>
  <c r="M406" i="67"/>
  <c r="N406" i="67"/>
  <c r="M407" i="67"/>
  <c r="N407" i="67"/>
  <c r="M408" i="67"/>
  <c r="N408" i="67"/>
  <c r="M409" i="67"/>
  <c r="N409" i="67"/>
  <c r="M410" i="67"/>
  <c r="N410" i="67"/>
  <c r="M411" i="67"/>
  <c r="N411" i="67"/>
  <c r="M412" i="67"/>
  <c r="N412" i="67"/>
  <c r="M413" i="67"/>
  <c r="N413" i="67"/>
  <c r="L375" i="67"/>
  <c r="L376" i="67"/>
  <c r="L377" i="67"/>
  <c r="L378" i="67"/>
  <c r="L379" i="67"/>
  <c r="L380" i="67"/>
  <c r="L381" i="67"/>
  <c r="L382" i="67"/>
  <c r="L383" i="67"/>
  <c r="L384" i="67"/>
  <c r="L385" i="67"/>
  <c r="L386" i="67"/>
  <c r="L387" i="67"/>
  <c r="L388" i="67"/>
  <c r="L389" i="67"/>
  <c r="L390" i="67"/>
  <c r="L391" i="67"/>
  <c r="L392" i="67"/>
  <c r="L393" i="67"/>
  <c r="L394" i="67"/>
  <c r="L395" i="67"/>
  <c r="L396" i="67"/>
  <c r="L397" i="67"/>
  <c r="L398" i="67"/>
  <c r="L399" i="67"/>
  <c r="L400" i="67"/>
  <c r="L401" i="67"/>
  <c r="L402" i="67"/>
  <c r="L403" i="67"/>
  <c r="L404" i="67"/>
  <c r="L405" i="67"/>
  <c r="L406" i="67"/>
  <c r="L407" i="67"/>
  <c r="L408" i="67"/>
  <c r="L409" i="67"/>
  <c r="L410" i="67"/>
  <c r="L411" i="67"/>
  <c r="L412" i="67"/>
  <c r="L413" i="67"/>
  <c r="L362" i="67"/>
  <c r="L361" i="67"/>
  <c r="L360" i="67"/>
  <c r="L364" i="67"/>
  <c r="L368" i="67"/>
  <c r="L366" i="67"/>
  <c r="L367" i="67"/>
  <c r="L371" i="67"/>
  <c r="L355" i="67"/>
  <c r="L340" i="67"/>
  <c r="L369" i="67"/>
  <c r="L344" i="67"/>
  <c r="L351" i="67"/>
  <c r="L342" i="67"/>
  <c r="L343" i="67"/>
  <c r="L354" i="67"/>
  <c r="L372" i="67"/>
  <c r="L358" i="67"/>
  <c r="L359" i="67"/>
  <c r="L370" i="67"/>
  <c r="L349" i="67"/>
  <c r="L352" i="67"/>
  <c r="L357" i="67"/>
  <c r="L373" i="67"/>
  <c r="U340" i="67"/>
  <c r="V340" i="67" s="1"/>
  <c r="W340" i="67" s="1"/>
  <c r="U341" i="67"/>
  <c r="V341" i="67" s="1"/>
  <c r="W341" i="67" s="1"/>
  <c r="U342" i="67"/>
  <c r="V342" i="67" s="1"/>
  <c r="W342" i="67" s="1"/>
  <c r="U343" i="67"/>
  <c r="V343" i="67" s="1"/>
  <c r="W343" i="67" s="1"/>
  <c r="U344" i="67"/>
  <c r="V344" i="67" s="1"/>
  <c r="W344" i="67" s="1"/>
  <c r="U345" i="67"/>
  <c r="V345" i="67" s="1"/>
  <c r="W345" i="67" s="1"/>
  <c r="U346" i="67"/>
  <c r="V346" i="67" s="1"/>
  <c r="W346" i="67" s="1"/>
  <c r="U347" i="67"/>
  <c r="V347" i="67" s="1"/>
  <c r="W347" i="67" s="1"/>
  <c r="U348" i="67"/>
  <c r="V348" i="67" s="1"/>
  <c r="W348" i="67" s="1"/>
  <c r="U349" i="67"/>
  <c r="V349" i="67" s="1"/>
  <c r="W349" i="67" s="1"/>
  <c r="U350" i="67"/>
  <c r="V350" i="67" s="1"/>
  <c r="W350" i="67" s="1"/>
  <c r="U351" i="67"/>
  <c r="V351" i="67" s="1"/>
  <c r="W351" i="67" s="1"/>
  <c r="U352" i="67"/>
  <c r="V352" i="67" s="1"/>
  <c r="W352" i="67" s="1"/>
  <c r="U353" i="67"/>
  <c r="V353" i="67" s="1"/>
  <c r="W353" i="67" s="1"/>
  <c r="U354" i="67"/>
  <c r="V354" i="67" s="1"/>
  <c r="W354" i="67" s="1"/>
  <c r="U355" i="67"/>
  <c r="V355" i="67" s="1"/>
  <c r="W355" i="67" s="1"/>
  <c r="U356" i="67"/>
  <c r="V356" i="67" s="1"/>
  <c r="W356" i="67" s="1"/>
  <c r="U357" i="67"/>
  <c r="V357" i="67" s="1"/>
  <c r="W357" i="67" s="1"/>
  <c r="U358" i="67"/>
  <c r="V358" i="67" s="1"/>
  <c r="W358" i="67" s="1"/>
  <c r="U359" i="67"/>
  <c r="V359" i="67" s="1"/>
  <c r="W359" i="67" s="1"/>
  <c r="U360" i="67"/>
  <c r="V360" i="67" s="1"/>
  <c r="W360" i="67" s="1"/>
  <c r="U361" i="67"/>
  <c r="V361" i="67" s="1"/>
  <c r="W361" i="67" s="1"/>
  <c r="U362" i="67"/>
  <c r="V362" i="67" s="1"/>
  <c r="W362" i="67" s="1"/>
  <c r="U363" i="67"/>
  <c r="V363" i="67" s="1"/>
  <c r="W363" i="67" s="1"/>
  <c r="U364" i="67"/>
  <c r="V364" i="67" s="1"/>
  <c r="W364" i="67" s="1"/>
  <c r="U365" i="67"/>
  <c r="V365" i="67" s="1"/>
  <c r="W365" i="67" s="1"/>
  <c r="U366" i="67"/>
  <c r="V366" i="67" s="1"/>
  <c r="W366" i="67" s="1"/>
  <c r="U367" i="67"/>
  <c r="V367" i="67" s="1"/>
  <c r="W367" i="67" s="1"/>
  <c r="U368" i="67"/>
  <c r="V368" i="67" s="1"/>
  <c r="W368" i="67" s="1"/>
  <c r="U369" i="67"/>
  <c r="V369" i="67" s="1"/>
  <c r="W369" i="67" s="1"/>
  <c r="U370" i="67"/>
  <c r="V370" i="67" s="1"/>
  <c r="W370" i="67" s="1"/>
  <c r="U371" i="67"/>
  <c r="V371" i="67" s="1"/>
  <c r="W371" i="67" s="1"/>
  <c r="U372" i="67"/>
  <c r="V372" i="67" s="1"/>
  <c r="W372" i="67" s="1"/>
  <c r="U373" i="67"/>
  <c r="V373" i="67" s="1"/>
  <c r="W373" i="67" s="1"/>
  <c r="U374" i="67"/>
  <c r="V374" i="67" s="1"/>
  <c r="W374" i="67" s="1"/>
  <c r="M340" i="67"/>
  <c r="N340" i="67"/>
  <c r="L341" i="67"/>
  <c r="M341" i="67"/>
  <c r="N341" i="67"/>
  <c r="M342" i="67"/>
  <c r="N342" i="67"/>
  <c r="M343" i="67"/>
  <c r="N343" i="67"/>
  <c r="M344" i="67"/>
  <c r="N344" i="67"/>
  <c r="L345" i="67"/>
  <c r="M345" i="67"/>
  <c r="N345" i="67"/>
  <c r="L346" i="67"/>
  <c r="M346" i="67"/>
  <c r="N346" i="67"/>
  <c r="L347" i="67"/>
  <c r="M347" i="67"/>
  <c r="N347" i="67"/>
  <c r="L348" i="67"/>
  <c r="M348" i="67"/>
  <c r="N348" i="67"/>
  <c r="M349" i="67"/>
  <c r="N349" i="67"/>
  <c r="L350" i="67"/>
  <c r="M350" i="67"/>
  <c r="N350" i="67"/>
  <c r="M351" i="67"/>
  <c r="N351" i="67"/>
  <c r="M352" i="67"/>
  <c r="N352" i="67"/>
  <c r="L353" i="67"/>
  <c r="M353" i="67"/>
  <c r="N353" i="67"/>
  <c r="M354" i="67"/>
  <c r="N354" i="67"/>
  <c r="M355" i="67"/>
  <c r="N355" i="67"/>
  <c r="L356" i="67"/>
  <c r="M356" i="67"/>
  <c r="N356" i="67"/>
  <c r="M357" i="67"/>
  <c r="N357" i="67"/>
  <c r="M358" i="67"/>
  <c r="N358" i="67"/>
  <c r="M359" i="67"/>
  <c r="N359" i="67"/>
  <c r="M360" i="67"/>
  <c r="N360" i="67"/>
  <c r="M361" i="67"/>
  <c r="N361" i="67"/>
  <c r="M362" i="67"/>
  <c r="N362" i="67"/>
  <c r="L363" i="67"/>
  <c r="M363" i="67"/>
  <c r="N363" i="67"/>
  <c r="M364" i="67"/>
  <c r="N364" i="67"/>
  <c r="L365" i="67"/>
  <c r="M365" i="67"/>
  <c r="N365" i="67"/>
  <c r="M366" i="67"/>
  <c r="N366" i="67"/>
  <c r="M367" i="67"/>
  <c r="N367" i="67"/>
  <c r="M368" i="67"/>
  <c r="N368" i="67"/>
  <c r="M369" i="67"/>
  <c r="N369" i="67"/>
  <c r="M370" i="67"/>
  <c r="N370" i="67"/>
  <c r="M371" i="67"/>
  <c r="N371" i="67"/>
  <c r="M372" i="67"/>
  <c r="N372" i="67"/>
  <c r="M373" i="67"/>
  <c r="N373" i="67"/>
  <c r="L374" i="67"/>
  <c r="M374" i="67"/>
  <c r="N374" i="67"/>
  <c r="U283" i="67" l="1"/>
  <c r="V283" i="67" s="1"/>
  <c r="W283" i="67" s="1"/>
  <c r="U284" i="67"/>
  <c r="V284" i="67" s="1"/>
  <c r="W284" i="67" s="1"/>
  <c r="U285" i="67"/>
  <c r="V285" i="67" s="1"/>
  <c r="W285" i="67" s="1"/>
  <c r="U286" i="67"/>
  <c r="V286" i="67" s="1"/>
  <c r="W286" i="67" s="1"/>
  <c r="U287" i="67"/>
  <c r="V287" i="67" s="1"/>
  <c r="W287" i="67" s="1"/>
  <c r="U288" i="67"/>
  <c r="V288" i="67" s="1"/>
  <c r="W288" i="67" s="1"/>
  <c r="U289" i="67"/>
  <c r="V289" i="67" s="1"/>
  <c r="W289" i="67" s="1"/>
  <c r="U290" i="67"/>
  <c r="V290" i="67" s="1"/>
  <c r="W290" i="67" s="1"/>
  <c r="U291" i="67"/>
  <c r="V291" i="67" s="1"/>
  <c r="W291" i="67" s="1"/>
  <c r="U292" i="67"/>
  <c r="V292" i="67" s="1"/>
  <c r="W292" i="67" s="1"/>
  <c r="U293" i="67"/>
  <c r="V293" i="67" s="1"/>
  <c r="W293" i="67" s="1"/>
  <c r="U294" i="67"/>
  <c r="V294" i="67" s="1"/>
  <c r="W294" i="67" s="1"/>
  <c r="U295" i="67"/>
  <c r="V295" i="67" s="1"/>
  <c r="W295" i="67" s="1"/>
  <c r="U296" i="67"/>
  <c r="V296" i="67" s="1"/>
  <c r="W296" i="67" s="1"/>
  <c r="U297" i="67"/>
  <c r="V297" i="67" s="1"/>
  <c r="W297" i="67" s="1"/>
  <c r="U298" i="67"/>
  <c r="V298" i="67" s="1"/>
  <c r="W298" i="67" s="1"/>
  <c r="U299" i="67"/>
  <c r="V299" i="67" s="1"/>
  <c r="W299" i="67" s="1"/>
  <c r="U300" i="67"/>
  <c r="V300" i="67" s="1"/>
  <c r="W300" i="67" s="1"/>
  <c r="U301" i="67"/>
  <c r="V301" i="67" s="1"/>
  <c r="W301" i="67" s="1"/>
  <c r="U302" i="67"/>
  <c r="V302" i="67" s="1"/>
  <c r="W302" i="67" s="1"/>
  <c r="U303" i="67"/>
  <c r="V303" i="67" s="1"/>
  <c r="W303" i="67" s="1"/>
  <c r="U304" i="67"/>
  <c r="V304" i="67" s="1"/>
  <c r="W304" i="67" s="1"/>
  <c r="U305" i="67"/>
  <c r="V305" i="67" s="1"/>
  <c r="W305" i="67" s="1"/>
  <c r="U306" i="67"/>
  <c r="V306" i="67" s="1"/>
  <c r="W306" i="67" s="1"/>
  <c r="U307" i="67"/>
  <c r="V307" i="67" s="1"/>
  <c r="W307" i="67" s="1"/>
  <c r="U308" i="67"/>
  <c r="V308" i="67" s="1"/>
  <c r="W308" i="67" s="1"/>
  <c r="U309" i="67"/>
  <c r="V309" i="67" s="1"/>
  <c r="W309" i="67" s="1"/>
  <c r="U310" i="67"/>
  <c r="V310" i="67" s="1"/>
  <c r="W310" i="67" s="1"/>
  <c r="U311" i="67"/>
  <c r="V311" i="67" s="1"/>
  <c r="W311" i="67" s="1"/>
  <c r="U312" i="67"/>
  <c r="V312" i="67" s="1"/>
  <c r="W312" i="67" s="1"/>
  <c r="U313" i="67"/>
  <c r="V313" i="67" s="1"/>
  <c r="W313" i="67" s="1"/>
  <c r="U314" i="67"/>
  <c r="V314" i="67" s="1"/>
  <c r="W314" i="67" s="1"/>
  <c r="U315" i="67"/>
  <c r="V315" i="67" s="1"/>
  <c r="W315" i="67" s="1"/>
  <c r="U316" i="67"/>
  <c r="V316" i="67" s="1"/>
  <c r="W316" i="67" s="1"/>
  <c r="U317" i="67"/>
  <c r="V317" i="67" s="1"/>
  <c r="W317" i="67" s="1"/>
  <c r="U318" i="67"/>
  <c r="V318" i="67" s="1"/>
  <c r="W318" i="67" s="1"/>
  <c r="U319" i="67"/>
  <c r="V319" i="67" s="1"/>
  <c r="W319" i="67" s="1"/>
  <c r="U320" i="67"/>
  <c r="V320" i="67" s="1"/>
  <c r="W320" i="67" s="1"/>
  <c r="U321" i="67"/>
  <c r="V321" i="67" s="1"/>
  <c r="W321" i="67" s="1"/>
  <c r="U322" i="67"/>
  <c r="V322" i="67" s="1"/>
  <c r="W322" i="67" s="1"/>
  <c r="U323" i="67"/>
  <c r="V323" i="67" s="1"/>
  <c r="W323" i="67" s="1"/>
  <c r="U324" i="67"/>
  <c r="V324" i="67" s="1"/>
  <c r="W324" i="67" s="1"/>
  <c r="U325" i="67"/>
  <c r="V325" i="67" s="1"/>
  <c r="W325" i="67" s="1"/>
  <c r="U326" i="67"/>
  <c r="V326" i="67" s="1"/>
  <c r="W326" i="67" s="1"/>
  <c r="U327" i="67"/>
  <c r="V327" i="67" s="1"/>
  <c r="W327" i="67" s="1"/>
  <c r="U328" i="67"/>
  <c r="V328" i="67" s="1"/>
  <c r="W328" i="67" s="1"/>
  <c r="U329" i="67"/>
  <c r="V329" i="67" s="1"/>
  <c r="W329" i="67" s="1"/>
  <c r="U330" i="67"/>
  <c r="V330" i="67" s="1"/>
  <c r="W330" i="67" s="1"/>
  <c r="U331" i="67"/>
  <c r="V331" i="67" s="1"/>
  <c r="W331" i="67" s="1"/>
  <c r="U332" i="67"/>
  <c r="V332" i="67" s="1"/>
  <c r="W332" i="67" s="1"/>
  <c r="U333" i="67"/>
  <c r="V333" i="67" s="1"/>
  <c r="W333" i="67" s="1"/>
  <c r="U334" i="67"/>
  <c r="V334" i="67" s="1"/>
  <c r="W334" i="67" s="1"/>
  <c r="U335" i="67"/>
  <c r="V335" i="67" s="1"/>
  <c r="W335" i="67" s="1"/>
  <c r="U336" i="67"/>
  <c r="V336" i="67" s="1"/>
  <c r="W336" i="67" s="1"/>
  <c r="U337" i="67"/>
  <c r="V337" i="67" s="1"/>
  <c r="W337" i="67" s="1"/>
  <c r="U338" i="67"/>
  <c r="V338" i="67" s="1"/>
  <c r="W338" i="67" s="1"/>
  <c r="U339" i="67"/>
  <c r="V339" i="67" s="1"/>
  <c r="W339" i="67" s="1"/>
  <c r="L283" i="67"/>
  <c r="M283" i="67"/>
  <c r="N283" i="67"/>
  <c r="L284" i="67"/>
  <c r="M284" i="67"/>
  <c r="N284" i="67"/>
  <c r="L285" i="67"/>
  <c r="M285" i="67"/>
  <c r="N285" i="67"/>
  <c r="L286" i="67"/>
  <c r="M286" i="67"/>
  <c r="N286" i="67"/>
  <c r="L287" i="67"/>
  <c r="M287" i="67"/>
  <c r="N287" i="67"/>
  <c r="L288" i="67"/>
  <c r="M288" i="67"/>
  <c r="N288" i="67"/>
  <c r="L289" i="67"/>
  <c r="M289" i="67"/>
  <c r="N289" i="67"/>
  <c r="L290" i="67"/>
  <c r="M290" i="67"/>
  <c r="N290" i="67"/>
  <c r="L291" i="67"/>
  <c r="M291" i="67"/>
  <c r="N291" i="67"/>
  <c r="L292" i="67"/>
  <c r="M292" i="67"/>
  <c r="N292" i="67"/>
  <c r="L293" i="67"/>
  <c r="M293" i="67"/>
  <c r="N293" i="67"/>
  <c r="L294" i="67"/>
  <c r="M294" i="67"/>
  <c r="N294" i="67"/>
  <c r="L295" i="67"/>
  <c r="M295" i="67"/>
  <c r="N295" i="67"/>
  <c r="L296" i="67"/>
  <c r="M296" i="67"/>
  <c r="N296" i="67"/>
  <c r="L297" i="67"/>
  <c r="M297" i="67"/>
  <c r="N297" i="67"/>
  <c r="L298" i="67"/>
  <c r="M298" i="67"/>
  <c r="N298" i="67"/>
  <c r="L299" i="67"/>
  <c r="M299" i="67"/>
  <c r="N299" i="67"/>
  <c r="L300" i="67"/>
  <c r="M300" i="67"/>
  <c r="N300" i="67"/>
  <c r="L301" i="67"/>
  <c r="M301" i="67"/>
  <c r="N301" i="67"/>
  <c r="L302" i="67"/>
  <c r="M302" i="67"/>
  <c r="N302" i="67"/>
  <c r="L303" i="67"/>
  <c r="M303" i="67"/>
  <c r="N303" i="67"/>
  <c r="L304" i="67"/>
  <c r="M304" i="67"/>
  <c r="N304" i="67"/>
  <c r="L305" i="67"/>
  <c r="M305" i="67"/>
  <c r="N305" i="67"/>
  <c r="L306" i="67"/>
  <c r="M306" i="67"/>
  <c r="N306" i="67"/>
  <c r="L307" i="67"/>
  <c r="M307" i="67"/>
  <c r="N307" i="67"/>
  <c r="L308" i="67"/>
  <c r="M308" i="67"/>
  <c r="N308" i="67"/>
  <c r="L309" i="67"/>
  <c r="M309" i="67"/>
  <c r="N309" i="67"/>
  <c r="L310" i="67"/>
  <c r="M310" i="67"/>
  <c r="N310" i="67"/>
  <c r="L311" i="67"/>
  <c r="M311" i="67"/>
  <c r="N311" i="67"/>
  <c r="L312" i="67"/>
  <c r="M312" i="67"/>
  <c r="N312" i="67"/>
  <c r="L313" i="67"/>
  <c r="M313" i="67"/>
  <c r="N313" i="67"/>
  <c r="L314" i="67"/>
  <c r="M314" i="67"/>
  <c r="N314" i="67"/>
  <c r="L315" i="67"/>
  <c r="M315" i="67"/>
  <c r="N315" i="67"/>
  <c r="L316" i="67"/>
  <c r="M316" i="67"/>
  <c r="N316" i="67"/>
  <c r="L317" i="67"/>
  <c r="M317" i="67"/>
  <c r="N317" i="67"/>
  <c r="L318" i="67"/>
  <c r="M318" i="67"/>
  <c r="N318" i="67"/>
  <c r="L319" i="67"/>
  <c r="M319" i="67"/>
  <c r="N319" i="67"/>
  <c r="L320" i="67"/>
  <c r="M320" i="67"/>
  <c r="N320" i="67"/>
  <c r="L321" i="67"/>
  <c r="M321" i="67"/>
  <c r="N321" i="67"/>
  <c r="L322" i="67"/>
  <c r="M322" i="67"/>
  <c r="N322" i="67"/>
  <c r="L323" i="67"/>
  <c r="M323" i="67"/>
  <c r="N323" i="67"/>
  <c r="L324" i="67"/>
  <c r="M324" i="67"/>
  <c r="N324" i="67"/>
  <c r="L325" i="67"/>
  <c r="M325" i="67"/>
  <c r="N325" i="67"/>
  <c r="L326" i="67"/>
  <c r="M326" i="67"/>
  <c r="N326" i="67"/>
  <c r="L327" i="67"/>
  <c r="M327" i="67"/>
  <c r="N327" i="67"/>
  <c r="L328" i="67"/>
  <c r="M328" i="67"/>
  <c r="N328" i="67"/>
  <c r="L329" i="67"/>
  <c r="M329" i="67"/>
  <c r="N329" i="67"/>
  <c r="L330" i="67"/>
  <c r="M330" i="67"/>
  <c r="N330" i="67"/>
  <c r="L331" i="67"/>
  <c r="M331" i="67"/>
  <c r="N331" i="67"/>
  <c r="L332" i="67"/>
  <c r="M332" i="67"/>
  <c r="N332" i="67"/>
  <c r="L333" i="67"/>
  <c r="M333" i="67"/>
  <c r="N333" i="67"/>
  <c r="L334" i="67"/>
  <c r="M334" i="67"/>
  <c r="N334" i="67"/>
  <c r="L335" i="67"/>
  <c r="M335" i="67"/>
  <c r="N335" i="67"/>
  <c r="L336" i="67"/>
  <c r="M336" i="67"/>
  <c r="N336" i="67"/>
  <c r="L337" i="67"/>
  <c r="M337" i="67"/>
  <c r="N337" i="67"/>
  <c r="L338" i="67"/>
  <c r="M338" i="67"/>
  <c r="N338" i="67"/>
  <c r="L339" i="67"/>
  <c r="M339" i="67"/>
  <c r="N339" i="67"/>
  <c r="S249" i="67" l="1"/>
  <c r="U236" i="67"/>
  <c r="V236" i="67" s="1"/>
  <c r="W236" i="67" s="1"/>
  <c r="U237" i="67"/>
  <c r="V237" i="67" s="1"/>
  <c r="W237" i="67" s="1"/>
  <c r="U238" i="67"/>
  <c r="V238" i="67" s="1"/>
  <c r="W238" i="67" s="1"/>
  <c r="U239" i="67"/>
  <c r="V239" i="67" s="1"/>
  <c r="W239" i="67" s="1"/>
  <c r="U242" i="67"/>
  <c r="V242" i="67" s="1"/>
  <c r="W242" i="67" s="1"/>
  <c r="U243" i="67"/>
  <c r="V243" i="67" s="1"/>
  <c r="W243" i="67" s="1"/>
  <c r="U244" i="67"/>
  <c r="V244" i="67" s="1"/>
  <c r="W244" i="67" s="1"/>
  <c r="U245" i="67"/>
  <c r="V245" i="67" s="1"/>
  <c r="W245" i="67" s="1"/>
  <c r="U246" i="67"/>
  <c r="V246" i="67" s="1"/>
  <c r="W246" i="67" s="1"/>
  <c r="U247" i="67"/>
  <c r="V247" i="67" s="1"/>
  <c r="W247" i="67" s="1"/>
  <c r="U248" i="67"/>
  <c r="V248" i="67" s="1"/>
  <c r="W248" i="67" s="1"/>
  <c r="U249" i="67"/>
  <c r="V249" i="67" s="1"/>
  <c r="W249" i="67" s="1"/>
  <c r="U250" i="67"/>
  <c r="V250" i="67" s="1"/>
  <c r="W250" i="67" s="1"/>
  <c r="U251" i="67"/>
  <c r="V251" i="67" s="1"/>
  <c r="W251" i="67" s="1"/>
  <c r="U252" i="67"/>
  <c r="V252" i="67" s="1"/>
  <c r="W252" i="67" s="1"/>
  <c r="U253" i="67"/>
  <c r="V253" i="67" s="1"/>
  <c r="W253" i="67" s="1"/>
  <c r="U254" i="67"/>
  <c r="V254" i="67" s="1"/>
  <c r="W254" i="67" s="1"/>
  <c r="U255" i="67"/>
  <c r="V255" i="67" s="1"/>
  <c r="W255" i="67" s="1"/>
  <c r="U256" i="67"/>
  <c r="V256" i="67" s="1"/>
  <c r="W256" i="67" s="1"/>
  <c r="U257" i="67"/>
  <c r="V257" i="67" s="1"/>
  <c r="W257" i="67" s="1"/>
  <c r="U258" i="67"/>
  <c r="V258" i="67" s="1"/>
  <c r="W258" i="67" s="1"/>
  <c r="U259" i="67"/>
  <c r="V259" i="67" s="1"/>
  <c r="W259" i="67" s="1"/>
  <c r="U260" i="67"/>
  <c r="V260" i="67" s="1"/>
  <c r="W260" i="67" s="1"/>
  <c r="U261" i="67"/>
  <c r="V261" i="67" s="1"/>
  <c r="W261" i="67" s="1"/>
  <c r="U262" i="67"/>
  <c r="V262" i="67" s="1"/>
  <c r="W262" i="67" s="1"/>
  <c r="U263" i="67"/>
  <c r="V263" i="67" s="1"/>
  <c r="W263" i="67" s="1"/>
  <c r="U264" i="67"/>
  <c r="V264" i="67" s="1"/>
  <c r="W264" i="67" s="1"/>
  <c r="U265" i="67"/>
  <c r="V265" i="67" s="1"/>
  <c r="W265" i="67" s="1"/>
  <c r="U266" i="67"/>
  <c r="V266" i="67" s="1"/>
  <c r="W266" i="67" s="1"/>
  <c r="U267" i="67"/>
  <c r="V267" i="67" s="1"/>
  <c r="W267" i="67" s="1"/>
  <c r="U268" i="67"/>
  <c r="V268" i="67" s="1"/>
  <c r="W268" i="67" s="1"/>
  <c r="U269" i="67"/>
  <c r="V269" i="67" s="1"/>
  <c r="W269" i="67" s="1"/>
  <c r="U270" i="67"/>
  <c r="V270" i="67" s="1"/>
  <c r="W270" i="67" s="1"/>
  <c r="U271" i="67"/>
  <c r="V271" i="67" s="1"/>
  <c r="W271" i="67" s="1"/>
  <c r="U272" i="67"/>
  <c r="V272" i="67" s="1"/>
  <c r="W272" i="67" s="1"/>
  <c r="U273" i="67"/>
  <c r="V273" i="67" s="1"/>
  <c r="W273" i="67" s="1"/>
  <c r="U274" i="67"/>
  <c r="V274" i="67" s="1"/>
  <c r="W274" i="67" s="1"/>
  <c r="U275" i="67"/>
  <c r="V275" i="67" s="1"/>
  <c r="W275" i="67" s="1"/>
  <c r="U276" i="67"/>
  <c r="V276" i="67" s="1"/>
  <c r="W276" i="67" s="1"/>
  <c r="U277" i="67"/>
  <c r="V277" i="67" s="1"/>
  <c r="W277" i="67" s="1"/>
  <c r="U278" i="67"/>
  <c r="V278" i="67" s="1"/>
  <c r="W278" i="67" s="1"/>
  <c r="U279" i="67"/>
  <c r="V279" i="67" s="1"/>
  <c r="W279" i="67" s="1"/>
  <c r="U280" i="67"/>
  <c r="V280" i="67" s="1"/>
  <c r="W280" i="67" s="1"/>
  <c r="U281" i="67"/>
  <c r="V281" i="67" s="1"/>
  <c r="W281" i="67" s="1"/>
  <c r="U282" i="67"/>
  <c r="V282" i="67" s="1"/>
  <c r="W282" i="67" s="1"/>
  <c r="S274" i="67" l="1"/>
  <c r="S266" i="67"/>
  <c r="S243" i="67"/>
  <c r="S241" i="67"/>
  <c r="S237" i="67"/>
  <c r="S276" i="67"/>
  <c r="S272" i="67"/>
  <c r="S269" i="67"/>
  <c r="S259" i="67"/>
  <c r="S257" i="67"/>
  <c r="S239" i="67"/>
  <c r="L235" i="67"/>
  <c r="M235" i="67"/>
  <c r="N235" i="67"/>
  <c r="L236" i="67"/>
  <c r="M236" i="67"/>
  <c r="N236" i="67"/>
  <c r="L237" i="67"/>
  <c r="M237" i="67"/>
  <c r="N237" i="67"/>
  <c r="L238" i="67"/>
  <c r="M238" i="67"/>
  <c r="N238" i="67"/>
  <c r="L239" i="67"/>
  <c r="M239" i="67"/>
  <c r="N239" i="67"/>
  <c r="L240" i="67"/>
  <c r="M240" i="67"/>
  <c r="N240" i="67"/>
  <c r="L241" i="67"/>
  <c r="M241" i="67"/>
  <c r="N241" i="67"/>
  <c r="L242" i="67"/>
  <c r="M242" i="67"/>
  <c r="N242" i="67"/>
  <c r="L243" i="67"/>
  <c r="M243" i="67"/>
  <c r="N243" i="67"/>
  <c r="L244" i="67"/>
  <c r="M244" i="67"/>
  <c r="N244" i="67"/>
  <c r="L245" i="67"/>
  <c r="M245" i="67"/>
  <c r="N245" i="67"/>
  <c r="L246" i="67"/>
  <c r="M246" i="67"/>
  <c r="N246" i="67"/>
  <c r="L247" i="67"/>
  <c r="M247" i="67"/>
  <c r="N247" i="67"/>
  <c r="L248" i="67"/>
  <c r="M248" i="67"/>
  <c r="N248" i="67"/>
  <c r="L249" i="67"/>
  <c r="M249" i="67"/>
  <c r="N249" i="67"/>
  <c r="L250" i="67"/>
  <c r="M250" i="67"/>
  <c r="N250" i="67"/>
  <c r="L251" i="67"/>
  <c r="M251" i="67"/>
  <c r="N251" i="67"/>
  <c r="L252" i="67"/>
  <c r="M252" i="67"/>
  <c r="N252" i="67"/>
  <c r="L253" i="67"/>
  <c r="M253" i="67"/>
  <c r="N253" i="67"/>
  <c r="L254" i="67"/>
  <c r="M254" i="67"/>
  <c r="N254" i="67"/>
  <c r="L255" i="67"/>
  <c r="M255" i="67"/>
  <c r="N255" i="67"/>
  <c r="L256" i="67"/>
  <c r="M256" i="67"/>
  <c r="N256" i="67"/>
  <c r="L257" i="67"/>
  <c r="M257" i="67"/>
  <c r="N257" i="67"/>
  <c r="L258" i="67"/>
  <c r="M258" i="67"/>
  <c r="N258" i="67"/>
  <c r="L259" i="67"/>
  <c r="M259" i="67"/>
  <c r="N259" i="67"/>
  <c r="L260" i="67"/>
  <c r="M260" i="67"/>
  <c r="N260" i="67"/>
  <c r="L261" i="67"/>
  <c r="M261" i="67"/>
  <c r="N261" i="67"/>
  <c r="L262" i="67"/>
  <c r="M262" i="67"/>
  <c r="N262" i="67"/>
  <c r="L263" i="67"/>
  <c r="M263" i="67"/>
  <c r="N263" i="67"/>
  <c r="L264" i="67"/>
  <c r="M264" i="67"/>
  <c r="N264" i="67"/>
  <c r="L265" i="67"/>
  <c r="M265" i="67"/>
  <c r="N265" i="67"/>
  <c r="L266" i="67"/>
  <c r="M266" i="67"/>
  <c r="N266" i="67"/>
  <c r="L267" i="67"/>
  <c r="M267" i="67"/>
  <c r="N267" i="67"/>
  <c r="L268" i="67"/>
  <c r="M268" i="67"/>
  <c r="N268" i="67"/>
  <c r="L269" i="67"/>
  <c r="M269" i="67"/>
  <c r="N269" i="67"/>
  <c r="L270" i="67"/>
  <c r="M270" i="67"/>
  <c r="N270" i="67"/>
  <c r="L271" i="67"/>
  <c r="M271" i="67"/>
  <c r="N271" i="67"/>
  <c r="L272" i="67"/>
  <c r="M272" i="67"/>
  <c r="N272" i="67"/>
  <c r="L273" i="67"/>
  <c r="M273" i="67"/>
  <c r="N273" i="67"/>
  <c r="L274" i="67"/>
  <c r="M274" i="67"/>
  <c r="N274" i="67"/>
  <c r="L275" i="67"/>
  <c r="M275" i="67"/>
  <c r="N275" i="67"/>
  <c r="L276" i="67"/>
  <c r="M276" i="67"/>
  <c r="N276" i="67"/>
  <c r="L277" i="67"/>
  <c r="M277" i="67"/>
  <c r="N277" i="67"/>
  <c r="L278" i="67"/>
  <c r="M278" i="67"/>
  <c r="N278" i="67"/>
  <c r="L279" i="67"/>
  <c r="M279" i="67"/>
  <c r="N279" i="67"/>
  <c r="L280" i="67"/>
  <c r="M280" i="67"/>
  <c r="N280" i="67"/>
  <c r="L281" i="67"/>
  <c r="M281" i="67"/>
  <c r="N281" i="67"/>
  <c r="L282" i="67"/>
  <c r="M282" i="67"/>
  <c r="N282" i="67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U196" i="67" l="1"/>
  <c r="V196" i="67" s="1"/>
  <c r="W196" i="67" s="1"/>
  <c r="U197" i="67"/>
  <c r="V197" i="67" s="1"/>
  <c r="W197" i="67" s="1"/>
  <c r="U198" i="67"/>
  <c r="V198" i="67" s="1"/>
  <c r="W198" i="67" s="1"/>
  <c r="U199" i="67"/>
  <c r="V199" i="67" s="1"/>
  <c r="W199" i="67" s="1"/>
  <c r="U200" i="67"/>
  <c r="V200" i="67" s="1"/>
  <c r="W200" i="67" s="1"/>
  <c r="U201" i="67"/>
  <c r="V201" i="67" s="1"/>
  <c r="W201" i="67" s="1"/>
  <c r="U202" i="67"/>
  <c r="V202" i="67" s="1"/>
  <c r="W202" i="67" s="1"/>
  <c r="U203" i="67"/>
  <c r="V203" i="67" s="1"/>
  <c r="W203" i="67" s="1"/>
  <c r="U204" i="67"/>
  <c r="V204" i="67" s="1"/>
  <c r="W204" i="67" s="1"/>
  <c r="U205" i="67"/>
  <c r="V205" i="67" s="1"/>
  <c r="W205" i="67" s="1"/>
  <c r="U206" i="67"/>
  <c r="V206" i="67" s="1"/>
  <c r="W206" i="67" s="1"/>
  <c r="U207" i="67"/>
  <c r="V207" i="67" s="1"/>
  <c r="W207" i="67" s="1"/>
  <c r="U208" i="67"/>
  <c r="V208" i="67" s="1"/>
  <c r="W208" i="67" s="1"/>
  <c r="U209" i="67"/>
  <c r="V209" i="67" s="1"/>
  <c r="W209" i="67" s="1"/>
  <c r="U210" i="67"/>
  <c r="V210" i="67" s="1"/>
  <c r="W210" i="67" s="1"/>
  <c r="U211" i="67"/>
  <c r="V211" i="67" s="1"/>
  <c r="W211" i="67" s="1"/>
  <c r="U212" i="67"/>
  <c r="V212" i="67" s="1"/>
  <c r="W212" i="67" s="1"/>
  <c r="U213" i="67"/>
  <c r="V213" i="67" s="1"/>
  <c r="W213" i="67" s="1"/>
  <c r="U214" i="67"/>
  <c r="V214" i="67" s="1"/>
  <c r="W214" i="67" s="1"/>
  <c r="U215" i="67"/>
  <c r="V215" i="67" s="1"/>
  <c r="W215" i="67" s="1"/>
  <c r="U216" i="67"/>
  <c r="V216" i="67" s="1"/>
  <c r="W216" i="67" s="1"/>
  <c r="U217" i="67"/>
  <c r="V217" i="67" s="1"/>
  <c r="W217" i="67" s="1"/>
  <c r="U218" i="67"/>
  <c r="V218" i="67" s="1"/>
  <c r="W218" i="67" s="1"/>
  <c r="U219" i="67"/>
  <c r="V219" i="67" s="1"/>
  <c r="W219" i="67" s="1"/>
  <c r="V220" i="67"/>
  <c r="W220" i="67" s="1"/>
  <c r="V221" i="67"/>
  <c r="W221" i="67" s="1"/>
  <c r="V222" i="67"/>
  <c r="W222" i="67" s="1"/>
  <c r="V223" i="67"/>
  <c r="W223" i="67" s="1"/>
  <c r="U224" i="67"/>
  <c r="V224" i="67" s="1"/>
  <c r="W224" i="67" s="1"/>
  <c r="U225" i="67"/>
  <c r="V225" i="67" s="1"/>
  <c r="W225" i="67" s="1"/>
  <c r="U226" i="67"/>
  <c r="V226" i="67" s="1"/>
  <c r="W226" i="67" s="1"/>
  <c r="U227" i="67"/>
  <c r="V227" i="67" s="1"/>
  <c r="W227" i="67" s="1"/>
  <c r="U228" i="67"/>
  <c r="V228" i="67" s="1"/>
  <c r="W228" i="67" s="1"/>
  <c r="U229" i="67"/>
  <c r="V229" i="67" s="1"/>
  <c r="W229" i="67" s="1"/>
  <c r="U230" i="67"/>
  <c r="V230" i="67" s="1"/>
  <c r="W230" i="67" s="1"/>
  <c r="U231" i="67"/>
  <c r="V231" i="67" s="1"/>
  <c r="W231" i="67" s="1"/>
  <c r="U232" i="67"/>
  <c r="V232" i="67" s="1"/>
  <c r="W232" i="67" s="1"/>
  <c r="U233" i="67"/>
  <c r="V233" i="67" s="1"/>
  <c r="W233" i="67" s="1"/>
  <c r="U234" i="67"/>
  <c r="V234" i="67" s="1"/>
  <c r="W234" i="67" s="1"/>
  <c r="S217" i="67" l="1"/>
  <c r="S233" i="67"/>
  <c r="S225" i="67"/>
  <c r="S221" i="67"/>
  <c r="S207" i="67"/>
  <c r="S203" i="67"/>
  <c r="S200" i="67"/>
  <c r="S198" i="67"/>
  <c r="M196" i="67"/>
  <c r="N196" i="67"/>
  <c r="M197" i="67"/>
  <c r="N197" i="67"/>
  <c r="M198" i="67"/>
  <c r="N198" i="67"/>
  <c r="M199" i="67"/>
  <c r="N199" i="67"/>
  <c r="M200" i="67"/>
  <c r="N200" i="67"/>
  <c r="M201" i="67"/>
  <c r="N201" i="67"/>
  <c r="M202" i="67"/>
  <c r="N202" i="67"/>
  <c r="M203" i="67"/>
  <c r="N203" i="67"/>
  <c r="M204" i="67"/>
  <c r="N204" i="67"/>
  <c r="M205" i="67"/>
  <c r="N205" i="67"/>
  <c r="M206" i="67"/>
  <c r="N206" i="67"/>
  <c r="M207" i="67"/>
  <c r="N207" i="67"/>
  <c r="M208" i="67"/>
  <c r="N208" i="67"/>
  <c r="M209" i="67"/>
  <c r="N209" i="67"/>
  <c r="M210" i="67"/>
  <c r="N210" i="67"/>
  <c r="M211" i="67"/>
  <c r="N211" i="67"/>
  <c r="M212" i="67"/>
  <c r="N212" i="67"/>
  <c r="M213" i="67"/>
  <c r="N213" i="67"/>
  <c r="M214" i="67"/>
  <c r="N214" i="67"/>
  <c r="M215" i="67"/>
  <c r="N215" i="67"/>
  <c r="M216" i="67"/>
  <c r="N216" i="67"/>
  <c r="M217" i="67"/>
  <c r="N217" i="67"/>
  <c r="M218" i="67"/>
  <c r="N218" i="67"/>
  <c r="M219" i="67"/>
  <c r="N219" i="67"/>
  <c r="M220" i="67"/>
  <c r="N220" i="67"/>
  <c r="M221" i="67"/>
  <c r="N221" i="67"/>
  <c r="M222" i="67"/>
  <c r="N222" i="67"/>
  <c r="M223" i="67"/>
  <c r="N223" i="67"/>
  <c r="M224" i="67"/>
  <c r="N224" i="67"/>
  <c r="M225" i="67"/>
  <c r="N225" i="67"/>
  <c r="M226" i="67"/>
  <c r="N226" i="67"/>
  <c r="M227" i="67"/>
  <c r="N227" i="67"/>
  <c r="M228" i="67"/>
  <c r="N228" i="67"/>
  <c r="M229" i="67"/>
  <c r="N229" i="67"/>
  <c r="M230" i="67"/>
  <c r="N230" i="67"/>
  <c r="M231" i="67"/>
  <c r="N231" i="67"/>
  <c r="M232" i="67"/>
  <c r="N232" i="67"/>
  <c r="M233" i="67"/>
  <c r="N233" i="67"/>
  <c r="M234" i="67"/>
  <c r="N234" i="67"/>
  <c r="L196" i="67"/>
  <c r="L197" i="67"/>
  <c r="L198" i="67"/>
  <c r="L199" i="67"/>
  <c r="L200" i="67"/>
  <c r="L201" i="67"/>
  <c r="L202" i="67"/>
  <c r="L203" i="67"/>
  <c r="L204" i="67"/>
  <c r="L205" i="67"/>
  <c r="L206" i="67"/>
  <c r="L207" i="67"/>
  <c r="L208" i="67"/>
  <c r="L209" i="67"/>
  <c r="L210" i="67"/>
  <c r="L211" i="67"/>
  <c r="L212" i="67"/>
  <c r="L213" i="67"/>
  <c r="L214" i="67"/>
  <c r="L215" i="67"/>
  <c r="L216" i="67"/>
  <c r="L217" i="67"/>
  <c r="L218" i="67"/>
  <c r="L219" i="67"/>
  <c r="L220" i="67"/>
  <c r="L221" i="67"/>
  <c r="L222" i="67"/>
  <c r="L223" i="67"/>
  <c r="L224" i="67"/>
  <c r="L225" i="67"/>
  <c r="L226" i="67"/>
  <c r="L227" i="67"/>
  <c r="L228" i="67"/>
  <c r="L229" i="67"/>
  <c r="L230" i="67"/>
  <c r="L231" i="67"/>
  <c r="L232" i="67"/>
  <c r="L233" i="67"/>
  <c r="L234" i="67"/>
  <c r="N187" i="67"/>
  <c r="N186" i="67"/>
  <c r="N183" i="67"/>
  <c r="N180" i="67"/>
  <c r="U180" i="67"/>
  <c r="V180" i="67" s="1"/>
  <c r="W180" i="67" s="1"/>
  <c r="U181" i="67"/>
  <c r="V181" i="67" s="1"/>
  <c r="W181" i="67" s="1"/>
  <c r="U182" i="67"/>
  <c r="V182" i="67" s="1"/>
  <c r="W182" i="67" s="1"/>
  <c r="U183" i="67"/>
  <c r="V183" i="67" s="1"/>
  <c r="W183" i="67" s="1"/>
  <c r="U184" i="67"/>
  <c r="V184" i="67" s="1"/>
  <c r="W184" i="67" s="1"/>
  <c r="U185" i="67"/>
  <c r="V185" i="67" s="1"/>
  <c r="W185" i="67" s="1"/>
  <c r="U186" i="67"/>
  <c r="V186" i="67" s="1"/>
  <c r="W186" i="67" s="1"/>
  <c r="U187" i="67"/>
  <c r="V187" i="67" s="1"/>
  <c r="W187" i="67" s="1"/>
  <c r="U188" i="67"/>
  <c r="V188" i="67" s="1"/>
  <c r="W188" i="67" s="1"/>
  <c r="U189" i="67"/>
  <c r="V189" i="67" s="1"/>
  <c r="W189" i="67" s="1"/>
  <c r="U190" i="67"/>
  <c r="V190" i="67" s="1"/>
  <c r="W190" i="67" s="1"/>
  <c r="U191" i="67"/>
  <c r="V191" i="67" s="1"/>
  <c r="W191" i="67" s="1"/>
  <c r="U192" i="67"/>
  <c r="V192" i="67" s="1"/>
  <c r="W192" i="67" s="1"/>
  <c r="U193" i="67"/>
  <c r="V193" i="67" s="1"/>
  <c r="W193" i="67" s="1"/>
  <c r="U194" i="67"/>
  <c r="V194" i="67" s="1"/>
  <c r="W194" i="67" s="1"/>
  <c r="U195" i="67"/>
  <c r="V195" i="67" s="1"/>
  <c r="W195" i="67" s="1"/>
  <c r="S181" i="67"/>
  <c r="S191" i="67"/>
  <c r="L180" i="67"/>
  <c r="M180" i="67"/>
  <c r="L181" i="67"/>
  <c r="M181" i="67"/>
  <c r="L182" i="67"/>
  <c r="M182" i="67"/>
  <c r="N182" i="67"/>
  <c r="L183" i="67"/>
  <c r="M183" i="67"/>
  <c r="L184" i="67"/>
  <c r="M184" i="67"/>
  <c r="N184" i="67"/>
  <c r="L185" i="67"/>
  <c r="M185" i="67"/>
  <c r="N185" i="67"/>
  <c r="L186" i="67"/>
  <c r="M186" i="67"/>
  <c r="L187" i="67"/>
  <c r="M187" i="67"/>
  <c r="L188" i="67"/>
  <c r="M188" i="67"/>
  <c r="N188" i="67"/>
  <c r="L189" i="67"/>
  <c r="M189" i="67"/>
  <c r="N189" i="67"/>
  <c r="L190" i="67"/>
  <c r="M190" i="67"/>
  <c r="N190" i="67"/>
  <c r="L191" i="67"/>
  <c r="M191" i="67"/>
  <c r="L192" i="67"/>
  <c r="M192" i="67"/>
  <c r="N192" i="67"/>
  <c r="L193" i="67"/>
  <c r="M193" i="67"/>
  <c r="N193" i="67"/>
  <c r="L194" i="67"/>
  <c r="M194" i="67"/>
  <c r="N194" i="67"/>
  <c r="L195" i="67"/>
  <c r="M195" i="67"/>
  <c r="N195" i="67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N191" i="67" l="1"/>
  <c r="N181" i="67"/>
  <c r="U115" i="67"/>
  <c r="S65" i="67" l="1"/>
  <c r="S31" i="67"/>
  <c r="S27" i="67"/>
  <c r="S29" i="67"/>
  <c r="U55" i="67"/>
  <c r="U54" i="67"/>
  <c r="S134" i="67" l="1"/>
  <c r="S78" i="67"/>
  <c r="U135" i="67"/>
  <c r="V135" i="67" s="1"/>
  <c r="W135" i="67" s="1"/>
  <c r="U134" i="67"/>
  <c r="V134" i="67" s="1"/>
  <c r="W134" i="67" s="1"/>
  <c r="U137" i="67"/>
  <c r="V137" i="67" s="1"/>
  <c r="W137" i="67" s="1"/>
  <c r="U138" i="67"/>
  <c r="V138" i="67" s="1"/>
  <c r="W138" i="67" s="1"/>
  <c r="U136" i="67"/>
  <c r="V136" i="67" s="1"/>
  <c r="W136" i="67" s="1"/>
  <c r="U158" i="67"/>
  <c r="V158" i="67" s="1"/>
  <c r="W158" i="67" s="1"/>
  <c r="U159" i="67"/>
  <c r="V159" i="67" s="1"/>
  <c r="W159" i="67" s="1"/>
  <c r="U160" i="67"/>
  <c r="V160" i="67" s="1"/>
  <c r="W160" i="67" s="1"/>
  <c r="U91" i="67"/>
  <c r="V91" i="67" s="1"/>
  <c r="W91" i="67" s="1"/>
  <c r="U92" i="67"/>
  <c r="V92" i="67" s="1"/>
  <c r="W92" i="67" s="1"/>
  <c r="U93" i="67"/>
  <c r="V93" i="67" s="1"/>
  <c r="W93" i="67" s="1"/>
  <c r="U94" i="67"/>
  <c r="V94" i="67" s="1"/>
  <c r="W94" i="67" s="1"/>
  <c r="U95" i="67"/>
  <c r="V95" i="67" s="1"/>
  <c r="W95" i="67" s="1"/>
  <c r="U96" i="67"/>
  <c r="V96" i="67" s="1"/>
  <c r="W96" i="67" s="1"/>
  <c r="U97" i="67"/>
  <c r="V97" i="67" s="1"/>
  <c r="W97" i="67" s="1"/>
  <c r="U98" i="67"/>
  <c r="V98" i="67" s="1"/>
  <c r="W98" i="67" s="1"/>
  <c r="U99" i="67"/>
  <c r="V99" i="67" s="1"/>
  <c r="W99" i="67" s="1"/>
  <c r="U100" i="67"/>
  <c r="V100" i="67" s="1"/>
  <c r="W100" i="67" s="1"/>
  <c r="U101" i="67"/>
  <c r="V101" i="67" s="1"/>
  <c r="W101" i="67" s="1"/>
  <c r="U102" i="67"/>
  <c r="V102" i="67" s="1"/>
  <c r="W102" i="67" s="1"/>
  <c r="U103" i="67"/>
  <c r="V103" i="67" s="1"/>
  <c r="W103" i="67" s="1"/>
  <c r="U104" i="67"/>
  <c r="V104" i="67" s="1"/>
  <c r="W104" i="67" s="1"/>
  <c r="U105" i="67"/>
  <c r="V105" i="67" s="1"/>
  <c r="W105" i="67" s="1"/>
  <c r="U106" i="67"/>
  <c r="V106" i="67" s="1"/>
  <c r="W106" i="67" s="1"/>
  <c r="U107" i="67"/>
  <c r="V107" i="67" s="1"/>
  <c r="W107" i="67" s="1"/>
  <c r="U108" i="67"/>
  <c r="V108" i="67" s="1"/>
  <c r="W108" i="67" s="1"/>
  <c r="U109" i="67"/>
  <c r="V109" i="67" s="1"/>
  <c r="W109" i="67" s="1"/>
  <c r="U110" i="67"/>
  <c r="V110" i="67" s="1"/>
  <c r="W110" i="67" s="1"/>
  <c r="U111" i="67"/>
  <c r="V111" i="67" s="1"/>
  <c r="W111" i="67" s="1"/>
  <c r="U112" i="67"/>
  <c r="V112" i="67" s="1"/>
  <c r="W112" i="67" s="1"/>
  <c r="U113" i="67"/>
  <c r="V113" i="67" s="1"/>
  <c r="W113" i="67" s="1"/>
  <c r="U114" i="67"/>
  <c r="V114" i="67" s="1"/>
  <c r="W114" i="67" s="1"/>
  <c r="V115" i="67"/>
  <c r="W115" i="67" s="1"/>
  <c r="U116" i="67"/>
  <c r="V116" i="67" s="1"/>
  <c r="W116" i="67" s="1"/>
  <c r="U117" i="67"/>
  <c r="V117" i="67" s="1"/>
  <c r="W117" i="67" s="1"/>
  <c r="U118" i="67"/>
  <c r="V118" i="67" s="1"/>
  <c r="W118" i="67" s="1"/>
  <c r="U119" i="67"/>
  <c r="V119" i="67" s="1"/>
  <c r="W119" i="67" s="1"/>
  <c r="U120" i="67"/>
  <c r="V120" i="67" s="1"/>
  <c r="W120" i="67" s="1"/>
  <c r="U121" i="67"/>
  <c r="V121" i="67" s="1"/>
  <c r="W121" i="67" s="1"/>
  <c r="U122" i="67"/>
  <c r="V122" i="67" s="1"/>
  <c r="W122" i="67" s="1"/>
  <c r="U123" i="67"/>
  <c r="V123" i="67" s="1"/>
  <c r="W123" i="67" s="1"/>
  <c r="U124" i="67"/>
  <c r="V124" i="67" s="1"/>
  <c r="W124" i="67" s="1"/>
  <c r="U125" i="67"/>
  <c r="V125" i="67" s="1"/>
  <c r="W125" i="67" s="1"/>
  <c r="U126" i="67"/>
  <c r="V126" i="67" s="1"/>
  <c r="W126" i="67" s="1"/>
  <c r="U127" i="67"/>
  <c r="V127" i="67" s="1"/>
  <c r="W127" i="67" s="1"/>
  <c r="U128" i="67"/>
  <c r="V128" i="67" s="1"/>
  <c r="W128" i="67" s="1"/>
  <c r="U129" i="67"/>
  <c r="V129" i="67" s="1"/>
  <c r="W129" i="67" s="1"/>
  <c r="U130" i="67"/>
  <c r="V130" i="67" s="1"/>
  <c r="W130" i="67" s="1"/>
  <c r="U131" i="67"/>
  <c r="V131" i="67" s="1"/>
  <c r="W131" i="67" s="1"/>
  <c r="U132" i="67"/>
  <c r="V132" i="67" s="1"/>
  <c r="W132" i="67" s="1"/>
  <c r="U133" i="67"/>
  <c r="V133" i="67" s="1"/>
  <c r="W133" i="67" s="1"/>
  <c r="U139" i="67"/>
  <c r="V139" i="67" s="1"/>
  <c r="W139" i="67" s="1"/>
  <c r="U140" i="67"/>
  <c r="V140" i="67" s="1"/>
  <c r="W140" i="67" s="1"/>
  <c r="U141" i="67"/>
  <c r="V141" i="67" s="1"/>
  <c r="W141" i="67" s="1"/>
  <c r="U142" i="67"/>
  <c r="V142" i="67" s="1"/>
  <c r="W142" i="67" s="1"/>
  <c r="U143" i="67"/>
  <c r="V143" i="67" s="1"/>
  <c r="W143" i="67" s="1"/>
  <c r="U144" i="67"/>
  <c r="V144" i="67" s="1"/>
  <c r="W144" i="67" s="1"/>
  <c r="U145" i="67"/>
  <c r="V145" i="67" s="1"/>
  <c r="W145" i="67" s="1"/>
  <c r="U146" i="67"/>
  <c r="V146" i="67" s="1"/>
  <c r="W146" i="67" s="1"/>
  <c r="U147" i="67"/>
  <c r="V147" i="67" s="1"/>
  <c r="W147" i="67" s="1"/>
  <c r="U148" i="67"/>
  <c r="V148" i="67" s="1"/>
  <c r="W148" i="67" s="1"/>
  <c r="U149" i="67"/>
  <c r="V149" i="67" s="1"/>
  <c r="W149" i="67" s="1"/>
  <c r="U150" i="67"/>
  <c r="V150" i="67" s="1"/>
  <c r="W150" i="67" s="1"/>
  <c r="U151" i="67"/>
  <c r="V151" i="67" s="1"/>
  <c r="W151" i="67" s="1"/>
  <c r="U152" i="67"/>
  <c r="V152" i="67" s="1"/>
  <c r="W152" i="67" s="1"/>
  <c r="U153" i="67"/>
  <c r="V153" i="67" s="1"/>
  <c r="W153" i="67" s="1"/>
  <c r="U154" i="67"/>
  <c r="V154" i="67" s="1"/>
  <c r="W154" i="67" s="1"/>
  <c r="U155" i="67"/>
  <c r="V155" i="67" s="1"/>
  <c r="W155" i="67" s="1"/>
  <c r="U156" i="67"/>
  <c r="V156" i="67" s="1"/>
  <c r="W156" i="67" s="1"/>
  <c r="U157" i="67"/>
  <c r="V157" i="67" s="1"/>
  <c r="W157" i="67" s="1"/>
  <c r="U161" i="67"/>
  <c r="V161" i="67" s="1"/>
  <c r="W161" i="67" s="1"/>
  <c r="U162" i="67"/>
  <c r="V162" i="67" s="1"/>
  <c r="W162" i="67" s="1"/>
  <c r="U163" i="67"/>
  <c r="V163" i="67" s="1"/>
  <c r="W163" i="67" s="1"/>
  <c r="U164" i="67"/>
  <c r="V164" i="67" s="1"/>
  <c r="W164" i="67" s="1"/>
  <c r="U165" i="67"/>
  <c r="V165" i="67" s="1"/>
  <c r="W165" i="67" s="1"/>
  <c r="U166" i="67"/>
  <c r="V166" i="67" s="1"/>
  <c r="W166" i="67" s="1"/>
  <c r="U167" i="67"/>
  <c r="V167" i="67" s="1"/>
  <c r="W167" i="67" s="1"/>
  <c r="U168" i="67"/>
  <c r="V168" i="67" s="1"/>
  <c r="W168" i="67" s="1"/>
  <c r="U169" i="67"/>
  <c r="V169" i="67" s="1"/>
  <c r="W169" i="67" s="1"/>
  <c r="U170" i="67"/>
  <c r="V170" i="67" s="1"/>
  <c r="W170" i="67" s="1"/>
  <c r="U171" i="67"/>
  <c r="V171" i="67" s="1"/>
  <c r="W171" i="67" s="1"/>
  <c r="U172" i="67"/>
  <c r="V172" i="67" s="1"/>
  <c r="W172" i="67" s="1"/>
  <c r="U173" i="67"/>
  <c r="V173" i="67" s="1"/>
  <c r="W173" i="67" s="1"/>
  <c r="U174" i="67"/>
  <c r="V174" i="67" s="1"/>
  <c r="W174" i="67" s="1"/>
  <c r="U175" i="67"/>
  <c r="V175" i="67" s="1"/>
  <c r="W175" i="67" s="1"/>
  <c r="U176" i="67"/>
  <c r="V176" i="67" s="1"/>
  <c r="W176" i="67" s="1"/>
  <c r="U177" i="67"/>
  <c r="V177" i="67" s="1"/>
  <c r="W177" i="67" s="1"/>
  <c r="U178" i="67"/>
  <c r="V178" i="67" s="1"/>
  <c r="W178" i="67" s="1"/>
  <c r="U179" i="67"/>
  <c r="V179" i="67" s="1"/>
  <c r="W179" i="67" s="1"/>
  <c r="S173" i="67"/>
  <c r="S166" i="67"/>
  <c r="S159" i="67"/>
  <c r="S156" i="67"/>
  <c r="S149" i="67"/>
  <c r="L148" i="67"/>
  <c r="M148" i="67"/>
  <c r="N148" i="67"/>
  <c r="L149" i="67"/>
  <c r="M149" i="67"/>
  <c r="N149" i="67"/>
  <c r="L150" i="67"/>
  <c r="M150" i="67"/>
  <c r="N150" i="67"/>
  <c r="L151" i="67"/>
  <c r="M151" i="67"/>
  <c r="N151" i="67"/>
  <c r="L152" i="67"/>
  <c r="M152" i="67"/>
  <c r="N152" i="67"/>
  <c r="L153" i="67"/>
  <c r="M153" i="67"/>
  <c r="N153" i="67"/>
  <c r="L154" i="67"/>
  <c r="M154" i="67"/>
  <c r="N154" i="67"/>
  <c r="L155" i="67"/>
  <c r="M155" i="67"/>
  <c r="N155" i="67"/>
  <c r="L156" i="67"/>
  <c r="M156" i="67"/>
  <c r="N156" i="67"/>
  <c r="L157" i="67"/>
  <c r="M157" i="67"/>
  <c r="N157" i="67"/>
  <c r="L158" i="67"/>
  <c r="M158" i="67"/>
  <c r="N158" i="67"/>
  <c r="L159" i="67"/>
  <c r="M159" i="67"/>
  <c r="N159" i="67"/>
  <c r="L160" i="67"/>
  <c r="M160" i="67"/>
  <c r="N160" i="67"/>
  <c r="L161" i="67"/>
  <c r="M161" i="67"/>
  <c r="N161" i="67"/>
  <c r="L162" i="67"/>
  <c r="M162" i="67"/>
  <c r="N162" i="67"/>
  <c r="L163" i="67"/>
  <c r="M163" i="67"/>
  <c r="N163" i="67"/>
  <c r="L164" i="67"/>
  <c r="M164" i="67"/>
  <c r="N164" i="67"/>
  <c r="L165" i="67"/>
  <c r="M165" i="67"/>
  <c r="N165" i="67"/>
  <c r="L166" i="67"/>
  <c r="M166" i="67"/>
  <c r="N166" i="67"/>
  <c r="L167" i="67"/>
  <c r="M167" i="67"/>
  <c r="N167" i="67"/>
  <c r="L168" i="67"/>
  <c r="M168" i="67"/>
  <c r="N168" i="67"/>
  <c r="L169" i="67"/>
  <c r="M169" i="67"/>
  <c r="N169" i="67"/>
  <c r="L170" i="67"/>
  <c r="M170" i="67"/>
  <c r="N170" i="67"/>
  <c r="L171" i="67"/>
  <c r="M171" i="67"/>
  <c r="N171" i="67"/>
  <c r="L172" i="67"/>
  <c r="M172" i="67"/>
  <c r="N172" i="67"/>
  <c r="L173" i="67"/>
  <c r="M173" i="67"/>
  <c r="N173" i="67"/>
  <c r="L174" i="67"/>
  <c r="M174" i="67"/>
  <c r="N174" i="67"/>
  <c r="L175" i="67"/>
  <c r="M175" i="67"/>
  <c r="N175" i="67"/>
  <c r="L176" i="67"/>
  <c r="M176" i="67"/>
  <c r="N176" i="67"/>
  <c r="L177" i="67"/>
  <c r="M177" i="67"/>
  <c r="N177" i="67"/>
  <c r="L178" i="67"/>
  <c r="M178" i="67"/>
  <c r="N178" i="67"/>
  <c r="L179" i="67"/>
  <c r="M179" i="67"/>
  <c r="N179" i="67"/>
  <c r="AD147" i="67"/>
  <c r="AE147" i="67" s="1"/>
  <c r="AD146" i="67"/>
  <c r="AE146" i="67" s="1"/>
  <c r="AD145" i="67"/>
  <c r="AE145" i="67" s="1"/>
  <c r="AD144" i="67"/>
  <c r="AE144" i="67" s="1"/>
  <c r="AD143" i="67"/>
  <c r="AE143" i="67" s="1"/>
  <c r="AD142" i="67"/>
  <c r="AE142" i="67" s="1"/>
  <c r="AD141" i="67"/>
  <c r="AE141" i="67" s="1"/>
  <c r="AD140" i="67"/>
  <c r="AE140" i="67" s="1"/>
  <c r="AD139" i="67"/>
  <c r="AE139" i="67" s="1"/>
  <c r="AD138" i="67"/>
  <c r="AE138" i="67" s="1"/>
  <c r="AD137" i="67"/>
  <c r="AE137" i="67" s="1"/>
  <c r="AD136" i="67"/>
  <c r="AE136" i="67" s="1"/>
  <c r="AD135" i="67"/>
  <c r="AE135" i="67" s="1"/>
  <c r="AD134" i="67"/>
  <c r="AE134" i="67" s="1"/>
  <c r="AD133" i="67"/>
  <c r="AE133" i="67" s="1"/>
  <c r="AD132" i="67"/>
  <c r="AE132" i="67" s="1"/>
  <c r="AD131" i="67"/>
  <c r="AE131" i="67" s="1"/>
  <c r="AD130" i="67"/>
  <c r="AE130" i="67" s="1"/>
  <c r="AD129" i="67"/>
  <c r="AE129" i="67" s="1"/>
  <c r="S146" i="67"/>
  <c r="S140" i="67"/>
  <c r="S135" i="67"/>
  <c r="S133" i="67"/>
  <c r="S121" i="67"/>
  <c r="S116" i="67"/>
  <c r="S108" i="67"/>
  <c r="S97" i="67"/>
  <c r="S92" i="67"/>
  <c r="L129" i="67"/>
  <c r="M129" i="67"/>
  <c r="N129" i="67"/>
  <c r="L130" i="67"/>
  <c r="M130" i="67"/>
  <c r="N130" i="67"/>
  <c r="L131" i="67"/>
  <c r="M131" i="67"/>
  <c r="N131" i="67"/>
  <c r="L132" i="67"/>
  <c r="M132" i="67"/>
  <c r="N132" i="67"/>
  <c r="L133" i="67"/>
  <c r="M133" i="67"/>
  <c r="N133" i="67"/>
  <c r="L134" i="67"/>
  <c r="M134" i="67"/>
  <c r="N134" i="67"/>
  <c r="L135" i="67"/>
  <c r="M135" i="67"/>
  <c r="N135" i="67"/>
  <c r="L136" i="67"/>
  <c r="M136" i="67"/>
  <c r="N136" i="67"/>
  <c r="L137" i="67"/>
  <c r="M137" i="67"/>
  <c r="N137" i="67"/>
  <c r="L138" i="67"/>
  <c r="M138" i="67"/>
  <c r="N138" i="67"/>
  <c r="L139" i="67"/>
  <c r="M139" i="67"/>
  <c r="N139" i="67"/>
  <c r="L140" i="67"/>
  <c r="M140" i="67"/>
  <c r="N140" i="67"/>
  <c r="L141" i="67"/>
  <c r="M141" i="67"/>
  <c r="N141" i="67"/>
  <c r="L142" i="67"/>
  <c r="M142" i="67"/>
  <c r="N142" i="67"/>
  <c r="L143" i="67"/>
  <c r="M143" i="67"/>
  <c r="N143" i="67"/>
  <c r="L144" i="67"/>
  <c r="M144" i="67"/>
  <c r="N144" i="67"/>
  <c r="L145" i="67"/>
  <c r="M145" i="67"/>
  <c r="N145" i="67"/>
  <c r="L146" i="67"/>
  <c r="M146" i="67"/>
  <c r="N146" i="67"/>
  <c r="L147" i="67"/>
  <c r="M147" i="67"/>
  <c r="N147" i="67"/>
  <c r="AD3" i="67"/>
  <c r="AE3" i="67" s="1"/>
  <c r="AD4" i="67"/>
  <c r="AE4" i="67" s="1"/>
  <c r="AD5" i="67"/>
  <c r="AE5" i="67" s="1"/>
  <c r="AD6" i="67"/>
  <c r="AE6" i="67" s="1"/>
  <c r="AD7" i="67"/>
  <c r="AE7" i="67" s="1"/>
  <c r="AD8" i="67"/>
  <c r="AE8" i="67" s="1"/>
  <c r="AD9" i="67"/>
  <c r="AE9" i="67" s="1"/>
  <c r="AD10" i="67"/>
  <c r="AE10" i="67" s="1"/>
  <c r="AD11" i="67"/>
  <c r="AE11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2" i="67"/>
  <c r="AE2" i="67" s="1"/>
  <c r="U77" i="67"/>
  <c r="V77" i="67" s="1"/>
  <c r="W77" i="67" s="1"/>
  <c r="U82" i="67"/>
  <c r="V82" i="67" s="1"/>
  <c r="W82" i="67" s="1"/>
  <c r="U79" i="67"/>
  <c r="V79" i="67" s="1"/>
  <c r="W79" i="67" s="1"/>
  <c r="U80" i="67"/>
  <c r="V80" i="67" s="1"/>
  <c r="W80" i="67" s="1"/>
  <c r="U81" i="67"/>
  <c r="V81" i="67" s="1"/>
  <c r="W81" i="67" s="1"/>
  <c r="U78" i="67"/>
  <c r="V78" i="67" s="1"/>
  <c r="W78" i="67" s="1"/>
  <c r="U84" i="67"/>
  <c r="V84" i="67" s="1"/>
  <c r="W84" i="67" s="1"/>
  <c r="U85" i="67"/>
  <c r="V85" i="67" s="1"/>
  <c r="W85" i="67" s="1"/>
  <c r="U83" i="67"/>
  <c r="V83" i="67" s="1"/>
  <c r="W83" i="67" s="1"/>
  <c r="U90" i="67"/>
  <c r="V90" i="67" s="1"/>
  <c r="W90" i="67" s="1"/>
  <c r="U89" i="67"/>
  <c r="V89" i="67" s="1"/>
  <c r="W89" i="67" s="1"/>
  <c r="U87" i="67"/>
  <c r="V87" i="67" s="1"/>
  <c r="W87" i="67" s="1"/>
  <c r="U88" i="67"/>
  <c r="V88" i="67" s="1"/>
  <c r="W88" i="67" s="1"/>
  <c r="U86" i="67"/>
  <c r="V86" i="67" s="1"/>
  <c r="W86" i="67" s="1"/>
  <c r="U76" i="67"/>
  <c r="V76" i="67" s="1"/>
  <c r="W76" i="67" s="1"/>
  <c r="U62" i="67"/>
  <c r="V62" i="67" s="1"/>
  <c r="W62" i="67" s="1"/>
  <c r="U63" i="67"/>
  <c r="V63" i="67" s="1"/>
  <c r="W63" i="67" s="1"/>
  <c r="U64" i="67"/>
  <c r="V64" i="67" s="1"/>
  <c r="W64" i="67" s="1"/>
  <c r="U61" i="67"/>
  <c r="V61" i="67" s="1"/>
  <c r="W61" i="67" s="1"/>
  <c r="U66" i="67"/>
  <c r="V66" i="67" s="1"/>
  <c r="W66" i="67" s="1"/>
  <c r="U67" i="67"/>
  <c r="V67" i="67" s="1"/>
  <c r="W67" i="67" s="1"/>
  <c r="U68" i="67"/>
  <c r="V68" i="67" s="1"/>
  <c r="W68" i="67" s="1"/>
  <c r="U69" i="67"/>
  <c r="V69" i="67" s="1"/>
  <c r="W69" i="67" s="1"/>
  <c r="U70" i="67"/>
  <c r="V70" i="67" s="1"/>
  <c r="W70" i="67" s="1"/>
  <c r="U71" i="67"/>
  <c r="V71" i="67" s="1"/>
  <c r="W71" i="67" s="1"/>
  <c r="U72" i="67"/>
  <c r="V72" i="67" s="1"/>
  <c r="W72" i="67" s="1"/>
  <c r="U73" i="67"/>
  <c r="V73" i="67" s="1"/>
  <c r="W73" i="67" s="1"/>
  <c r="U74" i="67"/>
  <c r="V74" i="67" s="1"/>
  <c r="W74" i="67" s="1"/>
  <c r="U65" i="67"/>
  <c r="V65" i="67" s="1"/>
  <c r="W65" i="67" s="1"/>
  <c r="S84" i="67"/>
  <c r="S79" i="67"/>
  <c r="S66" i="67"/>
  <c r="S62" i="67"/>
  <c r="L61" i="67"/>
  <c r="M61" i="67"/>
  <c r="N61" i="67"/>
  <c r="L62" i="67"/>
  <c r="M62" i="67"/>
  <c r="N62" i="67"/>
  <c r="L63" i="67"/>
  <c r="M63" i="67"/>
  <c r="N63" i="67"/>
  <c r="L64" i="67"/>
  <c r="M64" i="67"/>
  <c r="N64" i="67"/>
  <c r="L65" i="67"/>
  <c r="M65" i="67"/>
  <c r="N65" i="67"/>
  <c r="L66" i="67"/>
  <c r="M66" i="67"/>
  <c r="N66" i="67"/>
  <c r="L67" i="67"/>
  <c r="M67" i="67"/>
  <c r="N67" i="67"/>
  <c r="L68" i="67"/>
  <c r="M68" i="67"/>
  <c r="N68" i="67"/>
  <c r="L69" i="67"/>
  <c r="M69" i="67"/>
  <c r="N69" i="67"/>
  <c r="L70" i="67"/>
  <c r="M70" i="67"/>
  <c r="N70" i="67"/>
  <c r="L71" i="67"/>
  <c r="M71" i="67"/>
  <c r="N71" i="67"/>
  <c r="L72" i="67"/>
  <c r="M72" i="67"/>
  <c r="N72" i="67"/>
  <c r="L73" i="67"/>
  <c r="M73" i="67"/>
  <c r="N73" i="67"/>
  <c r="L74" i="67"/>
  <c r="M74" i="67"/>
  <c r="N74" i="67"/>
  <c r="L75" i="67"/>
  <c r="M75" i="67"/>
  <c r="N75" i="67"/>
  <c r="L76" i="67"/>
  <c r="M76" i="67"/>
  <c r="N76" i="67"/>
  <c r="L77" i="67"/>
  <c r="M77" i="67"/>
  <c r="N77" i="67"/>
  <c r="L78" i="67"/>
  <c r="M78" i="67"/>
  <c r="N78" i="67"/>
  <c r="L79" i="67"/>
  <c r="M79" i="67"/>
  <c r="N79" i="67"/>
  <c r="L80" i="67"/>
  <c r="M80" i="67"/>
  <c r="N80" i="67"/>
  <c r="L81" i="67"/>
  <c r="M81" i="67"/>
  <c r="N81" i="67"/>
  <c r="L82" i="67"/>
  <c r="M82" i="67"/>
  <c r="N82" i="67"/>
  <c r="L83" i="67"/>
  <c r="M83" i="67"/>
  <c r="N83" i="67"/>
  <c r="L84" i="67"/>
  <c r="M84" i="67"/>
  <c r="N84" i="67"/>
  <c r="L85" i="67"/>
  <c r="M85" i="67"/>
  <c r="N85" i="67"/>
  <c r="L86" i="67"/>
  <c r="M86" i="67"/>
  <c r="N86" i="67"/>
  <c r="L87" i="67"/>
  <c r="M87" i="67"/>
  <c r="N87" i="67"/>
  <c r="L88" i="67"/>
  <c r="M88" i="67"/>
  <c r="N88" i="67"/>
  <c r="L89" i="67"/>
  <c r="M89" i="67"/>
  <c r="N89" i="67"/>
  <c r="L90" i="67"/>
  <c r="M90" i="67"/>
  <c r="N90" i="67"/>
  <c r="L91" i="67"/>
  <c r="M91" i="67"/>
  <c r="N91" i="67"/>
  <c r="L92" i="67"/>
  <c r="M92" i="67"/>
  <c r="N92" i="67"/>
  <c r="L93" i="67"/>
  <c r="M93" i="67"/>
  <c r="N93" i="67"/>
  <c r="L94" i="67"/>
  <c r="M94" i="67"/>
  <c r="N94" i="67"/>
  <c r="L95" i="67"/>
  <c r="M95" i="67"/>
  <c r="N95" i="67"/>
  <c r="L96" i="67"/>
  <c r="M96" i="67"/>
  <c r="N96" i="67"/>
  <c r="L97" i="67"/>
  <c r="M97" i="67"/>
  <c r="N97" i="67"/>
  <c r="L98" i="67"/>
  <c r="M98" i="67"/>
  <c r="N98" i="67"/>
  <c r="L99" i="67"/>
  <c r="M99" i="67"/>
  <c r="N99" i="67"/>
  <c r="L100" i="67"/>
  <c r="M100" i="67"/>
  <c r="N100" i="67"/>
  <c r="L101" i="67"/>
  <c r="M101" i="67"/>
  <c r="N101" i="67"/>
  <c r="L102" i="67"/>
  <c r="M102" i="67"/>
  <c r="N102" i="67"/>
  <c r="L103" i="67"/>
  <c r="M103" i="67"/>
  <c r="N103" i="67"/>
  <c r="L104" i="67"/>
  <c r="M104" i="67"/>
  <c r="N104" i="67"/>
  <c r="L105" i="67"/>
  <c r="M105" i="67"/>
  <c r="N105" i="67"/>
  <c r="L106" i="67"/>
  <c r="M106" i="67"/>
  <c r="N106" i="67"/>
  <c r="L107" i="67"/>
  <c r="M107" i="67"/>
  <c r="N107" i="67"/>
  <c r="L108" i="67"/>
  <c r="M108" i="67"/>
  <c r="N108" i="67"/>
  <c r="L109" i="67"/>
  <c r="M109" i="67"/>
  <c r="N109" i="67"/>
  <c r="L110" i="67"/>
  <c r="M110" i="67"/>
  <c r="N110" i="67"/>
  <c r="L111" i="67"/>
  <c r="M111" i="67"/>
  <c r="N111" i="67"/>
  <c r="L112" i="67"/>
  <c r="M112" i="67"/>
  <c r="N112" i="67"/>
  <c r="L113" i="67"/>
  <c r="M113" i="67"/>
  <c r="N113" i="67"/>
  <c r="L114" i="67"/>
  <c r="M114" i="67"/>
  <c r="N114" i="67"/>
  <c r="L115" i="67"/>
  <c r="M115" i="67"/>
  <c r="N115" i="67"/>
  <c r="L116" i="67"/>
  <c r="M116" i="67"/>
  <c r="N116" i="67"/>
  <c r="L117" i="67"/>
  <c r="M117" i="67"/>
  <c r="N117" i="67"/>
  <c r="L118" i="67"/>
  <c r="M118" i="67"/>
  <c r="N118" i="67"/>
  <c r="L119" i="67"/>
  <c r="M119" i="67"/>
  <c r="N119" i="67"/>
  <c r="L120" i="67"/>
  <c r="M120" i="67"/>
  <c r="N120" i="67"/>
  <c r="L121" i="67"/>
  <c r="M121" i="67"/>
  <c r="N121" i="67"/>
  <c r="L122" i="67"/>
  <c r="M122" i="67"/>
  <c r="N122" i="67"/>
  <c r="L123" i="67"/>
  <c r="M123" i="67"/>
  <c r="N123" i="67"/>
  <c r="L124" i="67"/>
  <c r="M124" i="67"/>
  <c r="N124" i="67"/>
  <c r="L125" i="67"/>
  <c r="M125" i="67"/>
  <c r="N125" i="67"/>
  <c r="L126" i="67"/>
  <c r="M126" i="67"/>
  <c r="N126" i="67"/>
  <c r="L127" i="67"/>
  <c r="M127" i="67"/>
  <c r="N127" i="67"/>
  <c r="L128" i="67"/>
  <c r="M128" i="67"/>
  <c r="N128" i="67"/>
  <c r="U31" i="67"/>
  <c r="V31" i="67" s="1"/>
  <c r="W31" i="67" s="1"/>
  <c r="U32" i="67"/>
  <c r="V32" i="67" s="1"/>
  <c r="W32" i="67" s="1"/>
  <c r="U33" i="67"/>
  <c r="V33" i="67" s="1"/>
  <c r="W33" i="67" s="1"/>
  <c r="U34" i="67"/>
  <c r="V34" i="67" s="1"/>
  <c r="W34" i="67" s="1"/>
  <c r="U35" i="67"/>
  <c r="V35" i="67" s="1"/>
  <c r="W35" i="67" s="1"/>
  <c r="U36" i="67"/>
  <c r="V36" i="67" s="1"/>
  <c r="W36" i="67" s="1"/>
  <c r="U37" i="67"/>
  <c r="V37" i="67" s="1"/>
  <c r="W37" i="67" s="1"/>
  <c r="U38" i="67"/>
  <c r="V38" i="67" s="1"/>
  <c r="W38" i="67" s="1"/>
  <c r="U39" i="67"/>
  <c r="V39" i="67" s="1"/>
  <c r="W39" i="67" s="1"/>
  <c r="U40" i="67"/>
  <c r="V40" i="67" s="1"/>
  <c r="W40" i="67" s="1"/>
  <c r="U41" i="67"/>
  <c r="V41" i="67" s="1"/>
  <c r="W41" i="67" s="1"/>
  <c r="U42" i="67"/>
  <c r="V42" i="67" s="1"/>
  <c r="W42" i="67" s="1"/>
  <c r="U43" i="67"/>
  <c r="V43" i="67" s="1"/>
  <c r="W43" i="67" s="1"/>
  <c r="U44" i="67"/>
  <c r="V44" i="67" s="1"/>
  <c r="W44" i="67" s="1"/>
  <c r="U45" i="67"/>
  <c r="V45" i="67" s="1"/>
  <c r="W45" i="67" s="1"/>
  <c r="U46" i="67"/>
  <c r="V46" i="67" s="1"/>
  <c r="W46" i="67" s="1"/>
  <c r="U47" i="67"/>
  <c r="V47" i="67" s="1"/>
  <c r="W47" i="67" s="1"/>
  <c r="U48" i="67"/>
  <c r="V48" i="67" s="1"/>
  <c r="W48" i="67" s="1"/>
  <c r="U49" i="67"/>
  <c r="V49" i="67" s="1"/>
  <c r="W49" i="67" s="1"/>
  <c r="U50" i="67"/>
  <c r="V50" i="67" s="1"/>
  <c r="W50" i="67" s="1"/>
  <c r="U51" i="67"/>
  <c r="V51" i="67" s="1"/>
  <c r="W51" i="67" s="1"/>
  <c r="U52" i="67"/>
  <c r="V52" i="67" s="1"/>
  <c r="W52" i="67" s="1"/>
  <c r="U53" i="67"/>
  <c r="V53" i="67" s="1"/>
  <c r="W53" i="67" s="1"/>
  <c r="V54" i="67"/>
  <c r="W54" i="67" s="1"/>
  <c r="V55" i="67"/>
  <c r="W55" i="67" s="1"/>
  <c r="U56" i="67"/>
  <c r="V56" i="67" s="1"/>
  <c r="W56" i="67" s="1"/>
  <c r="U57" i="67"/>
  <c r="V57" i="67" s="1"/>
  <c r="W57" i="67" s="1"/>
  <c r="U58" i="67"/>
  <c r="V58" i="67" s="1"/>
  <c r="W58" i="67" s="1"/>
  <c r="U59" i="67"/>
  <c r="V59" i="67" s="1"/>
  <c r="W59" i="67" s="1"/>
  <c r="U60" i="67"/>
  <c r="V60" i="67" s="1"/>
  <c r="W60" i="67" s="1"/>
  <c r="U75" i="67"/>
  <c r="V75" i="67" s="1"/>
  <c r="W75" i="67" s="1"/>
  <c r="S58" i="67"/>
  <c r="S54" i="67"/>
  <c r="S49" i="67"/>
  <c r="S41" i="67"/>
  <c r="S36" i="67"/>
  <c r="S32" i="67"/>
  <c r="L55" i="67"/>
  <c r="M55" i="67"/>
  <c r="N55" i="67"/>
  <c r="L56" i="67"/>
  <c r="M56" i="67"/>
  <c r="N56" i="67"/>
  <c r="L57" i="67"/>
  <c r="M57" i="67"/>
  <c r="N57" i="67"/>
  <c r="L58" i="67"/>
  <c r="M58" i="67"/>
  <c r="N58" i="67"/>
  <c r="L59" i="67"/>
  <c r="M59" i="67"/>
  <c r="N59" i="67"/>
  <c r="L60" i="67"/>
  <c r="M60" i="67"/>
  <c r="N60" i="67"/>
  <c r="L31" i="67"/>
  <c r="M31" i="67"/>
  <c r="N31" i="67"/>
  <c r="L32" i="67"/>
  <c r="M32" i="67"/>
  <c r="N32" i="67"/>
  <c r="L33" i="67"/>
  <c r="M33" i="67"/>
  <c r="N33" i="67"/>
  <c r="L34" i="67"/>
  <c r="M34" i="67"/>
  <c r="N34" i="67"/>
  <c r="L35" i="67"/>
  <c r="M35" i="67"/>
  <c r="N35" i="67"/>
  <c r="L36" i="67"/>
  <c r="M36" i="67"/>
  <c r="N36" i="67"/>
  <c r="L37" i="67"/>
  <c r="M37" i="67"/>
  <c r="N37" i="67"/>
  <c r="L38" i="67"/>
  <c r="M38" i="67"/>
  <c r="N38" i="67"/>
  <c r="L39" i="67"/>
  <c r="M39" i="67"/>
  <c r="N39" i="67"/>
  <c r="L40" i="67"/>
  <c r="M40" i="67"/>
  <c r="N40" i="67"/>
  <c r="L41" i="67"/>
  <c r="M41" i="67"/>
  <c r="N41" i="67"/>
  <c r="L42" i="67"/>
  <c r="M42" i="67"/>
  <c r="N42" i="67"/>
  <c r="L43" i="67"/>
  <c r="M43" i="67"/>
  <c r="N43" i="67"/>
  <c r="L44" i="67"/>
  <c r="M44" i="67"/>
  <c r="N44" i="67"/>
  <c r="L45" i="67"/>
  <c r="M45" i="67"/>
  <c r="N45" i="67"/>
  <c r="L46" i="67"/>
  <c r="M46" i="67"/>
  <c r="N46" i="67"/>
  <c r="L47" i="67"/>
  <c r="M47" i="67"/>
  <c r="N47" i="67"/>
  <c r="L48" i="67"/>
  <c r="M48" i="67"/>
  <c r="N48" i="67"/>
  <c r="L49" i="67"/>
  <c r="M49" i="67"/>
  <c r="N49" i="67"/>
  <c r="L50" i="67"/>
  <c r="M50" i="67"/>
  <c r="N50" i="67"/>
  <c r="L51" i="67"/>
  <c r="M51" i="67"/>
  <c r="N51" i="67"/>
  <c r="L52" i="67"/>
  <c r="M52" i="67"/>
  <c r="N52" i="67"/>
  <c r="L53" i="67"/>
  <c r="M53" i="67"/>
  <c r="N53" i="67"/>
  <c r="L54" i="67"/>
  <c r="M54" i="67"/>
  <c r="N54" i="67"/>
  <c r="U21" i="67"/>
  <c r="V21" i="67" s="1"/>
  <c r="W21" i="67" s="1"/>
  <c r="U30" i="67"/>
  <c r="V30" i="67" s="1"/>
  <c r="W30" i="67" s="1"/>
  <c r="S30" i="67"/>
  <c r="N30" i="67"/>
  <c r="M30" i="67"/>
  <c r="L30" i="67"/>
  <c r="U29" i="67"/>
  <c r="V29" i="67" s="1"/>
  <c r="W29" i="67" s="1"/>
  <c r="N29" i="67"/>
  <c r="M29" i="67"/>
  <c r="L29" i="67"/>
  <c r="U28" i="67"/>
  <c r="V28" i="67" s="1"/>
  <c r="W28" i="67" s="1"/>
  <c r="S28" i="67"/>
  <c r="N28" i="67"/>
  <c r="M28" i="67"/>
  <c r="L28" i="67"/>
  <c r="U27" i="67"/>
  <c r="V27" i="67" s="1"/>
  <c r="W27" i="67" s="1"/>
  <c r="N27" i="67"/>
  <c r="M27" i="67"/>
  <c r="L27" i="67"/>
  <c r="U26" i="67"/>
  <c r="V26" i="67" s="1"/>
  <c r="W26" i="67" s="1"/>
  <c r="S26" i="67"/>
  <c r="N26" i="67"/>
  <c r="M26" i="67"/>
  <c r="L26" i="67"/>
  <c r="U25" i="67"/>
  <c r="V25" i="67" s="1"/>
  <c r="W25" i="67" s="1"/>
  <c r="N25" i="67"/>
  <c r="M25" i="67"/>
  <c r="L25" i="67"/>
  <c r="U24" i="67"/>
  <c r="V24" i="67" s="1"/>
  <c r="W24" i="67" s="1"/>
  <c r="N24" i="67"/>
  <c r="M24" i="67"/>
  <c r="L24" i="67"/>
  <c r="U23" i="67"/>
  <c r="V23" i="67" s="1"/>
  <c r="W23" i="67" s="1"/>
  <c r="N23" i="67"/>
  <c r="M23" i="67"/>
  <c r="L23" i="67"/>
  <c r="U22" i="67"/>
  <c r="V22" i="67" s="1"/>
  <c r="W22" i="67" s="1"/>
  <c r="N22" i="67"/>
  <c r="M22" i="67"/>
  <c r="L22" i="67"/>
  <c r="N21" i="67"/>
  <c r="M21" i="67"/>
  <c r="L21" i="67"/>
  <c r="U20" i="67"/>
  <c r="V20" i="67" s="1"/>
  <c r="W20" i="67" s="1"/>
  <c r="N20" i="67"/>
  <c r="M20" i="67"/>
  <c r="L20" i="67"/>
  <c r="U19" i="67"/>
  <c r="V19" i="67" s="1"/>
  <c r="W19" i="67" s="1"/>
  <c r="N19" i="67"/>
  <c r="M19" i="67"/>
  <c r="L19" i="67"/>
  <c r="U18" i="67"/>
  <c r="V18" i="67" s="1"/>
  <c r="W18" i="67" s="1"/>
  <c r="N18" i="67"/>
  <c r="M18" i="67"/>
  <c r="L18" i="67"/>
  <c r="U17" i="67"/>
  <c r="V17" i="67" s="1"/>
  <c r="W17" i="67" s="1"/>
  <c r="N17" i="67"/>
  <c r="M17" i="67"/>
  <c r="L17" i="67"/>
  <c r="U16" i="67"/>
  <c r="V16" i="67" s="1"/>
  <c r="W16" i="67" s="1"/>
  <c r="N16" i="67"/>
  <c r="M16" i="67"/>
  <c r="L16" i="67"/>
  <c r="U15" i="67"/>
  <c r="V15" i="67" s="1"/>
  <c r="W15" i="67" s="1"/>
  <c r="N15" i="67"/>
  <c r="M15" i="67"/>
  <c r="L15" i="67"/>
  <c r="U14" i="67"/>
  <c r="V14" i="67" s="1"/>
  <c r="W14" i="67" s="1"/>
  <c r="N14" i="67"/>
  <c r="M14" i="67"/>
  <c r="L14" i="67"/>
  <c r="U13" i="67"/>
  <c r="V13" i="67" s="1"/>
  <c r="W13" i="67" s="1"/>
  <c r="N13" i="67"/>
  <c r="M13" i="67"/>
  <c r="L13" i="67"/>
  <c r="U12" i="67"/>
  <c r="V12" i="67" s="1"/>
  <c r="W12" i="67" s="1"/>
  <c r="N12" i="67"/>
  <c r="M12" i="67"/>
  <c r="L12" i="67"/>
  <c r="U11" i="67"/>
  <c r="V11" i="67" s="1"/>
  <c r="W11" i="67" s="1"/>
  <c r="N11" i="67"/>
  <c r="M11" i="67"/>
  <c r="L11" i="67"/>
  <c r="U10" i="67"/>
  <c r="V10" i="67" s="1"/>
  <c r="W10" i="67" s="1"/>
  <c r="N10" i="67"/>
  <c r="M10" i="67"/>
  <c r="L10" i="67"/>
  <c r="U9" i="67"/>
  <c r="V9" i="67" s="1"/>
  <c r="W9" i="67" s="1"/>
  <c r="N9" i="67"/>
  <c r="M9" i="67"/>
  <c r="L9" i="67"/>
  <c r="U8" i="67"/>
  <c r="V8" i="67" s="1"/>
  <c r="W8" i="67" s="1"/>
  <c r="S8" i="67"/>
  <c r="N8" i="67"/>
  <c r="M8" i="67"/>
  <c r="L8" i="67"/>
  <c r="U7" i="67"/>
  <c r="V7" i="67" s="1"/>
  <c r="W7" i="67" s="1"/>
  <c r="N7" i="67"/>
  <c r="M7" i="67"/>
  <c r="L7" i="67"/>
  <c r="U6" i="67"/>
  <c r="V6" i="67" s="1"/>
  <c r="W6" i="67" s="1"/>
  <c r="N6" i="67"/>
  <c r="M6" i="67"/>
  <c r="L6" i="67"/>
  <c r="U5" i="67"/>
  <c r="V5" i="67" s="1"/>
  <c r="W5" i="67" s="1"/>
  <c r="N5" i="67"/>
  <c r="M5" i="67"/>
  <c r="L5" i="67"/>
  <c r="U4" i="67"/>
  <c r="V4" i="67" s="1"/>
  <c r="W4" i="67" s="1"/>
  <c r="N4" i="67"/>
  <c r="M4" i="67"/>
  <c r="L4" i="67"/>
  <c r="U3" i="67"/>
  <c r="V3" i="67" s="1"/>
  <c r="W3" i="67" s="1"/>
  <c r="N3" i="67"/>
  <c r="M3" i="67"/>
  <c r="L3" i="67"/>
  <c r="U2" i="67"/>
  <c r="V2" i="67" s="1"/>
  <c r="W2" i="67" s="1"/>
  <c r="N2" i="67"/>
  <c r="M2" i="67"/>
  <c r="L2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sleek</author>
    <author>002 Sleekpoint</author>
    <author>Amanda Fan</author>
  </authors>
  <commentList>
    <comment ref="J1" authorId="0" shapeId="0" xr:uid="{F4A7022A-B74C-494C-B82B-F83532CBC980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铜虎卡派——盐田海卡
美森——美东卡派
奥克兰专线卡派——盐田海卡
铜虎卡派——盐田海卡
钢牛卡派——盐田海卡
COSCO卡派-南沙——南沙海卡
钻龙——美森
普船是盐田
快船是美森
</t>
        </r>
      </text>
    </comment>
    <comment ref="P1" authorId="1" shapeId="0" xr:uid="{27AF78E1-E280-4DC6-BC03-D3CF8A84BDF3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总收费重/这一票的总箱数*当行箱数</t>
        </r>
      </text>
    </comment>
    <comment ref="R1" authorId="0" shapeId="0" xr:uid="{EBC69E48-F623-403B-8931-5BE24AED1348}">
      <text>
        <r>
          <rPr>
            <b/>
            <sz val="9"/>
            <rFont val="宋体"/>
            <family val="3"/>
            <charset val="134"/>
          </rPr>
          <t>sleek:</t>
        </r>
        <r>
          <rPr>
            <sz val="9"/>
            <rFont val="宋体"/>
            <family val="3"/>
            <charset val="134"/>
          </rPr>
          <t xml:space="preserve">
天盛带精油的产品多收200元附加费，此费用会写入物流单价里</t>
        </r>
      </text>
    </comment>
    <comment ref="U1" authorId="1" shapeId="0" xr:uid="{9FD5A128-03A3-437B-929C-2D684680C2BF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天盛报关费220
其他货代报关费350
精油不报关 没有报关费</t>
        </r>
      </text>
    </comment>
    <comment ref="W1" authorId="2" shapeId="0" xr:uid="{2CEE5658-BB34-4323-BF4F-B5E0D296230D}">
      <text>
        <r>
          <rPr>
            <b/>
            <sz val="9"/>
            <color indexed="81"/>
            <rFont val="宋体"/>
            <family val="3"/>
            <charset val="134"/>
          </rPr>
          <t>Amanda Fan:</t>
        </r>
        <r>
          <rPr>
            <sz val="9"/>
            <color indexed="81"/>
            <rFont val="宋体"/>
            <family val="3"/>
            <charset val="134"/>
          </rPr>
          <t xml:space="preserve">
26年汇率改为6.7</t>
        </r>
      </text>
    </comment>
    <comment ref="Y1" authorId="1" shapeId="0" xr:uid="{949DC53B-4CD4-4AE1-8111-F51C12483471}">
      <text>
        <r>
          <rPr>
            <b/>
            <sz val="9"/>
            <rFont val="宋体"/>
            <family val="3"/>
            <charset val="134"/>
          </rPr>
          <t>002 Sleekpoint:</t>
        </r>
        <r>
          <rPr>
            <sz val="9"/>
            <rFont val="宋体"/>
            <family val="3"/>
            <charset val="134"/>
          </rPr>
          <t xml:space="preserve">
总税金/总箱数（总数量）*当行箱数（数量）</t>
        </r>
      </text>
    </comment>
  </commentList>
</comments>
</file>

<file path=xl/sharedStrings.xml><?xml version="1.0" encoding="utf-8"?>
<sst xmlns="http://schemas.openxmlformats.org/spreadsheetml/2006/main" count="7483" uniqueCount="857">
  <si>
    <r>
      <rPr>
        <sz val="10"/>
        <color theme="1"/>
        <rFont val="微软雅黑"/>
        <family val="2"/>
        <charset val="134"/>
      </rPr>
      <t>美国</t>
    </r>
  </si>
  <si>
    <r>
      <rPr>
        <sz val="10"/>
        <color theme="1"/>
        <rFont val="微软雅黑"/>
        <family val="2"/>
        <charset val="134"/>
      </rPr>
      <t>美国空派</t>
    </r>
  </si>
  <si>
    <r>
      <rPr>
        <sz val="10"/>
        <color theme="1"/>
        <rFont val="微软雅黑"/>
        <family val="2"/>
        <charset val="134"/>
      </rPr>
      <t>美森海卡</t>
    </r>
  </si>
  <si>
    <r>
      <rPr>
        <sz val="10"/>
        <color theme="1"/>
        <rFont val="微软雅黑"/>
        <family val="2"/>
        <charset val="134"/>
      </rPr>
      <t>盐田海卡</t>
    </r>
  </si>
  <si>
    <t>GEU2</t>
  </si>
  <si>
    <t>GEU3</t>
  </si>
  <si>
    <t>GEU5</t>
  </si>
  <si>
    <t>MIT2</t>
  </si>
  <si>
    <t>PSC2</t>
  </si>
  <si>
    <t>TCY2</t>
  </si>
  <si>
    <r>
      <rPr>
        <sz val="10"/>
        <color theme="1"/>
        <rFont val="微软雅黑"/>
        <family val="2"/>
        <charset val="134"/>
      </rPr>
      <t>重量收费</t>
    </r>
  </si>
  <si>
    <t>ABQ2</t>
  </si>
  <si>
    <t>ACY2</t>
  </si>
  <si>
    <t>DEN8</t>
  </si>
  <si>
    <t>FTW5</t>
  </si>
  <si>
    <t>HLI2</t>
  </si>
  <si>
    <t>JVL1</t>
  </si>
  <si>
    <t>POC1</t>
  </si>
  <si>
    <t>POC2</t>
  </si>
  <si>
    <t>POC3</t>
  </si>
  <si>
    <t>QXY8</t>
  </si>
  <si>
    <t>SWF1</t>
  </si>
  <si>
    <t>TCY1</t>
  </si>
  <si>
    <r>
      <rPr>
        <b/>
        <sz val="10"/>
        <color theme="4" tint="-0.249977111117893"/>
        <rFont val="微软雅黑"/>
        <family val="2"/>
        <charset val="134"/>
      </rPr>
      <t>序号</t>
    </r>
  </si>
  <si>
    <r>
      <rPr>
        <b/>
        <sz val="10"/>
        <color theme="4" tint="-0.249977111117893"/>
        <rFont val="微软雅黑"/>
        <family val="2"/>
        <charset val="134"/>
      </rPr>
      <t>备注</t>
    </r>
  </si>
  <si>
    <r>
      <rPr>
        <b/>
        <sz val="10"/>
        <color theme="4" tint="-0.249977111117893"/>
        <rFont val="微软雅黑"/>
        <family val="2"/>
        <charset val="134"/>
      </rPr>
      <t>报关周次</t>
    </r>
  </si>
  <si>
    <r>
      <rPr>
        <b/>
        <sz val="10"/>
        <color theme="4" tint="-0.249977111117893"/>
        <rFont val="微软雅黑"/>
        <family val="2"/>
        <charset val="134"/>
      </rPr>
      <t>货件单号</t>
    </r>
  </si>
  <si>
    <r>
      <rPr>
        <b/>
        <sz val="10"/>
        <color theme="4" tint="-0.249977111117893"/>
        <rFont val="微软雅黑"/>
        <family val="2"/>
        <charset val="134"/>
      </rPr>
      <t>店铺</t>
    </r>
  </si>
  <si>
    <r>
      <rPr>
        <b/>
        <sz val="10"/>
        <color theme="4" tint="-0.249977111117893"/>
        <rFont val="微软雅黑"/>
        <family val="2"/>
        <charset val="134"/>
      </rPr>
      <t>国家</t>
    </r>
  </si>
  <si>
    <t>SKU</t>
  </si>
  <si>
    <r>
      <rPr>
        <b/>
        <sz val="10"/>
        <color theme="4" tint="-0.249977111117893"/>
        <rFont val="微软雅黑"/>
        <family val="2"/>
        <charset val="134"/>
      </rPr>
      <t>申报量</t>
    </r>
  </si>
  <si>
    <r>
      <rPr>
        <b/>
        <sz val="10"/>
        <color theme="4" tint="-0.249977111117893"/>
        <rFont val="微软雅黑"/>
        <family val="2"/>
        <charset val="134"/>
      </rPr>
      <t>货代名称</t>
    </r>
  </si>
  <si>
    <r>
      <rPr>
        <b/>
        <sz val="10"/>
        <color theme="4" tint="-0.249977111117893"/>
        <rFont val="微软雅黑"/>
        <family val="2"/>
        <charset val="134"/>
      </rPr>
      <t>路线归类</t>
    </r>
  </si>
  <si>
    <r>
      <rPr>
        <b/>
        <sz val="10"/>
        <color theme="4" tint="-0.249977111117893"/>
        <rFont val="微软雅黑"/>
        <family val="2"/>
        <charset val="134"/>
      </rPr>
      <t>物流中心编码</t>
    </r>
  </si>
  <si>
    <r>
      <rPr>
        <b/>
        <sz val="10"/>
        <color theme="4" tint="-0.249977111117893"/>
        <rFont val="微软雅黑"/>
        <family val="2"/>
        <charset val="134"/>
      </rPr>
      <t>箱数</t>
    </r>
  </si>
  <si>
    <r>
      <rPr>
        <b/>
        <sz val="10"/>
        <color rgb="FFFF0000"/>
        <rFont val="微软雅黑"/>
        <family val="2"/>
        <charset val="134"/>
      </rPr>
      <t>货件计费重</t>
    </r>
  </si>
  <si>
    <r>
      <rPr>
        <b/>
        <sz val="10"/>
        <color theme="4" tint="-0.249977111117893"/>
        <rFont val="微软雅黑"/>
        <family val="2"/>
        <charset val="134"/>
      </rPr>
      <t>收费标准</t>
    </r>
  </si>
  <si>
    <r>
      <rPr>
        <b/>
        <sz val="10"/>
        <color theme="4" tint="-0.249977111117893"/>
        <rFont val="微软雅黑"/>
        <family val="2"/>
        <charset val="134"/>
      </rPr>
      <t>物流单价</t>
    </r>
  </si>
  <si>
    <r>
      <rPr>
        <b/>
        <sz val="10"/>
        <color theme="4" tint="-0.249977111117893"/>
        <rFont val="微软雅黑"/>
        <family val="2"/>
        <charset val="134"/>
      </rPr>
      <t>单台运费￥</t>
    </r>
  </si>
  <si>
    <t>$</t>
  </si>
  <si>
    <r>
      <rPr>
        <b/>
        <sz val="10"/>
        <color rgb="FFFF0000"/>
        <rFont val="微软雅黑"/>
        <family val="2"/>
        <charset val="134"/>
      </rPr>
      <t>税金</t>
    </r>
  </si>
  <si>
    <r>
      <rPr>
        <b/>
        <sz val="10"/>
        <color theme="4" tint="-0.249977111117893"/>
        <rFont val="微软雅黑"/>
        <family val="2"/>
        <charset val="134"/>
      </rPr>
      <t>税金是否录入</t>
    </r>
  </si>
  <si>
    <r>
      <rPr>
        <b/>
        <sz val="10"/>
        <color theme="4" tint="-0.249977111117893"/>
        <rFont val="微软雅黑"/>
        <family val="2"/>
        <charset val="134"/>
      </rPr>
      <t>提货时间</t>
    </r>
  </si>
  <si>
    <r>
      <rPr>
        <b/>
        <sz val="10"/>
        <color theme="4" tint="-0.249977111117893"/>
        <rFont val="微软雅黑"/>
        <family val="2"/>
        <charset val="134"/>
      </rPr>
      <t>到港日期</t>
    </r>
  </si>
  <si>
    <r>
      <rPr>
        <b/>
        <sz val="10"/>
        <color theme="4" tint="-0.249977111117893"/>
        <rFont val="微软雅黑"/>
        <family val="2"/>
        <charset val="134"/>
      </rPr>
      <t>预计派送日期</t>
    </r>
  </si>
  <si>
    <t>Delivered</t>
  </si>
  <si>
    <r>
      <rPr>
        <b/>
        <sz val="10"/>
        <color theme="4" tint="-0.249977111117893"/>
        <rFont val="微软雅黑"/>
        <family val="2"/>
        <charset val="134"/>
      </rPr>
      <t>上架周期</t>
    </r>
  </si>
  <si>
    <r>
      <rPr>
        <b/>
        <sz val="10"/>
        <color theme="4" tint="-0.249977111117893"/>
        <rFont val="微软雅黑"/>
        <family val="2"/>
        <charset val="134"/>
      </rPr>
      <t>累积时效</t>
    </r>
  </si>
  <si>
    <r>
      <rPr>
        <b/>
        <sz val="10"/>
        <color theme="4" tint="-0.249977111117893"/>
        <rFont val="微软雅黑"/>
        <family val="2"/>
        <charset val="134"/>
      </rPr>
      <t>追踪号</t>
    </r>
  </si>
  <si>
    <r>
      <rPr>
        <b/>
        <sz val="10"/>
        <color theme="4" tint="-0.249977111117893"/>
        <rFont val="微软雅黑"/>
        <family val="2"/>
        <charset val="134"/>
      </rPr>
      <t>报关单价</t>
    </r>
  </si>
  <si>
    <r>
      <rPr>
        <b/>
        <sz val="10"/>
        <color theme="4" tint="-0.249977111117893"/>
        <rFont val="微软雅黑"/>
        <family val="2"/>
        <charset val="134"/>
      </rPr>
      <t>报关金额</t>
    </r>
  </si>
  <si>
    <t>V-CA</t>
  </si>
  <si>
    <r>
      <rPr>
        <sz val="10"/>
        <color theme="1"/>
        <rFont val="微软雅黑"/>
        <family val="2"/>
        <charset val="134"/>
      </rPr>
      <t>加拿大</t>
    </r>
  </si>
  <si>
    <t>001000032</t>
  </si>
  <si>
    <r>
      <rPr>
        <sz val="10"/>
        <color theme="1"/>
        <rFont val="微软雅黑"/>
        <family val="2"/>
        <charset val="134"/>
      </rPr>
      <t>嘀嗒嘀</t>
    </r>
  </si>
  <si>
    <r>
      <rPr>
        <sz val="10"/>
        <color theme="1"/>
        <rFont val="微软雅黑"/>
        <family val="2"/>
        <charset val="134"/>
      </rPr>
      <t>加拿大海卡</t>
    </r>
  </si>
  <si>
    <t>YYC4</t>
  </si>
  <si>
    <t>001000033</t>
  </si>
  <si>
    <t>V-US</t>
  </si>
  <si>
    <t>001000056</t>
  </si>
  <si>
    <t>001000057</t>
  </si>
  <si>
    <t>E-US</t>
  </si>
  <si>
    <r>
      <rPr>
        <sz val="10"/>
        <color theme="1"/>
        <rFont val="微软雅黑"/>
        <family val="2"/>
        <charset val="134"/>
      </rPr>
      <t>国润通</t>
    </r>
  </si>
  <si>
    <t>001000030</t>
  </si>
  <si>
    <t>001000019</t>
  </si>
  <si>
    <t>001000020</t>
  </si>
  <si>
    <r>
      <rPr>
        <sz val="10"/>
        <color theme="1"/>
        <rFont val="微软雅黑"/>
        <family val="2"/>
        <charset val="134"/>
      </rPr>
      <t>万邦</t>
    </r>
  </si>
  <si>
    <t>001000053</t>
  </si>
  <si>
    <t>001000045</t>
  </si>
  <si>
    <t>001000052</t>
  </si>
  <si>
    <t>001000028</t>
  </si>
  <si>
    <t>E-UK</t>
  </si>
  <si>
    <r>
      <rPr>
        <sz val="10"/>
        <color theme="1"/>
        <rFont val="微软雅黑"/>
        <family val="2"/>
        <charset val="134"/>
      </rPr>
      <t>英国</t>
    </r>
  </si>
  <si>
    <t>LBA8</t>
  </si>
  <si>
    <r>
      <rPr>
        <sz val="10"/>
        <color theme="1"/>
        <rFont val="微软雅黑"/>
        <family val="2"/>
        <charset val="134"/>
      </rPr>
      <t>沙特阿拉伯</t>
    </r>
  </si>
  <si>
    <r>
      <rPr>
        <sz val="10"/>
        <color theme="1"/>
        <rFont val="微软雅黑"/>
        <family val="2"/>
        <charset val="134"/>
      </rPr>
      <t>亦邦物流</t>
    </r>
  </si>
  <si>
    <r>
      <rPr>
        <sz val="10"/>
        <color theme="1"/>
        <rFont val="微软雅黑"/>
        <family val="2"/>
        <charset val="134"/>
      </rPr>
      <t>阿联酋</t>
    </r>
  </si>
  <si>
    <r>
      <rPr>
        <sz val="10"/>
        <color theme="1"/>
        <rFont val="微软雅黑"/>
        <family val="2"/>
        <charset val="134"/>
      </rPr>
      <t>阿联酋海派</t>
    </r>
  </si>
  <si>
    <t>DXB5</t>
  </si>
  <si>
    <t>002000028</t>
  </si>
  <si>
    <t>YHM1</t>
  </si>
  <si>
    <t>002000027</t>
  </si>
  <si>
    <t>002000029</t>
  </si>
  <si>
    <t>002000037</t>
  </si>
  <si>
    <t>002000008</t>
  </si>
  <si>
    <t>002000020</t>
  </si>
  <si>
    <t>002000001</t>
  </si>
  <si>
    <r>
      <rPr>
        <sz val="10"/>
        <color theme="1"/>
        <rFont val="微软雅黑"/>
        <family val="2"/>
        <charset val="134"/>
      </rPr>
      <t>积米</t>
    </r>
  </si>
  <si>
    <t>006000024</t>
  </si>
  <si>
    <t>W03001</t>
  </si>
  <si>
    <t>003000009</t>
  </si>
  <si>
    <t>W03002</t>
  </si>
  <si>
    <t>W03003</t>
  </si>
  <si>
    <t>W03004</t>
  </si>
  <si>
    <t>W03005</t>
  </si>
  <si>
    <t>W03006</t>
  </si>
  <si>
    <r>
      <rPr>
        <sz val="10"/>
        <color theme="1"/>
        <rFont val="微软雅黑"/>
        <family val="2"/>
        <charset val="134"/>
      </rPr>
      <t>是</t>
    </r>
  </si>
  <si>
    <t>001000039</t>
  </si>
  <si>
    <t>001000040</t>
  </si>
  <si>
    <t>001000021</t>
  </si>
  <si>
    <t>001000022</t>
  </si>
  <si>
    <t>W03007</t>
  </si>
  <si>
    <t>W04005</t>
  </si>
  <si>
    <t>W04001</t>
  </si>
  <si>
    <t>W04002</t>
  </si>
  <si>
    <t>YXU1</t>
  </si>
  <si>
    <t>W04003</t>
  </si>
  <si>
    <t>BHX4</t>
  </si>
  <si>
    <t>W04004</t>
  </si>
  <si>
    <t>008000002</t>
  </si>
  <si>
    <t>008000005</t>
  </si>
  <si>
    <t>LBA4</t>
  </si>
  <si>
    <t>001000046</t>
  </si>
  <si>
    <t>002000033</t>
  </si>
  <si>
    <t>002000032</t>
  </si>
  <si>
    <t>002000030</t>
  </si>
  <si>
    <t>002000007</t>
  </si>
  <si>
    <t>003000005</t>
  </si>
  <si>
    <t>001000049</t>
  </si>
  <si>
    <t>001000051</t>
  </si>
  <si>
    <t>003000007</t>
  </si>
  <si>
    <t>006000026</t>
  </si>
  <si>
    <t>W10001</t>
  </si>
  <si>
    <t>002000038</t>
  </si>
  <si>
    <t>002000022</t>
  </si>
  <si>
    <t>W10002</t>
  </si>
  <si>
    <t>W10003</t>
  </si>
  <si>
    <t>001000059</t>
  </si>
  <si>
    <t>001000058</t>
  </si>
  <si>
    <t>W11002</t>
  </si>
  <si>
    <t>W11001</t>
  </si>
  <si>
    <t>W11003</t>
  </si>
  <si>
    <t>W11004</t>
  </si>
  <si>
    <t>002000031</t>
  </si>
  <si>
    <t>W13001</t>
  </si>
  <si>
    <t>AN6-YG</t>
  </si>
  <si>
    <t>W13002</t>
  </si>
  <si>
    <t>W13003</t>
  </si>
  <si>
    <t>W13004</t>
  </si>
  <si>
    <t>YYZ4</t>
  </si>
  <si>
    <t>W14001</t>
  </si>
  <si>
    <t>W14002</t>
  </si>
  <si>
    <t>W14003</t>
  </si>
  <si>
    <t>AN6-G</t>
  </si>
  <si>
    <t>W14004</t>
  </si>
  <si>
    <t>W15001</t>
  </si>
  <si>
    <t>ANXKIT-B_RZ30ml</t>
  </si>
  <si>
    <t>ANXKIT-GD_RZ30ml</t>
  </si>
  <si>
    <t>AN6KIT-B_RZ30ml</t>
  </si>
  <si>
    <t>AN6-LV</t>
  </si>
  <si>
    <t>007000001</t>
  </si>
  <si>
    <t>W16001</t>
  </si>
  <si>
    <t>W16002</t>
  </si>
  <si>
    <t>W16004</t>
  </si>
  <si>
    <t>W16005</t>
  </si>
  <si>
    <t>W16006</t>
  </si>
  <si>
    <t>W16003</t>
  </si>
  <si>
    <t>W17002</t>
  </si>
  <si>
    <t>AND-B</t>
  </si>
  <si>
    <t>AND-DT</t>
  </si>
  <si>
    <t>AND-IB</t>
  </si>
  <si>
    <t>AND-G</t>
  </si>
  <si>
    <t>AND-LV</t>
  </si>
  <si>
    <t>AND-MT</t>
  </si>
  <si>
    <t>AND-SILV</t>
  </si>
  <si>
    <t>W17001</t>
  </si>
  <si>
    <t>W18001</t>
  </si>
  <si>
    <t>003000014</t>
  </si>
  <si>
    <t>W18002</t>
  </si>
  <si>
    <t>W18003</t>
  </si>
  <si>
    <t>W18004</t>
  </si>
  <si>
    <t>007000002</t>
  </si>
  <si>
    <t>W-US</t>
  </si>
  <si>
    <t>W19001</t>
  </si>
  <si>
    <t>JY-100ML</t>
  </si>
  <si>
    <t>MWAY1-100ML</t>
  </si>
  <si>
    <t>W-100ML</t>
  </si>
  <si>
    <t>W20001</t>
  </si>
  <si>
    <r>
      <rPr>
        <sz val="10"/>
        <color theme="1"/>
        <rFont val="微软雅黑"/>
        <family val="2"/>
        <charset val="134"/>
      </rPr>
      <t>澳洲</t>
    </r>
  </si>
  <si>
    <r>
      <rPr>
        <sz val="10"/>
        <color theme="1"/>
        <rFont val="微软雅黑"/>
        <family val="2"/>
        <charset val="134"/>
      </rPr>
      <t>澳鹰</t>
    </r>
  </si>
  <si>
    <t>BWU2</t>
  </si>
  <si>
    <t>001000050</t>
  </si>
  <si>
    <t>W20006</t>
  </si>
  <si>
    <t>W20007</t>
  </si>
  <si>
    <r>
      <rPr>
        <sz val="10"/>
        <color theme="1"/>
        <rFont val="微软雅黑"/>
        <family val="2"/>
        <charset val="134"/>
      </rPr>
      <t>合联中东</t>
    </r>
  </si>
  <si>
    <t>W20008</t>
  </si>
  <si>
    <t>W20002</t>
  </si>
  <si>
    <t>W20003</t>
  </si>
  <si>
    <t>W20004</t>
  </si>
  <si>
    <t>W20005</t>
  </si>
  <si>
    <t>W21001</t>
  </si>
  <si>
    <t>W21002</t>
  </si>
  <si>
    <t>W21004</t>
  </si>
  <si>
    <t>W21005</t>
  </si>
  <si>
    <t>W-DE</t>
  </si>
  <si>
    <r>
      <rPr>
        <sz val="10"/>
        <color theme="1"/>
        <rFont val="微软雅黑"/>
        <family val="2"/>
        <charset val="134"/>
      </rPr>
      <t>德国</t>
    </r>
  </si>
  <si>
    <t>W21003</t>
  </si>
  <si>
    <t>W22001</t>
  </si>
  <si>
    <t>ANXKIT-B_4X10ML</t>
  </si>
  <si>
    <t>ANXKIT-T_4X10ML</t>
  </si>
  <si>
    <t>W22002</t>
  </si>
  <si>
    <t>AN6KIT-B_4X10ML</t>
  </si>
  <si>
    <t>AN6KIT-WH_4X10ML</t>
  </si>
  <si>
    <t>W23001</t>
  </si>
  <si>
    <t>AN8-B</t>
  </si>
  <si>
    <t>AN8KIT-B_4X10K01</t>
  </si>
  <si>
    <t>AN8KIT-B_B</t>
  </si>
  <si>
    <t>W23002</t>
  </si>
  <si>
    <t>W24001</t>
  </si>
  <si>
    <t>W25001</t>
  </si>
  <si>
    <t>W25002</t>
  </si>
  <si>
    <t>W25003</t>
  </si>
  <si>
    <t>RZ-500ML</t>
  </si>
  <si>
    <t>ANA-B_US</t>
  </si>
  <si>
    <t>ANA-W_US</t>
  </si>
  <si>
    <t xml:space="preserve"> </t>
  </si>
  <si>
    <t>AN6KIT-WH_SJ30ML</t>
  </si>
  <si>
    <t>AN8NZ-B</t>
  </si>
  <si>
    <r>
      <rPr>
        <sz val="10"/>
        <color theme="1"/>
        <rFont val="微软雅黑"/>
        <family val="2"/>
        <charset val="134"/>
      </rPr>
      <t>天盛</t>
    </r>
  </si>
  <si>
    <r>
      <rPr>
        <sz val="10"/>
        <color theme="1"/>
        <rFont val="微软雅黑"/>
        <family val="2"/>
        <charset val="134"/>
      </rPr>
      <t>买单报关</t>
    </r>
  </si>
  <si>
    <t>ADXKIT-B_DT</t>
  </si>
  <si>
    <t>ADXKIT_B_TX33_30ML</t>
  </si>
  <si>
    <t>AN8KIT-B_4X10K02</t>
  </si>
  <si>
    <t>ANZKIT-B_B_2X30K01</t>
  </si>
  <si>
    <t>AN8KIT-WH_4X10K01</t>
  </si>
  <si>
    <t>TX331_100ML</t>
  </si>
  <si>
    <t>TXY1_100ML</t>
  </si>
  <si>
    <t>YZTT1_100ML</t>
  </si>
  <si>
    <t>AN8KIT-B_B_2X30K02</t>
  </si>
  <si>
    <t>YOW3</t>
  </si>
  <si>
    <t>A-CA</t>
  </si>
  <si>
    <t>ANANZ-B</t>
  </si>
  <si>
    <t>ANANZ-WH</t>
  </si>
  <si>
    <t>X3-B</t>
  </si>
  <si>
    <r>
      <rPr>
        <sz val="10"/>
        <color theme="1"/>
        <rFont val="微软雅黑"/>
        <family val="2"/>
        <charset val="134"/>
      </rPr>
      <t>欧洲海卡</t>
    </r>
  </si>
  <si>
    <r>
      <rPr>
        <sz val="10"/>
        <color theme="1"/>
        <rFont val="微软雅黑"/>
        <family val="2"/>
        <charset val="134"/>
      </rPr>
      <t>澳洲海卡</t>
    </r>
  </si>
  <si>
    <t>002000023</t>
  </si>
  <si>
    <t>AN8-WH</t>
  </si>
  <si>
    <t>ANP-B_US</t>
  </si>
  <si>
    <t>ANP-W_US</t>
  </si>
  <si>
    <t>ANWKIT-B_US_2X100K03</t>
  </si>
  <si>
    <t>ANWKIT-WH_US_2X100K03</t>
  </si>
  <si>
    <t>ANZ-B</t>
  </si>
  <si>
    <t>ANZ-WH</t>
  </si>
  <si>
    <t>BCRT1-100ML</t>
  </si>
  <si>
    <t>BLG1-100ML</t>
  </si>
  <si>
    <t>WST1-100ML</t>
  </si>
  <si>
    <t>AN6KIT-B_2X20K01</t>
  </si>
  <si>
    <t>AN8KIT-B_2X20K01</t>
  </si>
  <si>
    <t>AN8KIT-WH_2X20K01</t>
  </si>
  <si>
    <r>
      <rPr>
        <sz val="10"/>
        <color theme="1"/>
        <rFont val="微软雅黑"/>
        <family val="2"/>
        <charset val="134"/>
      </rPr>
      <t>阿联酋海卡</t>
    </r>
  </si>
  <si>
    <t>RD1-B</t>
  </si>
  <si>
    <t>RD1-DT</t>
  </si>
  <si>
    <t>HILTON1-100ML_TZ</t>
  </si>
  <si>
    <t>YH1-100ML_TZ</t>
  </si>
  <si>
    <r>
      <rPr>
        <sz val="10"/>
        <color theme="1"/>
        <rFont val="微软雅黑"/>
        <family val="2"/>
        <charset val="134"/>
      </rPr>
      <t>英国海卡</t>
    </r>
  </si>
  <si>
    <t>RD1KIT-T_2X30K04</t>
  </si>
  <si>
    <t>ANAKIT-B_US_2X100K03</t>
  </si>
  <si>
    <t>ANAKIT-WH_US_2X100K03</t>
  </si>
  <si>
    <t>HAJ1</t>
  </si>
  <si>
    <t>A-US</t>
  </si>
  <si>
    <r>
      <rPr>
        <sz val="10"/>
        <color theme="1"/>
        <rFont val="微软雅黑"/>
        <family val="2"/>
        <charset val="134"/>
      </rPr>
      <t>以星海卡</t>
    </r>
  </si>
  <si>
    <r>
      <rPr>
        <sz val="10"/>
        <color theme="1"/>
        <rFont val="微软雅黑"/>
        <family val="2"/>
        <charset val="134"/>
      </rPr>
      <t>美东海卡</t>
    </r>
  </si>
  <si>
    <r>
      <rPr>
        <sz val="10"/>
        <color theme="1"/>
        <rFont val="微软雅黑"/>
        <family val="2"/>
        <charset val="134"/>
      </rPr>
      <t>美中海卡</t>
    </r>
  </si>
  <si>
    <t>G1-B</t>
  </si>
  <si>
    <t>G1-DT</t>
  </si>
  <si>
    <t>G1-SILV</t>
  </si>
  <si>
    <t>E-SA</t>
  </si>
  <si>
    <t>JED4</t>
  </si>
  <si>
    <t>ANZKIT-B_HILTON30ML</t>
  </si>
  <si>
    <t>YVR4</t>
  </si>
  <si>
    <t>W-CA</t>
  </si>
  <si>
    <t>AN8KIT-B_2X20K03</t>
  </si>
  <si>
    <t>E-AU</t>
  </si>
  <si>
    <t>AH1B-WH_US</t>
  </si>
  <si>
    <t>AH1B-WH_EU</t>
  </si>
  <si>
    <t>WST1-100ML_TZ</t>
  </si>
  <si>
    <t>W1-100ML_TZ</t>
  </si>
  <si>
    <t>BCRT1-100ML_TZ</t>
  </si>
  <si>
    <t>ANZKIT-B_B</t>
  </si>
  <si>
    <t>ANA-WH_UK</t>
  </si>
  <si>
    <t>ANA-WH_EU</t>
  </si>
  <si>
    <t>ANZKIT-B_4X10K04_TZ</t>
  </si>
  <si>
    <t>AN6KIT-WH_SJ30ML_TZ</t>
  </si>
  <si>
    <t>ADXKIT-DT_4X10K04_TZ</t>
  </si>
  <si>
    <t>ADXKIT-B_4X10K04_TZ</t>
  </si>
  <si>
    <t>AC1-WH_US</t>
  </si>
  <si>
    <t>AC1-WH_EU</t>
  </si>
  <si>
    <t>AC1KIT-WH_WH_EU</t>
  </si>
  <si>
    <t>AC1KIT_WH_WH_US</t>
  </si>
  <si>
    <t>GK1-SILV</t>
  </si>
  <si>
    <t>GK1-B</t>
  </si>
  <si>
    <t>RDX-B_US</t>
  </si>
  <si>
    <t>SJ1-100ML_TZ</t>
  </si>
  <si>
    <t>RDXKIT-B_US_2X100K04</t>
  </si>
  <si>
    <t>FBA195L9WC0P</t>
  </si>
  <si>
    <t>FBA195LB0WFL</t>
  </si>
  <si>
    <t>FBA195LCJDMZ</t>
  </si>
  <si>
    <t>FBA195LBB4TM</t>
  </si>
  <si>
    <t>FBA195LB2C32</t>
  </si>
  <si>
    <t>FBA195LDDMB5</t>
  </si>
  <si>
    <t>FBA195L9WKNH</t>
  </si>
  <si>
    <t>FBA195TXJ79C</t>
  </si>
  <si>
    <t>W020005</t>
  </si>
  <si>
    <t>W020004</t>
  </si>
  <si>
    <t>W020003</t>
  </si>
  <si>
    <t>W020001</t>
  </si>
  <si>
    <t>W020002</t>
  </si>
  <si>
    <t>FBA15L9C2DCR</t>
  </si>
  <si>
    <t>DTM1</t>
  </si>
  <si>
    <t>FBA195TXJ79C</t>
    <phoneticPr fontId="13" type="noConversion"/>
  </si>
  <si>
    <t>FBA15L9C2DCR</t>
    <phoneticPr fontId="13" type="noConversion"/>
  </si>
  <si>
    <t>UPS #1ZK6E8620337817764</t>
  </si>
  <si>
    <t>AN6KIT-B_4X10K04_TZ</t>
  </si>
  <si>
    <t>AN6KIT-WH_4X10K04_TZ</t>
  </si>
  <si>
    <t>RD1PJ-BOT</t>
  </si>
  <si>
    <t>ANPPJ-BOT</t>
  </si>
  <si>
    <t>UPS #1ZB57B606831614652</t>
  </si>
  <si>
    <r>
      <rPr>
        <b/>
        <sz val="10"/>
        <color rgb="FFFF0000"/>
        <rFont val="微软雅黑"/>
        <family val="2"/>
        <charset val="134"/>
      </rPr>
      <t>上架完成</t>
    </r>
  </si>
  <si>
    <r>
      <rPr>
        <b/>
        <sz val="10"/>
        <color rgb="FFFF0000"/>
        <rFont val="微软雅黑"/>
        <family val="2"/>
        <charset val="134"/>
      </rPr>
      <t>上架数量</t>
    </r>
  </si>
  <si>
    <t>FBA1962WJ10Y</t>
  </si>
  <si>
    <t>FBA195WQT42J</t>
  </si>
  <si>
    <t>FBA15L9NCNFT</t>
  </si>
  <si>
    <t>FBA195X71HBT</t>
  </si>
  <si>
    <t>FBA19630ZHP6</t>
  </si>
  <si>
    <t>FBA15L9C90G5</t>
  </si>
  <si>
    <t>FBA196675KXQ</t>
  </si>
  <si>
    <t>FBA195TQGKS4</t>
  </si>
  <si>
    <t>FBA195WSLNLM</t>
  </si>
  <si>
    <t>HOTEL6KIT1-6X10K01</t>
  </si>
  <si>
    <t>FBA195X3NXZ7</t>
  </si>
  <si>
    <t>FBA195X3FRY0</t>
  </si>
  <si>
    <t>ANPKIT-B_US_3X20K01_TZ</t>
  </si>
  <si>
    <t>ANPKIT-WH_US_3X20K01_TZ</t>
  </si>
  <si>
    <t>FBA1967GPG1X</t>
  </si>
  <si>
    <t>FBA1967FNB50</t>
  </si>
  <si>
    <t>FBA196FDHR3M</t>
  </si>
  <si>
    <t>FBA196FG6V2S</t>
  </si>
  <si>
    <t>FBA196866S65</t>
  </si>
  <si>
    <t>FBA1969SRVSY</t>
  </si>
  <si>
    <t>FBA196837WL2</t>
  </si>
  <si>
    <t>FBA19683VMP8</t>
  </si>
  <si>
    <t>FBA19682VZWD</t>
  </si>
  <si>
    <t>FBA1968392KJ</t>
  </si>
  <si>
    <t>FBA19686T54K</t>
  </si>
  <si>
    <t>FBA1967F889Z</t>
  </si>
  <si>
    <t>FBA1967XZYX3</t>
  </si>
  <si>
    <t>ES1-W</t>
  </si>
  <si>
    <t>W05002</t>
  </si>
  <si>
    <t>FBA15LCDDPG8</t>
  </si>
  <si>
    <t>W05012</t>
  </si>
  <si>
    <t>FBA196P9L68R</t>
  </si>
  <si>
    <t>FBA196P93TMX</t>
  </si>
  <si>
    <t>FBA196PBJHGY</t>
  </si>
  <si>
    <t>ANXKIT-B_4X10K04_TZ</t>
  </si>
  <si>
    <t>ANXKIT-T_4X10K04_TZ</t>
  </si>
  <si>
    <t>FBA196PD1BWG</t>
  </si>
  <si>
    <t>W05004</t>
  </si>
  <si>
    <t>FBA15G5ZVZZ2</t>
  </si>
  <si>
    <t>W05013</t>
  </si>
  <si>
    <t>FBA196VGYP1S</t>
  </si>
  <si>
    <t>FBA196PDTG5X</t>
  </si>
  <si>
    <t>FBA196P88RYV</t>
  </si>
  <si>
    <t>W05003</t>
  </si>
  <si>
    <t>FBA1969S9B3Z</t>
  </si>
  <si>
    <t>FBA196P9YDLV</t>
  </si>
  <si>
    <t>FBA196PCKJBN</t>
  </si>
  <si>
    <t>W05005</t>
  </si>
  <si>
    <t>FBA196PBH7G8</t>
  </si>
  <si>
    <t>W05006</t>
  </si>
  <si>
    <t>FBA196XYH2CB</t>
  </si>
  <si>
    <t>FBA196XLRQQD</t>
  </si>
  <si>
    <t>W05011</t>
  </si>
  <si>
    <t>FBA196P9WPZ7</t>
  </si>
  <si>
    <t>FBA196PCP9HX</t>
  </si>
  <si>
    <t>W05007</t>
  </si>
  <si>
    <t>FBA196NCXD8J</t>
  </si>
  <si>
    <t>OAK3</t>
  </si>
  <si>
    <t>W05008</t>
  </si>
  <si>
    <t>FBA196NCJYG5</t>
  </si>
  <si>
    <t>W05009</t>
  </si>
  <si>
    <t>FBA196N9B79B</t>
  </si>
  <si>
    <t>HSV1</t>
  </si>
  <si>
    <t>FBA196NCQYR0</t>
  </si>
  <si>
    <t>MDT1</t>
  </si>
  <si>
    <t>W05010</t>
  </si>
  <si>
    <t>FBA196NB4NXF</t>
  </si>
  <si>
    <t>FOE1</t>
  </si>
  <si>
    <t>RDXKIT-SILV_US_2X100K04</t>
  </si>
  <si>
    <t>W06002</t>
  </si>
  <si>
    <t>FBA196ZPNG0Z</t>
  </si>
  <si>
    <t>FBA196ZQYZK7</t>
  </si>
  <si>
    <t>W06003</t>
  </si>
  <si>
    <t>FBA15LD5H4FM</t>
  </si>
  <si>
    <t>DTM9</t>
  </si>
  <si>
    <t>W06001</t>
  </si>
  <si>
    <t>FBA15LD5WXF3</t>
  </si>
  <si>
    <t>E-AE</t>
  </si>
  <si>
    <t>FBA196ZPM7XN</t>
  </si>
  <si>
    <t>FBA196ZJWR8P</t>
  </si>
  <si>
    <t>W06011</t>
  </si>
  <si>
    <t>FBA197DXB0VL</t>
  </si>
  <si>
    <t>W06010</t>
  </si>
  <si>
    <t>FBA1976WKL4D</t>
  </si>
  <si>
    <t>W06004</t>
  </si>
  <si>
    <t>FBA1976LX63R</t>
  </si>
  <si>
    <t>MGE3</t>
  </si>
  <si>
    <t>W06005</t>
  </si>
  <si>
    <t>FBA1976MP8CY</t>
  </si>
  <si>
    <t>W06006</t>
  </si>
  <si>
    <t>FBA1976N1PRR</t>
  </si>
  <si>
    <t>FAT2</t>
  </si>
  <si>
    <t>W06007</t>
  </si>
  <si>
    <t>AKR1</t>
  </si>
  <si>
    <t>W06008</t>
  </si>
  <si>
    <t>FBA1976MCGX6</t>
  </si>
  <si>
    <t>LFT1</t>
  </si>
  <si>
    <t>W06009</t>
  </si>
  <si>
    <t>FBA197D77P3S</t>
  </si>
  <si>
    <t>RDX-SILV_US</t>
  </si>
  <si>
    <r>
      <t>CBM</t>
    </r>
    <r>
      <rPr>
        <sz val="10"/>
        <color theme="1"/>
        <rFont val="微软雅黑"/>
        <family val="2"/>
        <charset val="134"/>
      </rPr>
      <t>收费</t>
    </r>
  </si>
  <si>
    <r>
      <rPr>
        <b/>
        <sz val="10"/>
        <color rgb="FFFF0000"/>
        <rFont val="微软雅黑"/>
        <family val="2"/>
        <charset val="134"/>
      </rPr>
      <t>子型号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</si>
  <si>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品名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</si>
  <si>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父型号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有公式</t>
    </r>
  </si>
  <si>
    <r>
      <rPr>
        <b/>
        <sz val="10"/>
        <color rgb="FFFF0000"/>
        <rFont val="微软雅黑"/>
        <family val="2"/>
        <charset val="134"/>
      </rPr>
      <t>税金</t>
    </r>
    <r>
      <rPr>
        <b/>
        <sz val="10"/>
        <color rgb="FFFF0000"/>
        <rFont val="Aptos"/>
        <family val="2"/>
      </rPr>
      <t>-</t>
    </r>
    <r>
      <rPr>
        <b/>
        <sz val="10"/>
        <color rgb="FFFF0000"/>
        <rFont val="微软雅黑"/>
        <family val="2"/>
        <charset val="134"/>
      </rPr>
      <t>相同报关单</t>
    </r>
  </si>
  <si>
    <r>
      <rPr>
        <b/>
        <sz val="10"/>
        <color rgb="FFFF0000"/>
        <rFont val="微软雅黑"/>
        <family val="2"/>
        <charset val="134"/>
      </rPr>
      <t>入库配置费</t>
    </r>
    <r>
      <rPr>
        <b/>
        <sz val="10"/>
        <color rgb="FFFF0000"/>
        <rFont val="Aptos"/>
        <family val="2"/>
      </rPr>
      <t>/unit</t>
    </r>
  </si>
  <si>
    <r>
      <rPr>
        <b/>
        <sz val="10"/>
        <color rgb="FFFF0000"/>
        <rFont val="微软雅黑"/>
        <family val="2"/>
        <charset val="134"/>
      </rPr>
      <t>总入库配置费</t>
    </r>
    <r>
      <rPr>
        <b/>
        <sz val="10"/>
        <color rgb="FFFF0000"/>
        <rFont val="Aptos"/>
        <family val="2"/>
      </rPr>
      <t xml:space="preserve"> $</t>
    </r>
  </si>
  <si>
    <r>
      <rPr>
        <b/>
        <sz val="10"/>
        <color theme="4" tint="-0.249977111117893"/>
        <rFont val="微软雅黑"/>
        <family val="2"/>
        <charset val="134"/>
      </rPr>
      <t>在途周期</t>
    </r>
    <r>
      <rPr>
        <b/>
        <sz val="10"/>
        <color theme="4" tint="-0.249977111117893"/>
        <rFont val="Aptos"/>
        <family val="2"/>
      </rPr>
      <t>/</t>
    </r>
    <r>
      <rPr>
        <b/>
        <sz val="10"/>
        <color theme="4" tint="-0.249977111117893"/>
        <rFont val="微软雅黑"/>
        <family val="2"/>
        <charset val="134"/>
      </rPr>
      <t>天</t>
    </r>
  </si>
  <si>
    <r>
      <rPr>
        <sz val="10"/>
        <color theme="1"/>
        <rFont val="微软雅黑"/>
        <family val="2"/>
        <charset val="134"/>
      </rPr>
      <t>备注第</t>
    </r>
    <r>
      <rPr>
        <sz val="10"/>
        <color theme="1"/>
        <rFont val="Aptos"/>
        <family val="2"/>
      </rPr>
      <t>3</t>
    </r>
    <r>
      <rPr>
        <sz val="10"/>
        <color theme="1"/>
        <rFont val="微软雅黑"/>
        <family val="2"/>
        <charset val="134"/>
      </rPr>
      <t>至第</t>
    </r>
    <r>
      <rPr>
        <sz val="10"/>
        <color theme="1"/>
        <rFont val="Aptos"/>
        <family val="2"/>
      </rPr>
      <t>16</t>
    </r>
    <r>
      <rPr>
        <sz val="10"/>
        <color theme="1"/>
        <rFont val="微软雅黑"/>
        <family val="2"/>
        <charset val="134"/>
      </rPr>
      <t>箱，单独报关</t>
    </r>
  </si>
  <si>
    <r>
      <rPr>
        <sz val="10"/>
        <color theme="1"/>
        <rFont val="微软雅黑"/>
        <family val="2"/>
        <charset val="134"/>
      </rPr>
      <t>重量收费</t>
    </r>
    <phoneticPr fontId="13" type="noConversion"/>
  </si>
  <si>
    <r>
      <rPr>
        <sz val="10"/>
        <color theme="1"/>
        <rFont val="微软雅黑"/>
        <family val="2"/>
        <charset val="134"/>
      </rPr>
      <t>沙特海卡</t>
    </r>
  </si>
  <si>
    <r>
      <rPr>
        <sz val="10"/>
        <color theme="1"/>
        <rFont val="微软雅黑"/>
        <family val="2"/>
        <charset val="134"/>
      </rPr>
      <t>是</t>
    </r>
    <phoneticPr fontId="13" type="noConversion"/>
  </si>
  <si>
    <t>RD2-B</t>
  </si>
  <si>
    <t>RD2-SILV</t>
  </si>
  <si>
    <t>RD2KIT-B_2X30K06_TZ</t>
  </si>
  <si>
    <t>RD2KIT-SILV_2X30K07_TZ</t>
  </si>
  <si>
    <t>ANZKIT-W_4X10K04_TZ</t>
  </si>
  <si>
    <t>ANZKIT-W_SJ30ML</t>
  </si>
  <si>
    <t>ATS1_100ML_TZ</t>
  </si>
  <si>
    <r>
      <rPr>
        <sz val="10"/>
        <color theme="1"/>
        <rFont val="微软雅黑"/>
        <family val="2"/>
        <charset val="134"/>
      </rPr>
      <t>欧洲空派</t>
    </r>
  </si>
  <si>
    <t>FBA1987594KP</t>
  </si>
  <si>
    <t>FBA198F648V6</t>
  </si>
  <si>
    <t>FBA198CCWL4Q</t>
  </si>
  <si>
    <t>FBA19873RZMP</t>
  </si>
  <si>
    <t>FBA198354HLL</t>
  </si>
  <si>
    <t>FBA198F4S73Q</t>
  </si>
  <si>
    <t>FBA1976NHDF8</t>
    <phoneticPr fontId="13" type="noConversion"/>
  </si>
  <si>
    <t>FBA198K79B9C</t>
  </si>
  <si>
    <t>W11010</t>
  </si>
  <si>
    <t>FBA198K5X4YB</t>
  </si>
  <si>
    <t>W11005</t>
  </si>
  <si>
    <t>FBA15LHXTKQ1</t>
  </si>
  <si>
    <t>W11006</t>
  </si>
  <si>
    <t>FBA15LJ7LFCF</t>
  </si>
  <si>
    <t>BER8</t>
  </si>
  <si>
    <t>W11011</t>
  </si>
  <si>
    <t>FBA198R5WZBL</t>
  </si>
  <si>
    <t>FBA198R5V676</t>
  </si>
  <si>
    <t>W11012</t>
  </si>
  <si>
    <t>FBA198KBXJ4X</t>
  </si>
  <si>
    <t>FBA198KC8HBQ</t>
  </si>
  <si>
    <t>FBA198K8QZC5</t>
  </si>
  <si>
    <t>W11008</t>
  </si>
  <si>
    <t>FBA198KFN9NS</t>
  </si>
  <si>
    <t>W11007</t>
  </si>
  <si>
    <t>FBA198K9RVMY</t>
  </si>
  <si>
    <t>FBA198LLVD5S</t>
  </si>
  <si>
    <t>FBA198LLBYQJ</t>
  </si>
  <si>
    <t>FBA198LK2T65</t>
  </si>
  <si>
    <t>FBA198LHZYBC</t>
  </si>
  <si>
    <t>K-US</t>
  </si>
  <si>
    <t>W11009</t>
  </si>
  <si>
    <t>FBA198PY9806</t>
  </si>
  <si>
    <t>FBA198354HLL</t>
    <phoneticPr fontId="13" type="noConversion"/>
  </si>
  <si>
    <t>ANZKIT-W_BGR30ML_TZ</t>
  </si>
  <si>
    <t>ANZKIT-B_BGR30ML_TZ</t>
  </si>
  <si>
    <t>RZ1-100ML_TZ</t>
  </si>
  <si>
    <t>G1-B_YD</t>
  </si>
  <si>
    <t>W12005</t>
  </si>
  <si>
    <t>FBA198VX409J</t>
  </si>
  <si>
    <t>W12009</t>
  </si>
  <si>
    <t>FBA198X547X1</t>
  </si>
  <si>
    <t>W12004</t>
  </si>
  <si>
    <t>FBA198W2C0D1</t>
  </si>
  <si>
    <t>FBA198W7XC64</t>
  </si>
  <si>
    <t>FBA198XML3L7</t>
  </si>
  <si>
    <t>AN8KIT-WH_4X10K05_TZ</t>
  </si>
  <si>
    <t>W12006</t>
  </si>
  <si>
    <t>FBA19903R9DH</t>
  </si>
  <si>
    <t>W12010</t>
  </si>
  <si>
    <t>FBA19994C4F1</t>
  </si>
  <si>
    <t>FBA19993QKM2</t>
  </si>
  <si>
    <t>W12002</t>
  </si>
  <si>
    <t>FBA15G7HFC4R</t>
  </si>
  <si>
    <t>FBA19922135M</t>
  </si>
  <si>
    <t>FBA198X3QKQ1</t>
  </si>
  <si>
    <t>W12007</t>
  </si>
  <si>
    <t>FBA198X58NK5</t>
  </si>
  <si>
    <t>FBA198XV6SCX</t>
  </si>
  <si>
    <t>W12008</t>
  </si>
  <si>
    <t>FBA198W8K669</t>
  </si>
  <si>
    <t>FBA198VY9H04</t>
  </si>
  <si>
    <t>W12003</t>
  </si>
  <si>
    <t>FBA198W7ZHBG</t>
  </si>
  <si>
    <t>FBA199220GQD</t>
  </si>
  <si>
    <t>BGR1_100ML_TZ</t>
  </si>
  <si>
    <t>FBA198W7P8C9</t>
  </si>
  <si>
    <r>
      <rPr>
        <b/>
        <sz val="10"/>
        <color rgb="FFFF0000"/>
        <rFont val="微软雅黑"/>
        <family val="2"/>
        <charset val="134"/>
      </rPr>
      <t>报关或其他费</t>
    </r>
    <phoneticPr fontId="13" type="noConversion"/>
  </si>
  <si>
    <r>
      <rPr>
        <b/>
        <sz val="10"/>
        <color rgb="FFFF0000"/>
        <rFont val="微软雅黑"/>
        <family val="2"/>
        <charset val="134"/>
      </rPr>
      <t>报关或其他费分摊</t>
    </r>
    <phoneticPr fontId="13" type="noConversion"/>
  </si>
  <si>
    <r>
      <rPr>
        <sz val="10"/>
        <color theme="1"/>
        <rFont val="微软雅黑"/>
        <family val="2"/>
        <charset val="134"/>
      </rPr>
      <t>德速物流</t>
    </r>
  </si>
  <si>
    <r>
      <rPr>
        <sz val="10"/>
        <color theme="1"/>
        <rFont val="微软雅黑"/>
        <family val="2"/>
        <charset val="134"/>
      </rPr>
      <t>托书上要备注跟</t>
    </r>
    <r>
      <rPr>
        <sz val="10"/>
        <color theme="1"/>
        <rFont val="Aptos"/>
        <family val="2"/>
      </rPr>
      <t xml:space="preserve">FBA198LK2T65 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</si>
  <si>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FBA198W7ZHBG</t>
    </r>
    <r>
      <rPr>
        <sz val="10"/>
        <color theme="1"/>
        <rFont val="微软雅黑"/>
        <family val="2"/>
        <charset val="134"/>
      </rPr>
      <t>合并报关</t>
    </r>
  </si>
  <si>
    <t>W13010</t>
  </si>
  <si>
    <t>FBA19985BHPR</t>
  </si>
  <si>
    <t>AN8KIT-B_4X10K05_TZ</t>
  </si>
  <si>
    <t>W13008</t>
  </si>
  <si>
    <t>FBA1997PDD0Z</t>
  </si>
  <si>
    <t>W13009</t>
  </si>
  <si>
    <t>FBA199C7XWBM</t>
  </si>
  <si>
    <t>FBA1998DXN77</t>
  </si>
  <si>
    <t>W13011</t>
  </si>
  <si>
    <t>FBA19981TS59</t>
  </si>
  <si>
    <t>FBA19982BL68</t>
  </si>
  <si>
    <t>FBA1997ZZGG7</t>
  </si>
  <si>
    <t>W13005</t>
  </si>
  <si>
    <t>FBA19981L65S</t>
  </si>
  <si>
    <t>W13006</t>
  </si>
  <si>
    <t>FBA15LKVV9JS</t>
  </si>
  <si>
    <t>W13007</t>
  </si>
  <si>
    <t>FBA15LKZVHYC</t>
  </si>
  <si>
    <t>FBA1990KKRQ3</t>
  </si>
  <si>
    <t>FBA1998CWPX7</t>
  </si>
  <si>
    <t>FBA1998BJR8W</t>
  </si>
  <si>
    <t>FBA1998CHTC2</t>
  </si>
  <si>
    <t>FBA1998BTZST</t>
  </si>
  <si>
    <t>FBA19968P4N3</t>
  </si>
  <si>
    <t>W13012</t>
  </si>
  <si>
    <t>FBA198XY9VBP</t>
  </si>
  <si>
    <t>FBA199664Z1H</t>
  </si>
  <si>
    <t>FBA19987CYJC</t>
  </si>
  <si>
    <t>FBA199632TX8</t>
  </si>
  <si>
    <t>FBA1996418F0</t>
  </si>
  <si>
    <t>FBA15LKFVN1C</t>
  </si>
  <si>
    <r>
      <rPr>
        <sz val="10"/>
        <color theme="1"/>
        <rFont val="微软雅黑"/>
        <family val="2"/>
        <charset val="134"/>
      </rPr>
      <t>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</si>
  <si>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r>
      <rPr>
        <sz val="10"/>
        <color theme="1"/>
        <rFont val="微软雅黑"/>
        <family val="2"/>
        <charset val="134"/>
      </rPr>
      <t>送货到天盛广州仓安排跟会七里的货合并计费，备注跟</t>
    </r>
    <r>
      <rPr>
        <sz val="10"/>
        <color theme="1"/>
        <rFont val="Aptos"/>
        <family val="2"/>
      </rPr>
      <t>FBA19987CYJC</t>
    </r>
    <r>
      <rPr>
        <sz val="10"/>
        <color theme="1"/>
        <rFont val="微软雅黑"/>
        <family val="2"/>
        <charset val="134"/>
      </rPr>
      <t>合并报关</t>
    </r>
  </si>
  <si>
    <t>W14006</t>
  </si>
  <si>
    <t>FBA199KPSFXM</t>
  </si>
  <si>
    <t>W14007</t>
  </si>
  <si>
    <t>FBA199KNT8RY</t>
  </si>
  <si>
    <t>FBA199JBH82C</t>
  </si>
  <si>
    <t>FBA199J9RQ5K</t>
  </si>
  <si>
    <t>FBA199JCMDW7</t>
  </si>
  <si>
    <t>FBA199ND5Y2G</t>
  </si>
  <si>
    <t>FBA199JC2QFL</t>
  </si>
  <si>
    <t>W14005</t>
  </si>
  <si>
    <t>FBA199J9FWBW</t>
  </si>
  <si>
    <t>FBA199JBK252</t>
  </si>
  <si>
    <t>FBA199KWXBZZ</t>
  </si>
  <si>
    <t>FBA199J8WL2C</t>
  </si>
  <si>
    <t>FBA199J7KYFZ</t>
  </si>
  <si>
    <t>FBA199JB9GX5</t>
  </si>
  <si>
    <t>FBA199J506NT</t>
  </si>
  <si>
    <t>FBA199JBCYRR</t>
  </si>
  <si>
    <t>YYZ7</t>
  </si>
  <si>
    <r>
      <rPr>
        <sz val="10"/>
        <color theme="1"/>
        <rFont val="微软雅黑"/>
        <family val="2"/>
        <charset val="134"/>
      </rPr>
      <t>跟上周一样，拉到广州仓库去合并下单，报关</t>
    </r>
  </si>
  <si>
    <t>W15007</t>
  </si>
  <si>
    <t>FBA199V9G06K</t>
  </si>
  <si>
    <t>FBA19B7DZGDV</t>
  </si>
  <si>
    <t>W15003</t>
  </si>
  <si>
    <t>FBA199V98MJG</t>
  </si>
  <si>
    <t>W15006</t>
  </si>
  <si>
    <t>FBA199WVYDVD</t>
  </si>
  <si>
    <t>FBA199WX2PW7</t>
  </si>
  <si>
    <t>FBA199WV8JXK</t>
  </si>
  <si>
    <t>FBA199X2YQJT</t>
  </si>
  <si>
    <t>FBA199V40XDQ</t>
  </si>
  <si>
    <t>FBA199V5RZPW</t>
  </si>
  <si>
    <t>W15002</t>
  </si>
  <si>
    <t>FBA15LMGRQ7F</t>
  </si>
  <si>
    <t>W15004</t>
  </si>
  <si>
    <t>FBA199WG4JL3</t>
  </si>
  <si>
    <t>FBA199TT251G</t>
  </si>
  <si>
    <t>W15005</t>
  </si>
  <si>
    <t>FBA199WTFJB1</t>
  </si>
  <si>
    <t>W15008</t>
  </si>
  <si>
    <t>FBA199V32GNW</t>
  </si>
  <si>
    <t>ES1KIT-W_W</t>
  </si>
  <si>
    <t>FBA199WGX66P</t>
  </si>
  <si>
    <t>FBA199TTG21T</t>
  </si>
  <si>
    <t>ANZKIT-B_RZ30ML_TZ</t>
  </si>
  <si>
    <t>ANZKIT-W_RZ30ML_TZ</t>
  </si>
  <si>
    <r>
      <rPr>
        <sz val="10"/>
        <color theme="1"/>
        <rFont val="微软雅黑"/>
        <family val="2"/>
        <charset val="134"/>
      </rPr>
      <t>不包提货（报关费</t>
    </r>
    <r>
      <rPr>
        <sz val="10"/>
        <color theme="1"/>
        <rFont val="Aptos"/>
        <family val="2"/>
      </rPr>
      <t>400+</t>
    </r>
    <r>
      <rPr>
        <sz val="10"/>
        <color theme="1"/>
        <rFont val="微软雅黑"/>
        <family val="2"/>
        <charset val="134"/>
      </rPr>
      <t>战争附加费</t>
    </r>
    <r>
      <rPr>
        <sz val="10"/>
        <color theme="1"/>
        <rFont val="Aptos"/>
        <family val="2"/>
      </rPr>
      <t>120+</t>
    </r>
    <r>
      <rPr>
        <sz val="10"/>
        <color theme="1"/>
        <rFont val="微软雅黑"/>
        <family val="2"/>
        <charset val="134"/>
      </rPr>
      <t>头程费</t>
    </r>
    <r>
      <rPr>
        <sz val="10"/>
        <color theme="1"/>
        <rFont val="Aptos"/>
        <family val="2"/>
      </rPr>
      <t>516.08</t>
    </r>
    <r>
      <rPr>
        <sz val="10"/>
        <color theme="1"/>
        <rFont val="微软雅黑"/>
        <family val="2"/>
        <charset val="134"/>
      </rPr>
      <t>）</t>
    </r>
    <phoneticPr fontId="13" type="noConversion"/>
  </si>
  <si>
    <t>FBA19B9KJ2QH</t>
  </si>
  <si>
    <t>W16007</t>
  </si>
  <si>
    <t>FBA19B9LM3JV</t>
  </si>
  <si>
    <t>FBA15LN44JQQ</t>
  </si>
  <si>
    <t>FBA15G8D1ZB2</t>
  </si>
  <si>
    <t>W16014</t>
  </si>
  <si>
    <t>FBA19BBRVKSC</t>
  </si>
  <si>
    <t>FBA19B9C8RDL</t>
  </si>
  <si>
    <t>FBA19BC498R6</t>
  </si>
  <si>
    <t>FBA19BC2TT08</t>
  </si>
  <si>
    <t>FBA19B9HK18P</t>
  </si>
  <si>
    <t>FBA19BK8QFSK</t>
  </si>
  <si>
    <t>W16010</t>
  </si>
  <si>
    <t>FBA19BCDLF7B</t>
  </si>
  <si>
    <t>FBA19BCGVYN1</t>
  </si>
  <si>
    <t>W16012</t>
  </si>
  <si>
    <t>FBA19BCK42Y8</t>
  </si>
  <si>
    <t>FBA19B9NXYNH</t>
  </si>
  <si>
    <t>FBA19B7B1PZ2</t>
  </si>
  <si>
    <t>FBA19B79W7D9</t>
  </si>
  <si>
    <t>W16011</t>
  </si>
  <si>
    <t>FBA19B7N189J</t>
  </si>
  <si>
    <t>FBA19B7J1BX9</t>
  </si>
  <si>
    <t>RZ1-500ML_TZ</t>
  </si>
  <si>
    <t>FBA19B9HSTHR</t>
  </si>
  <si>
    <t>W16013</t>
  </si>
  <si>
    <t>FBA19B9DG84G</t>
  </si>
  <si>
    <t>W16008</t>
  </si>
  <si>
    <t>FBA19B9DKZG9</t>
  </si>
  <si>
    <t>TPA2</t>
  </si>
  <si>
    <t>FBA19B9HCN3R</t>
  </si>
  <si>
    <t>W16009</t>
  </si>
  <si>
    <t>FBA19B9HCF21</t>
  </si>
  <si>
    <t>TEB6</t>
  </si>
  <si>
    <t>FBA19B9DLDTH</t>
  </si>
  <si>
    <t>FBA15LN4716N</t>
  </si>
  <si>
    <r>
      <t>100KG</t>
    </r>
    <r>
      <rPr>
        <sz val="10"/>
        <color theme="1"/>
        <rFont val="微软雅黑"/>
        <family val="2"/>
        <charset val="134"/>
      </rPr>
      <t>起收费</t>
    </r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</si>
  <si>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FBA19BCDLF7B</t>
    </r>
    <r>
      <rPr>
        <sz val="10"/>
        <color theme="1"/>
        <rFont val="微软雅黑"/>
        <family val="2"/>
        <charset val="134"/>
      </rPr>
      <t>合并报关，需要同一天提货</t>
    </r>
  </si>
  <si>
    <t>ANAKIT-B_EU_2X100K03</t>
  </si>
  <si>
    <t>ANAKIT-WH_EU_2X100K03</t>
  </si>
  <si>
    <t>ANP-W_EU</t>
  </si>
  <si>
    <t>ANPKIT-W_EU_3X20K01_TZ</t>
  </si>
  <si>
    <t>HILTON1-500ML_TZ</t>
  </si>
  <si>
    <t>SJ1-500ML_TZ</t>
  </si>
  <si>
    <t>FBA15LP65LXZ</t>
  </si>
  <si>
    <t>FBA15G8QSTZS</t>
  </si>
  <si>
    <t>W17006</t>
  </si>
  <si>
    <t>FBA19BY3VMYT</t>
  </si>
  <si>
    <t>W17009</t>
  </si>
  <si>
    <t>FBA19BY83NF8</t>
  </si>
  <si>
    <t>W17003</t>
  </si>
  <si>
    <t>FBA19BS18QGQ</t>
  </si>
  <si>
    <t>FBA19BS5LVP7</t>
  </si>
  <si>
    <t>FBA19BRTCW8K</t>
  </si>
  <si>
    <t>FBA19BY2DDBJ</t>
  </si>
  <si>
    <t>W17008</t>
  </si>
  <si>
    <t>FBA19BRD7JZ3</t>
  </si>
  <si>
    <t>W17007</t>
  </si>
  <si>
    <t>FBA19BRN46FT</t>
  </si>
  <si>
    <t>W17005</t>
  </si>
  <si>
    <t>FBA19BS9WBMQ</t>
  </si>
  <si>
    <t>FBA19BRK5DWK</t>
  </si>
  <si>
    <t>FBA19BRWKFV5</t>
  </si>
  <si>
    <t>FBA19BRVKMS2</t>
  </si>
  <si>
    <t>W17004</t>
  </si>
  <si>
    <t>FBA19BRVNNYF</t>
  </si>
  <si>
    <t>W17010</t>
  </si>
  <si>
    <t>FBA19C2Q5YYR</t>
  </si>
  <si>
    <t>W18005</t>
  </si>
  <si>
    <t>FBA19C5419DM</t>
  </si>
  <si>
    <t>W18006</t>
  </si>
  <si>
    <t>FBA19C4KVPDZ</t>
  </si>
  <si>
    <t>FBA19C54L6RG</t>
  </si>
  <si>
    <t>RD1-G</t>
  </si>
  <si>
    <t>FBA19C53QL9F</t>
  </si>
  <si>
    <t>FBA19C5HZZP9</t>
  </si>
  <si>
    <t>FBA19C5PCDN1</t>
  </si>
  <si>
    <t>FBA19C5PLM9L</t>
  </si>
  <si>
    <t>FBA19CFN1JVG</t>
  </si>
  <si>
    <t>FBA19CCGJKBD</t>
  </si>
  <si>
    <t>FBA19CCPRKWP</t>
  </si>
  <si>
    <t>FBA19CCTKGCQ</t>
  </si>
  <si>
    <t>FBA19C5F8QF9</t>
  </si>
  <si>
    <t>FBA19C589LLD</t>
  </si>
  <si>
    <t>FBA19CK1JT4K</t>
  </si>
  <si>
    <t>U1KIT-B_US_2X50K01_TZ</t>
  </si>
  <si>
    <t>FBA19CJY2VB7</t>
  </si>
  <si>
    <t>U1-B_US</t>
  </si>
  <si>
    <t>FBA19C12J46C</t>
  </si>
  <si>
    <t>FBA19C53HQWX</t>
  </si>
  <si>
    <t>FBA19C12XM4V</t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</si>
  <si>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 xml:space="preserve">FBA19C12XM4V </t>
    </r>
    <r>
      <rPr>
        <sz val="10"/>
        <color theme="1"/>
        <rFont val="微软雅黑"/>
        <family val="2"/>
        <charset val="134"/>
      </rPr>
      <t>合并报关</t>
    </r>
  </si>
  <si>
    <t>FBA19CVZRY66</t>
  </si>
  <si>
    <t>W19010</t>
  </si>
  <si>
    <t>FBA19CVVZN2V</t>
  </si>
  <si>
    <t>W19005</t>
  </si>
  <si>
    <t>FBA19CVTGBRQ</t>
  </si>
  <si>
    <t>FBA19CVTVQS7</t>
  </si>
  <si>
    <t>W19006</t>
  </si>
  <si>
    <t>FBA19CKXTVFC</t>
  </si>
  <si>
    <t>FBA19CJWGL14</t>
  </si>
  <si>
    <t>FBA15LQTG88C</t>
  </si>
  <si>
    <t>FBA19CSDPQT6</t>
  </si>
  <si>
    <t>W19007</t>
  </si>
  <si>
    <t>FBA19CSKJ9TY</t>
  </si>
  <si>
    <t>W19008</t>
  </si>
  <si>
    <t>FBA19CSMTF0M</t>
  </si>
  <si>
    <t>W19009</t>
  </si>
  <si>
    <t>FBA19CTYDDLS</t>
  </si>
  <si>
    <t>FBA19CKRNYM2</t>
  </si>
  <si>
    <t>W19004</t>
  </si>
  <si>
    <t>FBA19CS2J6FM</t>
  </si>
  <si>
    <t>YOW1</t>
  </si>
  <si>
    <r>
      <rPr>
        <sz val="10"/>
        <color theme="1"/>
        <rFont val="微软雅黑"/>
        <family val="2"/>
        <charset val="134"/>
      </rPr>
      <t>京弈达</t>
    </r>
  </si>
  <si>
    <t>FBA19CYBYB8S</t>
  </si>
  <si>
    <t>FBA19D0H6V9R</t>
  </si>
  <si>
    <t>FBA15LQTBB8F</t>
  </si>
  <si>
    <t>FBA15LQT5NPH</t>
  </si>
  <si>
    <t>FBA19CY3S27T</t>
  </si>
  <si>
    <t>FBA19CY3DWCX</t>
  </si>
  <si>
    <t>FBA19D0YVFRX</t>
  </si>
  <si>
    <t>FBA19D384MDF</t>
  </si>
  <si>
    <t>FBA19D4HMDZM</t>
  </si>
  <si>
    <t>FBA19CXM6Z07</t>
  </si>
  <si>
    <t>U1KIT-BG_US_2X50K01_TZ</t>
  </si>
  <si>
    <t>FBA19CXL7FRP</t>
  </si>
  <si>
    <t>U1-BG_US</t>
  </si>
  <si>
    <t>FBA19D2J6WFH</t>
  </si>
  <si>
    <t>HOTEL6KIT1-6X10K03_TZ</t>
  </si>
  <si>
    <t>FBA19D0HJ1ZW</t>
  </si>
  <si>
    <t>FBA19D4B6M9C</t>
  </si>
  <si>
    <t>W20009</t>
  </si>
  <si>
    <t>FBA19D93KMHJ</t>
  </si>
  <si>
    <t>FBA19D94S4L0</t>
  </si>
  <si>
    <t>W20010</t>
  </si>
  <si>
    <t>FBA19DCNSFXR</t>
  </si>
  <si>
    <t>W20011</t>
  </si>
  <si>
    <t>FBA19DCQDFHJ</t>
  </si>
  <si>
    <t>SAT4</t>
  </si>
  <si>
    <t>W20012</t>
  </si>
  <si>
    <t>FBA19DCSC490</t>
  </si>
  <si>
    <t>W20013</t>
  </si>
  <si>
    <t>FBA19DCRKGGZ</t>
  </si>
  <si>
    <t>W20014</t>
  </si>
  <si>
    <t>FBA19DCSKYDJ</t>
  </si>
  <si>
    <t>400+100.83</t>
    <phoneticPr fontId="13" type="noConversion"/>
  </si>
  <si>
    <r>
      <rPr>
        <sz val="10"/>
        <color theme="1"/>
        <rFont val="微软雅黑"/>
        <family val="2"/>
        <charset val="134"/>
      </rPr>
      <t>不上门提货，需要自行安排车送货到货代仓库，</t>
    </r>
    <r>
      <rPr>
        <sz val="10"/>
        <color theme="1"/>
        <rFont val="Aptos"/>
        <family val="2"/>
      </rPr>
      <t>100.83</t>
    </r>
    <r>
      <rPr>
        <sz val="10"/>
        <color theme="1"/>
        <rFont val="微软雅黑"/>
        <family val="2"/>
        <charset val="134"/>
      </rPr>
      <t>为自行安排车送货的运费</t>
    </r>
    <phoneticPr fontId="13" type="noConversion"/>
  </si>
  <si>
    <r>
      <rPr>
        <sz val="10"/>
        <color theme="1"/>
        <rFont val="微软雅黑"/>
        <family val="2"/>
        <charset val="134"/>
      </rPr>
      <t>跟</t>
    </r>
    <r>
      <rPr>
        <sz val="10"/>
        <color theme="1"/>
        <rFont val="Aptos"/>
        <family val="2"/>
      </rPr>
      <t>FBA19D0H6V9R</t>
    </r>
    <r>
      <rPr>
        <sz val="10"/>
        <color theme="1"/>
        <rFont val="微软雅黑"/>
        <family val="2"/>
        <charset val="134"/>
      </rPr>
      <t>合并报关</t>
    </r>
  </si>
  <si>
    <t>W21006</t>
  </si>
  <si>
    <t>FBA19DCDFPP1</t>
  </si>
  <si>
    <t>W21007</t>
  </si>
  <si>
    <t>FBA19CYJ3DZ0</t>
  </si>
  <si>
    <t>FBA19DBKJ7ZY</t>
  </si>
  <si>
    <t>W21008</t>
  </si>
  <si>
    <t>FBA19DCLY68K</t>
  </si>
  <si>
    <t>FBA19DCNNMVR</t>
  </si>
  <si>
    <t>FBA19DHFYLGN</t>
  </si>
  <si>
    <t>FBA19DHCQZSK</t>
  </si>
  <si>
    <t>FBA19DC9Y40J</t>
  </si>
  <si>
    <t>FBA19DHFYR3J</t>
  </si>
  <si>
    <t>FBA15LRDVZJC</t>
  </si>
  <si>
    <t>FBA19DBRV3ML</t>
  </si>
  <si>
    <t>FBA19DBWHMS4</t>
  </si>
  <si>
    <t>FBA19DCGXCHB</t>
  </si>
  <si>
    <t>FBA19D747B01</t>
  </si>
  <si>
    <t>FBA15LSK9KTJ</t>
  </si>
  <si>
    <t>003000015</t>
  </si>
  <si>
    <t>FBA15LTKZKLC</t>
  </si>
  <si>
    <r>
      <rPr>
        <sz val="10"/>
        <color theme="4" tint="-0.249977111117893"/>
        <rFont val="微软雅黑"/>
        <family val="2"/>
        <charset val="134"/>
      </rPr>
      <t>预估运费</t>
    </r>
  </si>
  <si>
    <r>
      <rPr>
        <sz val="10"/>
        <color theme="1"/>
        <rFont val="微软雅黑"/>
        <family val="2"/>
        <charset val="134"/>
      </rPr>
      <t>续页费</t>
    </r>
    <r>
      <rPr>
        <sz val="10"/>
        <color theme="1"/>
        <rFont val="Aptos"/>
        <family val="2"/>
      </rPr>
      <t>50</t>
    </r>
    <phoneticPr fontId="13" type="noConversion"/>
  </si>
  <si>
    <t>W22005</t>
  </si>
  <si>
    <t>FBA19F6GKFQ6</t>
  </si>
  <si>
    <t>FBA19DX4J71R</t>
  </si>
  <si>
    <t>W22004</t>
  </si>
  <si>
    <t>FBA19DX51Y1T</t>
  </si>
  <si>
    <t>W22003</t>
  </si>
  <si>
    <t>FBA19DZ91P1W</t>
  </si>
  <si>
    <t>FBA19DZB5TF6</t>
  </si>
  <si>
    <t>FBA19DZDJ9ZD</t>
  </si>
  <si>
    <t>FBA19F1CKNMZ</t>
  </si>
  <si>
    <t>FBA19DPVDG0V</t>
  </si>
  <si>
    <t>FBA19DZ6Y1S9</t>
  </si>
  <si>
    <t>FBA19DVRJ4T5</t>
  </si>
  <si>
    <t>RDXPJ-BOT</t>
  </si>
  <si>
    <t>W23011</t>
  </si>
  <si>
    <t>FBA19F4M4RD6</t>
  </si>
  <si>
    <t>FBA19F4KJ9DZ</t>
  </si>
  <si>
    <t>FBA15LTQTFQ1</t>
  </si>
  <si>
    <t>W23005</t>
  </si>
  <si>
    <t>FBA19F46GJLZ</t>
  </si>
  <si>
    <t>K-CA</t>
  </si>
  <si>
    <t>W23012</t>
  </si>
  <si>
    <t>FBA19F4LL08N</t>
  </si>
  <si>
    <t>FBA19F4J942R</t>
  </si>
  <si>
    <t>W23004</t>
  </si>
  <si>
    <t>FBA15LVJ20F1</t>
  </si>
  <si>
    <t>FBA15GC5P5Z1</t>
  </si>
  <si>
    <t>XSY2</t>
  </si>
  <si>
    <t>FBA19FBGSKKJ</t>
  </si>
  <si>
    <t>W23006</t>
  </si>
  <si>
    <t>FBA19FF0MFN3</t>
  </si>
  <si>
    <t>FBA15LVHR86N</t>
  </si>
  <si>
    <t>FBA15LRLM5FN</t>
  </si>
  <si>
    <t>W23008</t>
  </si>
  <si>
    <t>FBA19F4L4GBL</t>
  </si>
  <si>
    <t>W23007</t>
  </si>
  <si>
    <t>FBA19F4CS4GC</t>
  </si>
  <si>
    <t>FBA19F4F3XKR</t>
  </si>
  <si>
    <t>FBA19FCRN9Z5</t>
  </si>
  <si>
    <t>W23009</t>
  </si>
  <si>
    <t>FBA19FDYM0XZ</t>
  </si>
  <si>
    <t>FBA19FF0RZTW</t>
  </si>
  <si>
    <t>FBA19FDYT4WC</t>
  </si>
  <si>
    <t>W23013</t>
  </si>
  <si>
    <t>FBA19FF07F7L</t>
  </si>
  <si>
    <t>W23010</t>
  </si>
  <si>
    <t>FBA19FCWZXLS</t>
  </si>
  <si>
    <r>
      <rPr>
        <sz val="10"/>
        <color theme="1"/>
        <rFont val="微软雅黑"/>
        <family val="2"/>
        <charset val="134"/>
      </rPr>
      <t>旗云</t>
    </r>
  </si>
  <si>
    <t>FBA198KBXJ4X</t>
    <phoneticPr fontId="13" type="noConversion"/>
  </si>
  <si>
    <t>FBA198KC8HBQ</t>
    <phoneticPr fontId="13" type="noConversion"/>
  </si>
  <si>
    <t>W24005</t>
  </si>
  <si>
    <t>FBA19FKG454G</t>
  </si>
  <si>
    <t>W24006</t>
  </si>
  <si>
    <t>FBA15LVTVJHZ</t>
  </si>
  <si>
    <t>W24007</t>
  </si>
  <si>
    <t>FBA15LW37NF8</t>
  </si>
  <si>
    <t>DXB6</t>
  </si>
  <si>
    <t>W24009</t>
  </si>
  <si>
    <t>FBA19FK42PG0</t>
  </si>
  <si>
    <t>W24011</t>
  </si>
  <si>
    <t>FBA19FKPN62D</t>
  </si>
  <si>
    <t>W24008</t>
  </si>
  <si>
    <t>FBA19FKPGCGP</t>
  </si>
  <si>
    <t>FBA19FKMFZC8</t>
  </si>
  <si>
    <t>W24012</t>
  </si>
  <si>
    <t>FBA19FLS58YS</t>
  </si>
  <si>
    <t>FBA19FKM69ZK</t>
  </si>
  <si>
    <t>FBA19FKP1YD8</t>
  </si>
  <si>
    <t>W24010</t>
  </si>
  <si>
    <t>FBA19FLSZ71L</t>
  </si>
  <si>
    <t>FBA19FX4LWX3</t>
  </si>
  <si>
    <t>W24013</t>
  </si>
  <si>
    <t>FBA19FVYP714</t>
  </si>
  <si>
    <t>FBA19FKLZ68M</t>
  </si>
  <si>
    <t>W24002</t>
  </si>
  <si>
    <t>FBA19FKLZWFR</t>
  </si>
  <si>
    <t>W24003</t>
  </si>
  <si>
    <t>FBA19FRFSK56</t>
  </si>
  <si>
    <t>W24004</t>
  </si>
  <si>
    <t>FBA19FBSKGK6</t>
  </si>
  <si>
    <r>
      <rPr>
        <sz val="10"/>
        <color theme="1"/>
        <rFont val="微软雅黑"/>
        <family val="2"/>
        <charset val="134"/>
      </rPr>
      <t>自送货沙特</t>
    </r>
    <r>
      <rPr>
        <sz val="10"/>
        <color theme="1"/>
        <rFont val="Aptos"/>
        <family val="2"/>
      </rPr>
      <t>+</t>
    </r>
    <r>
      <rPr>
        <sz val="10"/>
        <color theme="1"/>
        <rFont val="微软雅黑"/>
        <family val="2"/>
        <charset val="134"/>
      </rPr>
      <t>阿联酋共</t>
    </r>
    <r>
      <rPr>
        <sz val="10"/>
        <color theme="1"/>
        <rFont val="Aptos"/>
        <family val="2"/>
      </rPr>
      <t>26</t>
    </r>
    <r>
      <rPr>
        <sz val="10"/>
        <color theme="1"/>
        <rFont val="微软雅黑"/>
        <family val="2"/>
        <charset val="134"/>
      </rPr>
      <t>箱花费</t>
    </r>
    <r>
      <rPr>
        <sz val="10"/>
        <color theme="1"/>
        <rFont val="Aptos"/>
        <family val="2"/>
      </rPr>
      <t>88.84</t>
    </r>
    <r>
      <rPr>
        <sz val="10"/>
        <color theme="1"/>
        <rFont val="微软雅黑"/>
        <family val="2"/>
        <charset val="134"/>
      </rPr>
      <t>元</t>
    </r>
    <phoneticPr fontId="13" type="noConversion"/>
  </si>
  <si>
    <r>
      <rPr>
        <sz val="10"/>
        <color theme="1"/>
        <rFont val="微软雅黑"/>
        <family val="2"/>
        <charset val="134"/>
      </rPr>
      <t>按</t>
    </r>
    <r>
      <rPr>
        <sz val="10"/>
        <color theme="1"/>
        <rFont val="Aptos"/>
        <family val="2"/>
      </rPr>
      <t xml:space="preserve">0.5CBM </t>
    </r>
    <r>
      <rPr>
        <sz val="10"/>
        <color theme="1"/>
        <rFont val="微软雅黑"/>
        <family val="2"/>
        <charset val="134"/>
      </rPr>
      <t>起收</t>
    </r>
  </si>
  <si>
    <t>W25005</t>
  </si>
  <si>
    <t>FBA19FYYN3FG</t>
  </si>
  <si>
    <t>FBA19G1RZZM4</t>
  </si>
  <si>
    <t>FBA19FZ47Y4S</t>
  </si>
  <si>
    <t>FBA19G5WQ01D</t>
  </si>
  <si>
    <t>W25004</t>
  </si>
  <si>
    <t>FBA19G690J88</t>
  </si>
  <si>
    <t>FBA19FZ40R9D</t>
  </si>
  <si>
    <t>FBA19FYY4NKY</t>
  </si>
  <si>
    <t>FBA19G1QV4FP</t>
  </si>
  <si>
    <t>FBA19FZ34LHX</t>
  </si>
  <si>
    <t>FBA19FZ39DLV</t>
  </si>
  <si>
    <t>FBA15LVTVJHZ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</si>
</sst>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 * #,##0.00_ ;_ * \-#,##0.00_ ;_ * &quot;-&quot;??_ ;_ @_ "/>
    <numFmt numFmtId="176" formatCode="_(* #,##0.00_);_(* \(#,##0.00\);_(* &quot;-&quot;??_);_(@_)"/>
    <numFmt numFmtId="177" formatCode="0_);[Red]\(0\)"/>
    <numFmt numFmtId="178" formatCode="0.00_);[Red]\(0.00\)"/>
    <numFmt numFmtId="179" formatCode="_ * #,##0_ ;_ * \-#,##0_ ;_ * &quot;-&quot;??_ ;_ @_ "/>
    <numFmt numFmtId="180" formatCode="&quot;US$&quot;#,##0.00;\-&quot;US$&quot;#,##0.00"/>
    <numFmt numFmtId="181" formatCode="0.0_);[Red]\(0.0\)"/>
    <numFmt numFmtId="183" formatCode="\$#,##0.00;\-\$#,##0.00"/>
    <numFmt numFmtId="184" formatCode="0.00_ "/>
  </numFmts>
  <fonts count="2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Tw Cen MT"/>
      <family val="2"/>
    </font>
    <font>
      <sz val="10"/>
      <color theme="1"/>
      <name val="微软雅黑"/>
      <family val="2"/>
      <charset val="134"/>
    </font>
    <font>
      <b/>
      <sz val="10"/>
      <color theme="4" tint="-0.249977111117893"/>
      <name val="Tw Cen MT"/>
      <family val="2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1"/>
      <color indexed="8"/>
      <name val="宋体"/>
      <family val="3"/>
      <charset val="134"/>
      <scheme val="minor"/>
    </font>
    <font>
      <b/>
      <sz val="10"/>
      <color theme="4" tint="-0.249977111117893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0"/>
      <color theme="1"/>
      <name val="Aptos"/>
      <family val="2"/>
    </font>
    <font>
      <sz val="10"/>
      <color rgb="FFFF0000"/>
      <name val="Aptos"/>
      <family val="2"/>
    </font>
    <font>
      <sz val="10"/>
      <name val="Aptos"/>
      <family val="2"/>
    </font>
    <font>
      <b/>
      <sz val="10"/>
      <color theme="4" tint="-0.249977111117893"/>
      <name val="Aptos"/>
      <family val="2"/>
    </font>
    <font>
      <b/>
      <sz val="10"/>
      <color rgb="FFFF0000"/>
      <name val="Aptos"/>
      <family val="2"/>
    </font>
    <font>
      <sz val="11"/>
      <color indexed="8"/>
      <name val="宋体"/>
      <family val="2"/>
      <scheme val="minor"/>
    </font>
    <font>
      <sz val="10"/>
      <color theme="4" tint="-0.249977111117893"/>
      <name val="Aptos"/>
      <family val="2"/>
    </font>
    <font>
      <sz val="10"/>
      <color theme="4" tint="-0.249977111117893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584948271126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1">
    <xf numFmtId="0" fontId="0" fillId="0" borderId="0"/>
    <xf numFmtId="176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0" fontId="7" fillId="0" borderId="0"/>
    <xf numFmtId="0" fontId="6" fillId="0" borderId="0"/>
    <xf numFmtId="0" fontId="7" fillId="0" borderId="0"/>
    <xf numFmtId="0" fontId="4" fillId="0" borderId="0">
      <alignment vertical="center"/>
    </xf>
    <xf numFmtId="0" fontId="6" fillId="0" borderId="0"/>
    <xf numFmtId="0" fontId="8" fillId="0" borderId="0">
      <alignment vertical="center"/>
    </xf>
    <xf numFmtId="0" fontId="6" fillId="0" borderId="0"/>
    <xf numFmtId="0" fontId="6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6" fillId="0" borderId="0"/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0" fontId="6" fillId="0" borderId="0"/>
    <xf numFmtId="0" fontId="1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</cellStyleXfs>
  <cellXfs count="80">
    <xf numFmtId="0" fontId="0" fillId="0" borderId="0" xfId="0"/>
    <xf numFmtId="0" fontId="3" fillId="0" borderId="0" xfId="4" applyFont="1" applyAlignment="1">
      <alignment horizontal="center" vertical="center"/>
    </xf>
    <xf numFmtId="49" fontId="3" fillId="0" borderId="0" xfId="4" applyNumberFormat="1" applyFont="1" applyAlignment="1">
      <alignment horizontal="center" vertical="center"/>
    </xf>
    <xf numFmtId="178" fontId="3" fillId="0" borderId="0" xfId="4" applyNumberFormat="1" applyFont="1" applyAlignment="1">
      <alignment horizontal="center" vertical="center"/>
    </xf>
    <xf numFmtId="176" fontId="3" fillId="0" borderId="0" xfId="4" applyNumberFormat="1" applyFont="1" applyAlignment="1">
      <alignment horizontal="center" vertical="center"/>
    </xf>
    <xf numFmtId="177" fontId="3" fillId="0" borderId="0" xfId="4" applyNumberFormat="1" applyFont="1" applyAlignment="1">
      <alignment horizontal="center" vertical="center"/>
    </xf>
    <xf numFmtId="0" fontId="5" fillId="0" borderId="0" xfId="4" applyFont="1" applyAlignment="1">
      <alignment horizontal="center" vertical="center" wrapText="1"/>
    </xf>
    <xf numFmtId="49" fontId="3" fillId="0" borderId="0" xfId="4" applyNumberFormat="1" applyFont="1" applyAlignment="1">
      <alignment horizontal="left" vertical="center"/>
    </xf>
    <xf numFmtId="14" fontId="3" fillId="0" borderId="0" xfId="4" applyNumberFormat="1" applyFont="1" applyAlignment="1">
      <alignment horizontal="center" vertical="center"/>
    </xf>
    <xf numFmtId="176" fontId="3" fillId="0" borderId="0" xfId="1" applyFont="1" applyFill="1" applyBorder="1" applyAlignment="1">
      <alignment horizontal="center" vertical="center"/>
    </xf>
    <xf numFmtId="0" fontId="3" fillId="4" borderId="0" xfId="4" applyFont="1" applyFill="1" applyAlignment="1">
      <alignment horizontal="left" vertical="center"/>
    </xf>
    <xf numFmtId="0" fontId="3" fillId="4" borderId="0" xfId="4" applyFont="1" applyFill="1" applyAlignment="1">
      <alignment horizontal="center" vertical="center"/>
    </xf>
    <xf numFmtId="178" fontId="3" fillId="4" borderId="0" xfId="4" applyNumberFormat="1" applyFont="1" applyFill="1" applyAlignment="1">
      <alignment horizontal="center" vertical="center"/>
    </xf>
    <xf numFmtId="0" fontId="3" fillId="0" borderId="0" xfId="4" applyFont="1" applyAlignment="1">
      <alignment horizontal="center"/>
    </xf>
    <xf numFmtId="0" fontId="3" fillId="4" borderId="0" xfId="4" applyFont="1" applyFill="1" applyAlignment="1">
      <alignment horizontal="center"/>
    </xf>
    <xf numFmtId="176" fontId="3" fillId="4" borderId="0" xfId="1" applyFont="1" applyFill="1" applyBorder="1" applyAlignment="1">
      <alignment horizontal="center"/>
    </xf>
    <xf numFmtId="49" fontId="16" fillId="0" borderId="0" xfId="4" applyNumberFormat="1" applyFont="1" applyAlignment="1">
      <alignment horizontal="left" vertical="center"/>
    </xf>
    <xf numFmtId="0" fontId="19" fillId="3" borderId="0" xfId="4" applyFont="1" applyFill="1" applyAlignment="1">
      <alignment horizontal="center" vertical="center" wrapText="1"/>
    </xf>
    <xf numFmtId="49" fontId="19" fillId="3" borderId="0" xfId="4" applyNumberFormat="1" applyFont="1" applyFill="1" applyAlignment="1">
      <alignment horizontal="center" vertical="center" wrapText="1"/>
    </xf>
    <xf numFmtId="20" fontId="20" fillId="4" borderId="0" xfId="4" applyNumberFormat="1" applyFont="1" applyFill="1" applyAlignment="1">
      <alignment horizontal="left" vertical="center" wrapText="1"/>
    </xf>
    <xf numFmtId="0" fontId="20" fillId="4" borderId="0" xfId="4" applyFont="1" applyFill="1" applyAlignment="1">
      <alignment horizontal="center" vertical="center" wrapText="1"/>
    </xf>
    <xf numFmtId="177" fontId="19" fillId="3" borderId="0" xfId="4" applyNumberFormat="1" applyFont="1" applyFill="1" applyAlignment="1">
      <alignment horizontal="center" vertical="center" wrapText="1"/>
    </xf>
    <xf numFmtId="176" fontId="20" fillId="4" borderId="0" xfId="1" applyFont="1" applyFill="1" applyBorder="1" applyAlignment="1">
      <alignment horizontal="center" vertical="center" wrapText="1"/>
    </xf>
    <xf numFmtId="176" fontId="19" fillId="0" borderId="0" xfId="1" applyFont="1" applyFill="1" applyBorder="1" applyAlignment="1">
      <alignment horizontal="center" vertical="center" wrapText="1"/>
    </xf>
    <xf numFmtId="179" fontId="19" fillId="0" borderId="0" xfId="1" applyNumberFormat="1" applyFont="1" applyFill="1" applyBorder="1" applyAlignment="1">
      <alignment horizontal="center" vertical="center" wrapText="1"/>
    </xf>
    <xf numFmtId="180" fontId="19" fillId="0" borderId="0" xfId="1" applyNumberFormat="1" applyFont="1" applyFill="1" applyBorder="1" applyAlignment="1">
      <alignment horizontal="center" vertical="center" wrapText="1"/>
    </xf>
    <xf numFmtId="14" fontId="19" fillId="0" borderId="0" xfId="4" applyNumberFormat="1" applyFont="1" applyAlignment="1">
      <alignment horizontal="center" vertical="center" wrapText="1"/>
    </xf>
    <xf numFmtId="176" fontId="20" fillId="0" borderId="0" xfId="1" applyFont="1" applyFill="1" applyBorder="1" applyAlignment="1">
      <alignment horizontal="center" vertical="center" wrapText="1"/>
    </xf>
    <xf numFmtId="14" fontId="20" fillId="0" borderId="0" xfId="4" applyNumberFormat="1" applyFont="1" applyAlignment="1">
      <alignment horizontal="center" vertical="center" wrapText="1"/>
    </xf>
    <xf numFmtId="0" fontId="19" fillId="0" borderId="0" xfId="4" applyFont="1" applyAlignment="1">
      <alignment horizontal="center" vertical="center" wrapText="1"/>
    </xf>
    <xf numFmtId="177" fontId="19" fillId="0" borderId="0" xfId="4" applyNumberFormat="1" applyFont="1" applyAlignment="1">
      <alignment horizontal="center" vertical="center" wrapText="1"/>
    </xf>
    <xf numFmtId="49" fontId="19" fillId="0" borderId="0" xfId="4" applyNumberFormat="1" applyFont="1" applyAlignment="1">
      <alignment horizontal="center" vertical="center" wrapText="1"/>
    </xf>
    <xf numFmtId="178" fontId="19" fillId="0" borderId="0" xfId="4" applyNumberFormat="1" applyFont="1" applyAlignment="1">
      <alignment horizontal="center" vertical="center" wrapText="1"/>
    </xf>
    <xf numFmtId="0" fontId="18" fillId="0" borderId="0" xfId="4" applyFont="1" applyAlignment="1">
      <alignment horizontal="center" vertical="center"/>
    </xf>
    <xf numFmtId="0" fontId="16" fillId="0" borderId="0" xfId="4" applyFont="1" applyAlignment="1">
      <alignment horizontal="center" vertical="center"/>
    </xf>
    <xf numFmtId="49" fontId="16" fillId="0" borderId="0" xfId="4" applyNumberFormat="1" applyFont="1" applyAlignment="1">
      <alignment horizontal="center" vertical="center"/>
    </xf>
    <xf numFmtId="0" fontId="18" fillId="4" borderId="0" xfId="4" applyFont="1" applyFill="1" applyAlignment="1">
      <alignment horizontal="left" vertical="center"/>
    </xf>
    <xf numFmtId="0" fontId="16" fillId="4" borderId="0" xfId="4" applyFont="1" applyFill="1" applyAlignment="1">
      <alignment horizontal="left" vertical="center"/>
    </xf>
    <xf numFmtId="0" fontId="16" fillId="4" borderId="0" xfId="4" applyFont="1" applyFill="1" applyAlignment="1">
      <alignment horizontal="center" vertical="center"/>
    </xf>
    <xf numFmtId="177" fontId="16" fillId="0" borderId="0" xfId="4" applyNumberFormat="1" applyFont="1" applyAlignment="1">
      <alignment horizontal="center" vertical="center"/>
    </xf>
    <xf numFmtId="176" fontId="16" fillId="4" borderId="0" xfId="1" applyFont="1" applyFill="1" applyBorder="1" applyAlignment="1">
      <alignment horizontal="center" vertical="center"/>
    </xf>
    <xf numFmtId="176" fontId="18" fillId="0" borderId="0" xfId="4" applyNumberFormat="1" applyFont="1" applyAlignment="1">
      <alignment horizontal="center" vertical="center"/>
    </xf>
    <xf numFmtId="2" fontId="18" fillId="0" borderId="0" xfId="4" applyNumberFormat="1" applyFont="1" applyAlignment="1">
      <alignment horizontal="center" vertical="center"/>
    </xf>
    <xf numFmtId="183" fontId="18" fillId="0" borderId="0" xfId="4" applyNumberFormat="1" applyFont="1" applyAlignment="1">
      <alignment horizontal="center" vertical="center"/>
    </xf>
    <xf numFmtId="176" fontId="16" fillId="0" borderId="0" xfId="1" applyFont="1" applyFill="1" applyBorder="1" applyAlignment="1">
      <alignment horizontal="center" vertical="center"/>
    </xf>
    <xf numFmtId="14" fontId="16" fillId="0" borderId="0" xfId="4" applyNumberFormat="1" applyFont="1" applyAlignment="1">
      <alignment horizontal="center" vertical="center"/>
    </xf>
    <xf numFmtId="176" fontId="18" fillId="0" borderId="0" xfId="1" applyFont="1" applyFill="1" applyBorder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7" fillId="4" borderId="0" xfId="4" applyFont="1" applyFill="1" applyAlignment="1">
      <alignment horizontal="center" vertical="center"/>
    </xf>
    <xf numFmtId="0" fontId="16" fillId="2" borderId="0" xfId="4" applyFont="1" applyFill="1" applyAlignment="1">
      <alignment horizontal="center" vertical="center"/>
    </xf>
    <xf numFmtId="0" fontId="18" fillId="5" borderId="0" xfId="4" applyFont="1" applyFill="1" applyAlignment="1">
      <alignment horizontal="center" vertical="center"/>
    </xf>
    <xf numFmtId="0" fontId="16" fillId="5" borderId="0" xfId="4" applyFont="1" applyFill="1" applyAlignment="1">
      <alignment horizontal="center" vertical="center"/>
    </xf>
    <xf numFmtId="49" fontId="16" fillId="5" borderId="0" xfId="4" applyNumberFormat="1" applyFont="1" applyFill="1" applyAlignment="1">
      <alignment horizontal="center" vertical="center"/>
    </xf>
    <xf numFmtId="49" fontId="16" fillId="5" borderId="0" xfId="4" applyNumberFormat="1" applyFont="1" applyFill="1" applyAlignment="1">
      <alignment horizontal="left" vertical="center"/>
    </xf>
    <xf numFmtId="0" fontId="18" fillId="5" borderId="0" xfId="4" applyFont="1" applyFill="1" applyAlignment="1">
      <alignment horizontal="left" vertical="center"/>
    </xf>
    <xf numFmtId="0" fontId="16" fillId="5" borderId="0" xfId="4" applyFont="1" applyFill="1" applyAlignment="1">
      <alignment horizontal="left" vertical="center"/>
    </xf>
    <xf numFmtId="177" fontId="16" fillId="5" borderId="0" xfId="4" applyNumberFormat="1" applyFont="1" applyFill="1" applyAlignment="1">
      <alignment horizontal="center" vertical="center"/>
    </xf>
    <xf numFmtId="176" fontId="16" fillId="5" borderId="0" xfId="1" applyFont="1" applyFill="1" applyBorder="1" applyAlignment="1">
      <alignment horizontal="center" vertical="center"/>
    </xf>
    <xf numFmtId="176" fontId="18" fillId="5" borderId="0" xfId="4" applyNumberFormat="1" applyFont="1" applyFill="1" applyAlignment="1">
      <alignment horizontal="center" vertical="center"/>
    </xf>
    <xf numFmtId="2" fontId="18" fillId="5" borderId="0" xfId="4" applyNumberFormat="1" applyFont="1" applyFill="1" applyAlignment="1">
      <alignment horizontal="center" vertical="center"/>
    </xf>
    <xf numFmtId="183" fontId="18" fillId="5" borderId="0" xfId="4" applyNumberFormat="1" applyFont="1" applyFill="1" applyAlignment="1">
      <alignment horizontal="center" vertical="center"/>
    </xf>
    <xf numFmtId="14" fontId="16" fillId="5" borderId="0" xfId="4" applyNumberFormat="1" applyFont="1" applyFill="1" applyAlignment="1">
      <alignment horizontal="center" vertical="center"/>
    </xf>
    <xf numFmtId="176" fontId="18" fillId="5" borderId="0" xfId="1" applyFont="1" applyFill="1" applyBorder="1" applyAlignment="1">
      <alignment horizontal="center" vertical="center"/>
    </xf>
    <xf numFmtId="178" fontId="16" fillId="5" borderId="0" xfId="4" applyNumberFormat="1" applyFont="1" applyFill="1" applyAlignment="1">
      <alignment horizontal="center" vertical="center"/>
    </xf>
    <xf numFmtId="0" fontId="3" fillId="5" borderId="0" xfId="4" applyFont="1" applyFill="1" applyAlignment="1">
      <alignment horizontal="center" vertical="center"/>
    </xf>
    <xf numFmtId="0" fontId="17" fillId="5" borderId="0" xfId="4" applyFont="1" applyFill="1" applyAlignment="1">
      <alignment horizontal="center" vertical="center"/>
    </xf>
    <xf numFmtId="181" fontId="16" fillId="5" borderId="0" xfId="4" applyNumberFormat="1" applyFont="1" applyFill="1" applyAlignment="1">
      <alignment horizontal="center" vertical="center"/>
    </xf>
    <xf numFmtId="184" fontId="18" fillId="0" borderId="0" xfId="4" applyNumberFormat="1" applyFont="1" applyAlignment="1">
      <alignment horizontal="center" vertical="center"/>
    </xf>
    <xf numFmtId="176" fontId="16" fillId="5" borderId="0" xfId="4" applyNumberFormat="1" applyFont="1" applyFill="1" applyAlignment="1">
      <alignment horizontal="center" vertical="center"/>
    </xf>
    <xf numFmtId="2" fontId="16" fillId="5" borderId="0" xfId="4" applyNumberFormat="1" applyFont="1" applyFill="1" applyAlignment="1">
      <alignment horizontal="center" vertical="center"/>
    </xf>
    <xf numFmtId="183" fontId="16" fillId="5" borderId="0" xfId="4" applyNumberFormat="1" applyFont="1" applyFill="1" applyAlignment="1">
      <alignment horizontal="center" vertical="center"/>
    </xf>
    <xf numFmtId="0" fontId="16" fillId="0" borderId="0" xfId="4" applyFont="1" applyAlignment="1">
      <alignment horizontal="center" vertical="center" wrapText="1"/>
    </xf>
    <xf numFmtId="176" fontId="16" fillId="2" borderId="0" xfId="1" applyFont="1" applyFill="1" applyBorder="1" applyAlignment="1">
      <alignment horizontal="center" vertical="center"/>
    </xf>
    <xf numFmtId="0" fontId="17" fillId="2" borderId="0" xfId="4" applyFont="1" applyFill="1" applyAlignment="1">
      <alignment horizontal="center" vertical="center"/>
    </xf>
    <xf numFmtId="176" fontId="22" fillId="0" borderId="0" xfId="1" applyFont="1" applyFill="1" applyBorder="1" applyAlignment="1">
      <alignment horizontal="center" vertical="center" wrapText="1"/>
    </xf>
    <xf numFmtId="0" fontId="19" fillId="0" borderId="0" xfId="1" applyNumberFormat="1" applyFont="1" applyAlignment="1">
      <alignment horizontal="center" vertical="center" wrapText="1"/>
    </xf>
    <xf numFmtId="0" fontId="18" fillId="0" borderId="0" xfId="1" applyNumberFormat="1" applyFont="1" applyAlignment="1">
      <alignment horizontal="center" vertical="center"/>
    </xf>
    <xf numFmtId="0" fontId="3" fillId="0" borderId="0" xfId="1" applyNumberFormat="1" applyFont="1" applyAlignment="1">
      <alignment horizontal="center" vertical="center"/>
    </xf>
    <xf numFmtId="0" fontId="16" fillId="0" borderId="0" xfId="1" applyNumberFormat="1" applyFont="1" applyAlignment="1">
      <alignment horizontal="center" vertical="center"/>
    </xf>
    <xf numFmtId="178" fontId="18" fillId="0" borderId="0" xfId="4" applyNumberFormat="1" applyFont="1" applyAlignment="1">
      <alignment horizontal="center" vertical="center"/>
    </xf>
  </cellXfs>
  <cellStyles count="21">
    <cellStyle name="百分比 2" xfId="2" xr:uid="{00000000-0005-0000-0000-000031000000}"/>
    <cellStyle name="常规" xfId="0" builtinId="0"/>
    <cellStyle name="常规 10" xfId="13" xr:uid="{88DD2426-C903-458C-BA12-279253406981}"/>
    <cellStyle name="常规 11" xfId="16" xr:uid="{C1B1494C-F268-40C0-81FC-DEBBED42BF38}"/>
    <cellStyle name="常规 12" xfId="17" xr:uid="{0742A242-815D-462E-AD22-755F17FB2487}"/>
    <cellStyle name="常规 13" xfId="12" xr:uid="{D581C307-07F0-48A3-B092-F3412398FE81}"/>
    <cellStyle name="常规 13 2" xfId="18" xr:uid="{284F042E-1D2F-46A8-9727-3E86DF27D527}"/>
    <cellStyle name="常规 2" xfId="3" xr:uid="{00000000-0005-0000-0000-000032000000}"/>
    <cellStyle name="常规 3" xfId="4" xr:uid="{00000000-0005-0000-0000-000033000000}"/>
    <cellStyle name="常规 4" xfId="5" xr:uid="{00000000-0005-0000-0000-000034000000}"/>
    <cellStyle name="常规 5" xfId="6" xr:uid="{00000000-0005-0000-0000-000035000000}"/>
    <cellStyle name="常规 6" xfId="7" xr:uid="{00000000-0005-0000-0000-000036000000}"/>
    <cellStyle name="常规 7" xfId="8" xr:uid="{00000000-0005-0000-0000-000037000000}"/>
    <cellStyle name="常规 8" xfId="9" xr:uid="{00000000-0005-0000-0000-000038000000}"/>
    <cellStyle name="常规 9" xfId="10" xr:uid="{00000000-0005-0000-0000-000039000000}"/>
    <cellStyle name="千位分隔" xfId="1" builtinId="3"/>
    <cellStyle name="千位分隔 2" xfId="11" xr:uid="{00000000-0005-0000-0000-00003A000000}"/>
    <cellStyle name="千位分隔 2 2" xfId="15" xr:uid="{945217C2-B721-4C66-A540-C01C0FA2F3BA}"/>
    <cellStyle name="千位分隔 2 2 2" xfId="20" xr:uid="{17A2C7AE-B5F1-44E4-BDF4-95FE9DF64F31}"/>
    <cellStyle name="千位分隔 3" xfId="14" xr:uid="{56303C0F-6157-45B4-A0C2-2491D03EE812}"/>
    <cellStyle name="千位分隔 3 2" xfId="19" xr:uid="{7894C074-1D4A-424E-9B7F-BC54F8195FE1}"/>
  </cellStyles>
  <dxfs count="2"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  <name val="Tw Cen MT"/>
        <family val="2"/>
        <scheme val="none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1" defaultTableStyle="TableStyleMedium2" defaultPivotStyle="PivotStyleMedium9">
    <tableStyle name="SlicerStyleLight1 2" pivot="0" table="0" count="10" xr9:uid="{E0209980-45CA-4469-BAED-EAA3828F1022}">
      <tableStyleElement type="wholeTable" dxfId="1"/>
      <tableStyleElement type="headerRow" dxfId="0"/>
    </tableStyle>
  </tableStyles>
  <colors>
    <mruColors>
      <color rgb="FF000000"/>
      <color rgb="FFFF00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52391125217448"/>
              <bgColor theme="4" tint="0.79952391125217448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186764</xdr:rowOff>
    </xdr:from>
    <xdr:to>
      <xdr:col>1</xdr:col>
      <xdr:colOff>851646</xdr:colOff>
      <xdr:row>0</xdr:row>
      <xdr:rowOff>582705</xdr:rowOff>
    </xdr:to>
    <xdr:sp macro="[0]!从发货表拉取数据" textlink="">
      <xdr:nvSpPr>
        <xdr:cNvPr id="2" name="矩形: 圆角 1">
          <a:extLst>
            <a:ext uri="{FF2B5EF4-FFF2-40B4-BE49-F238E27FC236}">
              <a16:creationId xmlns:a16="http://schemas.microsoft.com/office/drawing/2014/main" id="{045E2D45-500B-0F1E-A3F4-BE8D925FDCD0}"/>
            </a:ext>
          </a:extLst>
        </xdr:cNvPr>
        <xdr:cNvSpPr/>
      </xdr:nvSpPr>
      <xdr:spPr>
        <a:xfrm>
          <a:off x="0" y="186764"/>
          <a:ext cx="1479175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从发货表拉取数据</a:t>
          </a:r>
        </a:p>
      </xdr:txBody>
    </xdr:sp>
    <xdr:clientData/>
  </xdr:twoCellAnchor>
  <xdr:twoCellAnchor>
    <xdr:from>
      <xdr:col>15</xdr:col>
      <xdr:colOff>98611</xdr:colOff>
      <xdr:row>0</xdr:row>
      <xdr:rowOff>179294</xdr:rowOff>
    </xdr:from>
    <xdr:to>
      <xdr:col>15</xdr:col>
      <xdr:colOff>941293</xdr:colOff>
      <xdr:row>0</xdr:row>
      <xdr:rowOff>575235</xdr:rowOff>
    </xdr:to>
    <xdr:sp macro="[0]!检查CBM计费重与重量汇总" textlink="">
      <xdr:nvSpPr>
        <xdr:cNvPr id="4" name="矩形: 圆角 3">
          <a:extLst>
            <a:ext uri="{FF2B5EF4-FFF2-40B4-BE49-F238E27FC236}">
              <a16:creationId xmlns:a16="http://schemas.microsoft.com/office/drawing/2014/main" id="{0ED2DF76-03D5-42AD-9CAB-B015A3DFA190}"/>
            </a:ext>
          </a:extLst>
        </xdr:cNvPr>
        <xdr:cNvSpPr/>
      </xdr:nvSpPr>
      <xdr:spPr>
        <a:xfrm>
          <a:off x="13473952" y="179294"/>
          <a:ext cx="842682" cy="395941"/>
        </a:xfrm>
        <a:prstGeom prst="roundRect">
          <a:avLst/>
        </a:prstGeom>
        <a:solidFill>
          <a:schemeClr val="bg1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异常检查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49BB-D6F2-4781-88DB-6A8325395F46}">
  <sheetPr codeName="Sheet35">
    <tabColor theme="8" tint="-0.249977111117893"/>
  </sheetPr>
  <dimension ref="A1:AS811"/>
  <sheetViews>
    <sheetView tabSelected="1" zoomScale="92" zoomScaleNormal="92" workbookViewId="0">
      <pane xSplit="10" ySplit="1" topLeftCell="W578" activePane="bottomRight" state="frozen"/>
      <selection activeCell="I26" sqref="I26"/>
      <selection pane="topRight" activeCell="I26" sqref="I26"/>
      <selection pane="bottomLeft" activeCell="I26" sqref="I26"/>
      <selection pane="bottomRight" activeCell="F584" sqref="F584"/>
    </sheetView>
  </sheetViews>
  <sheetFormatPr defaultColWidth="9" defaultRowHeight="12" customHeight="1" outlineLevelCol="3" x14ac:dyDescent="0.3"/>
  <cols>
    <col min="1" max="1" width="9" style="1" customWidth="1"/>
    <col min="2" max="2" width="12.81640625" style="1" customWidth="1"/>
    <col min="3" max="3" width="10.54296875" style="1" customWidth="1"/>
    <col min="4" max="4" width="14.81640625" style="2" customWidth="1"/>
    <col min="5" max="5" width="6.453125" style="1" customWidth="1" outlineLevel="1"/>
    <col min="6" max="6" width="9" style="1" customWidth="1" outlineLevel="1"/>
    <col min="7" max="7" width="16.08984375" style="7" customWidth="1" outlineLevel="1"/>
    <col min="8" max="8" width="8.54296875" style="1" customWidth="1"/>
    <col min="9" max="9" width="9.81640625" style="1" customWidth="1"/>
    <col min="10" max="10" width="11.1796875" style="1" customWidth="1"/>
    <col min="11" max="11" width="13.54296875" style="2" customWidth="1"/>
    <col min="12" max="12" width="16.1796875" style="10" customWidth="1"/>
    <col min="13" max="13" width="38.81640625" style="11" customWidth="1" outlineLevel="1"/>
    <col min="14" max="14" width="14.08984375" style="11" customWidth="1" outlineLevel="1"/>
    <col min="15" max="15" width="9" style="5" customWidth="1" outlineLevel="2"/>
    <col min="16" max="16" width="14.54296875" style="12" customWidth="1" outlineLevel="2"/>
    <col min="17" max="17" width="9" style="5" customWidth="1" outlineLevel="1"/>
    <col min="18" max="18" width="9.54296875" style="13" customWidth="1" outlineLevel="3"/>
    <col min="19" max="19" width="7.54296875" style="14" customWidth="1" outlineLevel="3"/>
    <col min="20" max="20" width="9.54296875" style="15" customWidth="1" outlineLevel="3"/>
    <col min="21" max="21" width="11.08984375" style="4" customWidth="1" outlineLevel="3"/>
    <col min="22" max="22" width="12.453125" style="1" customWidth="1" outlineLevel="3"/>
    <col min="23" max="23" width="8" style="1" customWidth="1" outlineLevel="3"/>
    <col min="24" max="24" width="14.453125" style="14" customWidth="1" outlineLevel="3"/>
    <col min="25" max="25" width="9.54296875" style="14" customWidth="1" outlineLevel="3"/>
    <col min="26" max="26" width="12.1796875" style="9" customWidth="1" outlineLevel="3"/>
    <col min="27" max="27" width="13.81640625" style="8" customWidth="1"/>
    <col min="28" max="29" width="13.453125" style="8" customWidth="1"/>
    <col min="30" max="30" width="15.54296875" style="9" hidden="1" customWidth="1" outlineLevel="2"/>
    <col min="31" max="31" width="19.36328125" style="9" hidden="1" customWidth="1" outlineLevel="2"/>
    <col min="32" max="32" width="13.81640625" style="8" customWidth="1" outlineLevel="1" collapsed="1"/>
    <col min="33" max="33" width="16.08984375" style="77" customWidth="1" outlineLevel="1"/>
    <col min="34" max="34" width="19.36328125" style="8" customWidth="1" outlineLevel="1"/>
    <col min="35" max="37" width="19.36328125" style="5" customWidth="1" outlineLevel="1"/>
    <col min="38" max="38" width="19.36328125" style="2" customWidth="1" outlineLevel="1"/>
    <col min="39" max="40" width="19.36328125" style="1" customWidth="1" outlineLevel="1"/>
    <col min="41" max="41" width="15" style="5" customWidth="1"/>
    <col min="42" max="42" width="17" style="3" customWidth="1"/>
    <col min="43" max="43" width="13.08984375" style="3" customWidth="1"/>
    <col min="44" max="44" width="14.81640625" style="3" customWidth="1"/>
    <col min="45" max="45" width="13.08984375" style="3" customWidth="1"/>
    <col min="46" max="16384" width="9" style="1"/>
  </cols>
  <sheetData>
    <row r="1" spans="1:45" s="6" customFormat="1" ht="47.5" customHeight="1" x14ac:dyDescent="0.25">
      <c r="A1" s="29" t="s">
        <v>23</v>
      </c>
      <c r="B1" s="29" t="s">
        <v>24</v>
      </c>
      <c r="C1" s="17" t="s">
        <v>25</v>
      </c>
      <c r="D1" s="18" t="s">
        <v>26</v>
      </c>
      <c r="E1" s="17" t="s">
        <v>27</v>
      </c>
      <c r="F1" s="17" t="s">
        <v>28</v>
      </c>
      <c r="G1" s="18" t="s">
        <v>29</v>
      </c>
      <c r="H1" s="17" t="s">
        <v>30</v>
      </c>
      <c r="I1" s="17" t="s">
        <v>31</v>
      </c>
      <c r="J1" s="17" t="s">
        <v>32</v>
      </c>
      <c r="K1" s="18" t="s">
        <v>33</v>
      </c>
      <c r="L1" s="19" t="s">
        <v>421</v>
      </c>
      <c r="M1" s="20" t="s">
        <v>422</v>
      </c>
      <c r="N1" s="20" t="s">
        <v>423</v>
      </c>
      <c r="O1" s="21" t="s">
        <v>34</v>
      </c>
      <c r="P1" s="20" t="s">
        <v>35</v>
      </c>
      <c r="Q1" s="17" t="s">
        <v>36</v>
      </c>
      <c r="R1" s="17" t="s">
        <v>37</v>
      </c>
      <c r="S1" s="20" t="s">
        <v>507</v>
      </c>
      <c r="T1" s="22" t="s">
        <v>508</v>
      </c>
      <c r="U1" s="74" t="s">
        <v>760</v>
      </c>
      <c r="V1" s="24" t="s">
        <v>38</v>
      </c>
      <c r="W1" s="25" t="s">
        <v>39</v>
      </c>
      <c r="X1" s="20" t="s">
        <v>424</v>
      </c>
      <c r="Y1" s="20" t="s">
        <v>40</v>
      </c>
      <c r="Z1" s="23" t="s">
        <v>41</v>
      </c>
      <c r="AA1" s="26" t="s">
        <v>42</v>
      </c>
      <c r="AB1" s="26" t="s">
        <v>43</v>
      </c>
      <c r="AC1" s="26" t="s">
        <v>44</v>
      </c>
      <c r="AD1" s="27" t="s">
        <v>425</v>
      </c>
      <c r="AE1" s="27" t="s">
        <v>426</v>
      </c>
      <c r="AF1" s="28" t="s">
        <v>45</v>
      </c>
      <c r="AG1" s="75" t="s">
        <v>427</v>
      </c>
      <c r="AH1" s="28" t="s">
        <v>318</v>
      </c>
      <c r="AI1" s="28" t="s">
        <v>319</v>
      </c>
      <c r="AJ1" s="30" t="s">
        <v>46</v>
      </c>
      <c r="AK1" s="30" t="s">
        <v>47</v>
      </c>
      <c r="AL1" s="31" t="s">
        <v>48</v>
      </c>
      <c r="AM1" s="29" t="s">
        <v>49</v>
      </c>
      <c r="AN1" s="29" t="s">
        <v>50</v>
      </c>
      <c r="AO1" s="30"/>
      <c r="AP1" s="32"/>
      <c r="AQ1" s="32"/>
      <c r="AR1" s="32"/>
      <c r="AS1" s="32"/>
    </row>
    <row r="2" spans="1:45" s="64" customFormat="1" ht="12" customHeight="1" x14ac:dyDescent="0.25">
      <c r="A2" s="50">
        <v>1</v>
      </c>
      <c r="B2" s="51"/>
      <c r="C2" s="51" t="s">
        <v>303</v>
      </c>
      <c r="D2" s="52" t="s">
        <v>295</v>
      </c>
      <c r="E2" s="51" t="s">
        <v>61</v>
      </c>
      <c r="F2" s="51" t="s">
        <v>0</v>
      </c>
      <c r="G2" s="53" t="s">
        <v>242</v>
      </c>
      <c r="H2" s="51">
        <v>1000</v>
      </c>
      <c r="I2" s="51" t="s">
        <v>66</v>
      </c>
      <c r="J2" s="51" t="s">
        <v>3</v>
      </c>
      <c r="K2" s="52" t="s">
        <v>9</v>
      </c>
      <c r="L2" s="54" t="e">
        <f>VLOOKUP(G2,#REF!,4,0)</f>
        <v>#REF!</v>
      </c>
      <c r="M2" s="55" t="e">
        <f>_xlfn.IFNA(VLOOKUP(G2,#REF!,2,0),"")</f>
        <v>#REF!</v>
      </c>
      <c r="N2" s="51" t="e">
        <f>_xlfn.IFNA(VLOOKUP(G2,#REF!,3,0),"")</f>
        <v>#REF!</v>
      </c>
      <c r="O2" s="56">
        <v>25</v>
      </c>
      <c r="P2" s="67">
        <v>326.95999999999998</v>
      </c>
      <c r="Q2" s="56" t="s">
        <v>10</v>
      </c>
      <c r="R2" s="51">
        <v>3.5</v>
      </c>
      <c r="S2" s="51"/>
      <c r="T2" s="57"/>
      <c r="U2" s="58">
        <f t="shared" ref="U2:U30" si="0">R2*P2+T2</f>
        <v>1144.3599999999999</v>
      </c>
      <c r="V2" s="59">
        <f t="shared" ref="V2:V65" si="1">U2/H2</f>
        <v>1.1443599999999998</v>
      </c>
      <c r="W2" s="60">
        <f>V2/6.7</f>
        <v>0.17079999999999998</v>
      </c>
      <c r="X2" s="51"/>
      <c r="Y2" s="51"/>
      <c r="Z2" s="57"/>
      <c r="AA2" s="61">
        <v>46031</v>
      </c>
      <c r="AB2" s="61">
        <v>46054</v>
      </c>
      <c r="AC2" s="61"/>
      <c r="AD2" s="62" t="e">
        <f>IF(ISNA(VLOOKUP(D2,#REF!,5,0)),0,VLOOKUP(D2,#REF!,5,0))</f>
        <v>#REF!</v>
      </c>
      <c r="AE2" s="62" t="e">
        <f t="shared" ref="AE2:AE65" si="2">AD2*H2</f>
        <v>#REF!</v>
      </c>
      <c r="AF2" s="61">
        <v>46064</v>
      </c>
      <c r="AG2" s="50">
        <f t="shared" ref="AG2:AG65" si="3">AF2-AA2</f>
        <v>33</v>
      </c>
      <c r="AH2" s="61">
        <v>46100</v>
      </c>
      <c r="AI2" s="56">
        <v>997</v>
      </c>
      <c r="AJ2" s="56">
        <f>AH2-AF2</f>
        <v>36</v>
      </c>
      <c r="AK2" s="56"/>
      <c r="AL2" s="52"/>
      <c r="AM2" s="51"/>
      <c r="AN2" s="51"/>
      <c r="AO2" s="56"/>
      <c r="AP2" s="63"/>
      <c r="AQ2" s="63"/>
      <c r="AR2" s="63"/>
      <c r="AS2" s="63"/>
    </row>
    <row r="3" spans="1:45" s="64" customFormat="1" ht="12" customHeight="1" x14ac:dyDescent="0.25">
      <c r="A3" s="50">
        <v>2</v>
      </c>
      <c r="B3" s="51"/>
      <c r="C3" s="51" t="s">
        <v>303</v>
      </c>
      <c r="D3" s="52" t="s">
        <v>296</v>
      </c>
      <c r="E3" s="51" t="s">
        <v>61</v>
      </c>
      <c r="F3" s="51" t="s">
        <v>0</v>
      </c>
      <c r="G3" s="53" t="s">
        <v>68</v>
      </c>
      <c r="H3" s="51">
        <v>210</v>
      </c>
      <c r="I3" s="51" t="s">
        <v>66</v>
      </c>
      <c r="J3" s="51" t="s">
        <v>3</v>
      </c>
      <c r="K3" s="52" t="s">
        <v>9</v>
      </c>
      <c r="L3" s="54" t="e">
        <f>VLOOKUP(G3,#REF!,4,0)</f>
        <v>#REF!</v>
      </c>
      <c r="M3" s="55" t="e">
        <f>_xlfn.IFNA(VLOOKUP(G3,#REF!,2,0),"")</f>
        <v>#REF!</v>
      </c>
      <c r="N3" s="51" t="e">
        <f>_xlfn.IFNA(VLOOKUP(G3,#REF!,3,0),"")</f>
        <v>#REF!</v>
      </c>
      <c r="O3" s="56">
        <v>7</v>
      </c>
      <c r="P3" s="67">
        <v>91.549230769230775</v>
      </c>
      <c r="Q3" s="56" t="s">
        <v>10</v>
      </c>
      <c r="R3" s="51">
        <v>3.5</v>
      </c>
      <c r="S3" s="51"/>
      <c r="T3" s="57"/>
      <c r="U3" s="58">
        <f t="shared" si="0"/>
        <v>320.4223076923077</v>
      </c>
      <c r="V3" s="59">
        <f t="shared" si="1"/>
        <v>1.5258205128205129</v>
      </c>
      <c r="W3" s="60">
        <f t="shared" ref="W3:W66" si="4">V3/6.7</f>
        <v>0.22773440489858401</v>
      </c>
      <c r="X3" s="51"/>
      <c r="Y3" s="51"/>
      <c r="Z3" s="57"/>
      <c r="AA3" s="61">
        <v>46031</v>
      </c>
      <c r="AB3" s="61">
        <v>46054</v>
      </c>
      <c r="AC3" s="61"/>
      <c r="AD3" s="62" t="e">
        <f>IF(ISNA(VLOOKUP(D3,#REF!,5,0)),0,VLOOKUP(D3,#REF!,5,0))</f>
        <v>#REF!</v>
      </c>
      <c r="AE3" s="62" t="e">
        <f t="shared" si="2"/>
        <v>#REF!</v>
      </c>
      <c r="AF3" s="61">
        <v>46064</v>
      </c>
      <c r="AG3" s="50">
        <f t="shared" si="3"/>
        <v>33</v>
      </c>
      <c r="AH3" s="61">
        <v>46099</v>
      </c>
      <c r="AI3" s="56">
        <v>208</v>
      </c>
      <c r="AJ3" s="56">
        <f t="shared" ref="AJ3:AJ66" si="5">AH3-AF3</f>
        <v>35</v>
      </c>
      <c r="AK3" s="56"/>
      <c r="AL3" s="52"/>
      <c r="AM3" s="51"/>
      <c r="AN3" s="51"/>
      <c r="AO3" s="56"/>
      <c r="AP3" s="63"/>
      <c r="AQ3" s="63"/>
      <c r="AR3" s="63"/>
      <c r="AS3" s="63"/>
    </row>
    <row r="4" spans="1:45" s="64" customFormat="1" ht="12" customHeight="1" x14ac:dyDescent="0.25">
      <c r="A4" s="50">
        <v>3</v>
      </c>
      <c r="B4" s="51"/>
      <c r="C4" s="51" t="s">
        <v>303</v>
      </c>
      <c r="D4" s="52" t="s">
        <v>296</v>
      </c>
      <c r="E4" s="51" t="s">
        <v>61</v>
      </c>
      <c r="F4" s="51" t="s">
        <v>0</v>
      </c>
      <c r="G4" s="53" t="s">
        <v>128</v>
      </c>
      <c r="H4" s="51">
        <v>208</v>
      </c>
      <c r="I4" s="51" t="s">
        <v>66</v>
      </c>
      <c r="J4" s="51" t="s">
        <v>3</v>
      </c>
      <c r="K4" s="52" t="s">
        <v>9</v>
      </c>
      <c r="L4" s="54" t="e">
        <f>VLOOKUP(G4,#REF!,4,0)</f>
        <v>#REF!</v>
      </c>
      <c r="M4" s="55" t="e">
        <f>_xlfn.IFNA(VLOOKUP(G4,#REF!,2,0),"")</f>
        <v>#REF!</v>
      </c>
      <c r="N4" s="51" t="e">
        <f>_xlfn.IFNA(VLOOKUP(G4,#REF!,3,0),"")</f>
        <v>#REF!</v>
      </c>
      <c r="O4" s="56">
        <v>13</v>
      </c>
      <c r="P4" s="67">
        <v>170.02</v>
      </c>
      <c r="Q4" s="56" t="s">
        <v>10</v>
      </c>
      <c r="R4" s="51">
        <v>3.5</v>
      </c>
      <c r="S4" s="51"/>
      <c r="T4" s="57"/>
      <c r="U4" s="58">
        <f t="shared" si="0"/>
        <v>595.07000000000005</v>
      </c>
      <c r="V4" s="59">
        <f t="shared" si="1"/>
        <v>2.8609134615384617</v>
      </c>
      <c r="W4" s="60">
        <f t="shared" si="4"/>
        <v>0.42700200918484504</v>
      </c>
      <c r="X4" s="51"/>
      <c r="Y4" s="51"/>
      <c r="Z4" s="57"/>
      <c r="AA4" s="61">
        <v>46031</v>
      </c>
      <c r="AB4" s="61">
        <v>46054</v>
      </c>
      <c r="AC4" s="61"/>
      <c r="AD4" s="62" t="e">
        <f>IF(ISNA(VLOOKUP(D4,#REF!,5,0)),0,VLOOKUP(D4,#REF!,5,0))</f>
        <v>#REF!</v>
      </c>
      <c r="AE4" s="62" t="e">
        <f t="shared" si="2"/>
        <v>#REF!</v>
      </c>
      <c r="AF4" s="61">
        <v>46064</v>
      </c>
      <c r="AG4" s="50">
        <f t="shared" si="3"/>
        <v>33</v>
      </c>
      <c r="AH4" s="61">
        <v>46099</v>
      </c>
      <c r="AI4" s="56">
        <v>205</v>
      </c>
      <c r="AJ4" s="56">
        <f t="shared" si="5"/>
        <v>35</v>
      </c>
      <c r="AK4" s="56"/>
      <c r="AL4" s="52"/>
      <c r="AM4" s="51"/>
      <c r="AN4" s="51"/>
      <c r="AO4" s="56"/>
      <c r="AP4" s="63"/>
      <c r="AQ4" s="63"/>
      <c r="AR4" s="63"/>
      <c r="AS4" s="63"/>
    </row>
    <row r="5" spans="1:45" s="64" customFormat="1" ht="12" customHeight="1" x14ac:dyDescent="0.25">
      <c r="A5" s="50">
        <v>4</v>
      </c>
      <c r="B5" s="51"/>
      <c r="C5" s="51" t="s">
        <v>303</v>
      </c>
      <c r="D5" s="52" t="s">
        <v>296</v>
      </c>
      <c r="E5" s="51" t="s">
        <v>61</v>
      </c>
      <c r="F5" s="51" t="s">
        <v>0</v>
      </c>
      <c r="G5" s="53" t="s">
        <v>181</v>
      </c>
      <c r="H5" s="51">
        <v>90</v>
      </c>
      <c r="I5" s="51" t="s">
        <v>66</v>
      </c>
      <c r="J5" s="51" t="s">
        <v>3</v>
      </c>
      <c r="K5" s="52" t="s">
        <v>9</v>
      </c>
      <c r="L5" s="54" t="e">
        <f>VLOOKUP(G5,#REF!,4,0)</f>
        <v>#REF!</v>
      </c>
      <c r="M5" s="55" t="e">
        <f>_xlfn.IFNA(VLOOKUP(G5,#REF!,2,0),"")</f>
        <v>#REF!</v>
      </c>
      <c r="N5" s="51" t="e">
        <f>_xlfn.IFNA(VLOOKUP(G5,#REF!,3,0),"")</f>
        <v>#REF!</v>
      </c>
      <c r="O5" s="56">
        <v>3</v>
      </c>
      <c r="P5" s="67">
        <v>39.235384615384618</v>
      </c>
      <c r="Q5" s="56" t="s">
        <v>10</v>
      </c>
      <c r="R5" s="51">
        <v>3.5</v>
      </c>
      <c r="S5" s="51"/>
      <c r="T5" s="57"/>
      <c r="U5" s="58">
        <f t="shared" si="0"/>
        <v>137.32384615384615</v>
      </c>
      <c r="V5" s="59">
        <f t="shared" si="1"/>
        <v>1.5258205128205127</v>
      </c>
      <c r="W5" s="60">
        <f t="shared" si="4"/>
        <v>0.22773440489858399</v>
      </c>
      <c r="X5" s="51"/>
      <c r="Y5" s="51"/>
      <c r="Z5" s="57"/>
      <c r="AA5" s="61">
        <v>46031</v>
      </c>
      <c r="AB5" s="61">
        <v>46054</v>
      </c>
      <c r="AC5" s="61"/>
      <c r="AD5" s="62" t="e">
        <f>IF(ISNA(VLOOKUP(D5,#REF!,5,0)),0,VLOOKUP(D5,#REF!,5,0))</f>
        <v>#REF!</v>
      </c>
      <c r="AE5" s="62" t="e">
        <f t="shared" si="2"/>
        <v>#REF!</v>
      </c>
      <c r="AF5" s="61">
        <v>46064</v>
      </c>
      <c r="AG5" s="50">
        <f t="shared" si="3"/>
        <v>33</v>
      </c>
      <c r="AH5" s="61">
        <v>46099</v>
      </c>
      <c r="AI5" s="56">
        <v>89</v>
      </c>
      <c r="AJ5" s="56">
        <f t="shared" si="5"/>
        <v>35</v>
      </c>
      <c r="AK5" s="56"/>
      <c r="AL5" s="52"/>
      <c r="AM5" s="51"/>
      <c r="AN5" s="51"/>
      <c r="AO5" s="56"/>
      <c r="AP5" s="63"/>
      <c r="AQ5" s="63"/>
      <c r="AR5" s="63"/>
      <c r="AS5" s="63"/>
    </row>
    <row r="6" spans="1:45" s="64" customFormat="1" ht="12" customHeight="1" x14ac:dyDescent="0.25">
      <c r="A6" s="50">
        <v>5</v>
      </c>
      <c r="B6" s="51"/>
      <c r="C6" s="51" t="s">
        <v>303</v>
      </c>
      <c r="D6" s="52" t="s">
        <v>296</v>
      </c>
      <c r="E6" s="51" t="s">
        <v>61</v>
      </c>
      <c r="F6" s="51" t="s">
        <v>0</v>
      </c>
      <c r="G6" s="53" t="s">
        <v>119</v>
      </c>
      <c r="H6" s="51">
        <v>90</v>
      </c>
      <c r="I6" s="51" t="s">
        <v>66</v>
      </c>
      <c r="J6" s="51" t="s">
        <v>3</v>
      </c>
      <c r="K6" s="52" t="s">
        <v>9</v>
      </c>
      <c r="L6" s="54" t="e">
        <f>VLOOKUP(G6,#REF!,4,0)</f>
        <v>#REF!</v>
      </c>
      <c r="M6" s="55" t="e">
        <f>_xlfn.IFNA(VLOOKUP(G6,#REF!,2,0),"")</f>
        <v>#REF!</v>
      </c>
      <c r="N6" s="51" t="e">
        <f>_xlfn.IFNA(VLOOKUP(G6,#REF!,3,0),"")</f>
        <v>#REF!</v>
      </c>
      <c r="O6" s="56">
        <v>3</v>
      </c>
      <c r="P6" s="67">
        <v>39.235384615384618</v>
      </c>
      <c r="Q6" s="56" t="s">
        <v>10</v>
      </c>
      <c r="R6" s="51">
        <v>3.5</v>
      </c>
      <c r="S6" s="51"/>
      <c r="T6" s="57"/>
      <c r="U6" s="58">
        <f t="shared" si="0"/>
        <v>137.32384615384615</v>
      </c>
      <c r="V6" s="59">
        <f t="shared" si="1"/>
        <v>1.5258205128205127</v>
      </c>
      <c r="W6" s="60">
        <f t="shared" si="4"/>
        <v>0.22773440489858399</v>
      </c>
      <c r="X6" s="51"/>
      <c r="Y6" s="51"/>
      <c r="Z6" s="57"/>
      <c r="AA6" s="61">
        <v>46031</v>
      </c>
      <c r="AB6" s="61">
        <v>46054</v>
      </c>
      <c r="AC6" s="61"/>
      <c r="AD6" s="62" t="e">
        <f>IF(ISNA(VLOOKUP(D6,#REF!,5,0)),0,VLOOKUP(D6,#REF!,5,0))</f>
        <v>#REF!</v>
      </c>
      <c r="AE6" s="62" t="e">
        <f t="shared" si="2"/>
        <v>#REF!</v>
      </c>
      <c r="AF6" s="61">
        <v>46064</v>
      </c>
      <c r="AG6" s="50">
        <f t="shared" si="3"/>
        <v>33</v>
      </c>
      <c r="AH6" s="61">
        <v>46099</v>
      </c>
      <c r="AI6" s="56">
        <v>89</v>
      </c>
      <c r="AJ6" s="56">
        <f t="shared" si="5"/>
        <v>35</v>
      </c>
      <c r="AK6" s="56"/>
      <c r="AL6" s="52"/>
      <c r="AM6" s="51"/>
      <c r="AN6" s="51"/>
      <c r="AO6" s="56"/>
      <c r="AP6" s="63"/>
      <c r="AQ6" s="63"/>
      <c r="AR6" s="63"/>
      <c r="AS6" s="63"/>
    </row>
    <row r="7" spans="1:45" s="64" customFormat="1" ht="12" customHeight="1" x14ac:dyDescent="0.25">
      <c r="A7" s="50">
        <v>6</v>
      </c>
      <c r="B7" s="51"/>
      <c r="C7" s="51" t="s">
        <v>304</v>
      </c>
      <c r="D7" s="52" t="s">
        <v>297</v>
      </c>
      <c r="E7" s="51" t="s">
        <v>58</v>
      </c>
      <c r="F7" s="51" t="s">
        <v>0</v>
      </c>
      <c r="G7" s="53" t="s">
        <v>221</v>
      </c>
      <c r="H7" s="51">
        <v>990</v>
      </c>
      <c r="I7" s="51" t="s">
        <v>66</v>
      </c>
      <c r="J7" s="51" t="s">
        <v>3</v>
      </c>
      <c r="K7" s="52" t="s">
        <v>22</v>
      </c>
      <c r="L7" s="54" t="e">
        <f>VLOOKUP(G7,#REF!,4,0)</f>
        <v>#REF!</v>
      </c>
      <c r="M7" s="55" t="e">
        <f>_xlfn.IFNA(VLOOKUP(G7,#REF!,2,0),"")</f>
        <v>#REF!</v>
      </c>
      <c r="N7" s="51" t="e">
        <f>_xlfn.IFNA(VLOOKUP(G7,#REF!,3,0),"")</f>
        <v>#REF!</v>
      </c>
      <c r="O7" s="56">
        <v>33</v>
      </c>
      <c r="P7" s="67">
        <v>493.09632653061226</v>
      </c>
      <c r="Q7" s="56" t="s">
        <v>10</v>
      </c>
      <c r="R7" s="51">
        <v>3.5</v>
      </c>
      <c r="S7" s="51">
        <v>300</v>
      </c>
      <c r="T7" s="57">
        <v>27.197802197802197</v>
      </c>
      <c r="U7" s="58">
        <f t="shared" si="0"/>
        <v>1753.0349450549452</v>
      </c>
      <c r="V7" s="59">
        <f t="shared" si="1"/>
        <v>1.7707423687423689</v>
      </c>
      <c r="W7" s="60">
        <f t="shared" si="4"/>
        <v>0.2642899057824431</v>
      </c>
      <c r="X7" s="51"/>
      <c r="Y7" s="51"/>
      <c r="Z7" s="57"/>
      <c r="AA7" s="61">
        <v>46031</v>
      </c>
      <c r="AB7" s="61">
        <v>46054</v>
      </c>
      <c r="AC7" s="61"/>
      <c r="AD7" s="62" t="e">
        <f>IF(ISNA(VLOOKUP(D7,#REF!,5,0)),0,VLOOKUP(D7,#REF!,5,0))</f>
        <v>#REF!</v>
      </c>
      <c r="AE7" s="62" t="e">
        <f t="shared" si="2"/>
        <v>#REF!</v>
      </c>
      <c r="AF7" s="61">
        <v>46066</v>
      </c>
      <c r="AG7" s="50">
        <f t="shared" si="3"/>
        <v>35</v>
      </c>
      <c r="AH7" s="61">
        <v>46102</v>
      </c>
      <c r="AI7" s="56">
        <v>992</v>
      </c>
      <c r="AJ7" s="56">
        <f t="shared" si="5"/>
        <v>36</v>
      </c>
      <c r="AK7" s="56"/>
      <c r="AL7" s="52"/>
      <c r="AM7" s="51"/>
      <c r="AN7" s="51"/>
      <c r="AO7" s="56"/>
      <c r="AP7" s="63"/>
      <c r="AQ7" s="63"/>
      <c r="AR7" s="63"/>
      <c r="AS7" s="63"/>
    </row>
    <row r="8" spans="1:45" s="64" customFormat="1" ht="12" customHeight="1" x14ac:dyDescent="0.25">
      <c r="A8" s="50">
        <v>7</v>
      </c>
      <c r="B8" s="51"/>
      <c r="C8" s="51" t="s">
        <v>304</v>
      </c>
      <c r="D8" s="52" t="s">
        <v>297</v>
      </c>
      <c r="E8" s="51" t="s">
        <v>58</v>
      </c>
      <c r="F8" s="51" t="s">
        <v>0</v>
      </c>
      <c r="G8" s="53" t="s">
        <v>247</v>
      </c>
      <c r="H8" s="51">
        <v>1200</v>
      </c>
      <c r="I8" s="51" t="s">
        <v>66</v>
      </c>
      <c r="J8" s="51" t="s">
        <v>3</v>
      </c>
      <c r="K8" s="52" t="s">
        <v>22</v>
      </c>
      <c r="L8" s="54" t="e">
        <f>VLOOKUP(G8,#REF!,4,0)</f>
        <v>#REF!</v>
      </c>
      <c r="M8" s="55" t="e">
        <f>_xlfn.IFNA(VLOOKUP(G8,#REF!,2,0),"")</f>
        <v>#REF!</v>
      </c>
      <c r="N8" s="51" t="e">
        <f>_xlfn.IFNA(VLOOKUP(G8,#REF!,3,0),"")</f>
        <v>#REF!</v>
      </c>
      <c r="O8" s="56">
        <v>40</v>
      </c>
      <c r="P8" s="67">
        <v>597.69251700680275</v>
      </c>
      <c r="Q8" s="56" t="s">
        <v>10</v>
      </c>
      <c r="R8" s="51">
        <v>3.5</v>
      </c>
      <c r="S8" s="65">
        <f>SUMIF(C:C,C7,T:T)</f>
        <v>300.00000000000006</v>
      </c>
      <c r="T8" s="57">
        <v>32.967032967032964</v>
      </c>
      <c r="U8" s="58">
        <f t="shared" si="0"/>
        <v>2124.8908424908427</v>
      </c>
      <c r="V8" s="59">
        <f t="shared" si="1"/>
        <v>1.7707423687423689</v>
      </c>
      <c r="W8" s="60">
        <f t="shared" si="4"/>
        <v>0.2642899057824431</v>
      </c>
      <c r="X8" s="51"/>
      <c r="Y8" s="51"/>
      <c r="Z8" s="57"/>
      <c r="AA8" s="61">
        <v>46031</v>
      </c>
      <c r="AB8" s="61">
        <v>46054</v>
      </c>
      <c r="AC8" s="61"/>
      <c r="AD8" s="62" t="e">
        <f>IF(ISNA(VLOOKUP(D8,#REF!,5,0)),0,VLOOKUP(D8,#REF!,5,0))</f>
        <v>#REF!</v>
      </c>
      <c r="AE8" s="62" t="e">
        <f t="shared" si="2"/>
        <v>#REF!</v>
      </c>
      <c r="AF8" s="61">
        <v>46066</v>
      </c>
      <c r="AG8" s="50">
        <f t="shared" si="3"/>
        <v>35</v>
      </c>
      <c r="AH8" s="61">
        <v>46102</v>
      </c>
      <c r="AI8" s="56">
        <v>1201</v>
      </c>
      <c r="AJ8" s="56">
        <f t="shared" si="5"/>
        <v>36</v>
      </c>
      <c r="AK8" s="56"/>
      <c r="AL8" s="52"/>
      <c r="AM8" s="51"/>
      <c r="AN8" s="51"/>
      <c r="AO8" s="56"/>
      <c r="AP8" s="63"/>
      <c r="AQ8" s="63"/>
      <c r="AR8" s="63"/>
      <c r="AS8" s="63"/>
    </row>
    <row r="9" spans="1:45" s="64" customFormat="1" ht="12" customHeight="1" x14ac:dyDescent="0.25">
      <c r="A9" s="50">
        <v>8</v>
      </c>
      <c r="B9" s="51"/>
      <c r="C9" s="51" t="s">
        <v>304</v>
      </c>
      <c r="D9" s="52" t="s">
        <v>297</v>
      </c>
      <c r="E9" s="51" t="s">
        <v>58</v>
      </c>
      <c r="F9" s="51" t="s">
        <v>0</v>
      </c>
      <c r="G9" s="53" t="s">
        <v>201</v>
      </c>
      <c r="H9" s="51">
        <v>600</v>
      </c>
      <c r="I9" s="51" t="s">
        <v>66</v>
      </c>
      <c r="J9" s="51" t="s">
        <v>3</v>
      </c>
      <c r="K9" s="52" t="s">
        <v>22</v>
      </c>
      <c r="L9" s="54" t="e">
        <f>VLOOKUP(G9,#REF!,4,0)</f>
        <v>#REF!</v>
      </c>
      <c r="M9" s="55" t="e">
        <f>_xlfn.IFNA(VLOOKUP(G9,#REF!,2,0),"")</f>
        <v>#REF!</v>
      </c>
      <c r="N9" s="51" t="e">
        <f>_xlfn.IFNA(VLOOKUP(G9,#REF!,3,0),"")</f>
        <v>#REF!</v>
      </c>
      <c r="O9" s="56">
        <v>20</v>
      </c>
      <c r="P9" s="67">
        <v>298.84625850340137</v>
      </c>
      <c r="Q9" s="56" t="s">
        <v>10</v>
      </c>
      <c r="R9" s="51">
        <v>3.5</v>
      </c>
      <c r="S9" s="51"/>
      <c r="T9" s="57">
        <v>16.483516483516482</v>
      </c>
      <c r="U9" s="58">
        <f t="shared" si="0"/>
        <v>1062.4454212454214</v>
      </c>
      <c r="V9" s="59">
        <f t="shared" si="1"/>
        <v>1.7707423687423689</v>
      </c>
      <c r="W9" s="60">
        <f t="shared" si="4"/>
        <v>0.2642899057824431</v>
      </c>
      <c r="X9" s="51"/>
      <c r="Y9" s="51"/>
      <c r="Z9" s="57"/>
      <c r="AA9" s="61">
        <v>46031</v>
      </c>
      <c r="AB9" s="61">
        <v>46054</v>
      </c>
      <c r="AC9" s="61"/>
      <c r="AD9" s="62" t="e">
        <f>IF(ISNA(VLOOKUP(D9,#REF!,5,0)),0,VLOOKUP(D9,#REF!,5,0))</f>
        <v>#REF!</v>
      </c>
      <c r="AE9" s="62" t="e">
        <f t="shared" si="2"/>
        <v>#REF!</v>
      </c>
      <c r="AF9" s="61">
        <v>46066</v>
      </c>
      <c r="AG9" s="50">
        <f t="shared" si="3"/>
        <v>35</v>
      </c>
      <c r="AH9" s="61">
        <v>46102</v>
      </c>
      <c r="AI9" s="56">
        <v>608</v>
      </c>
      <c r="AJ9" s="56">
        <f t="shared" si="5"/>
        <v>36</v>
      </c>
      <c r="AK9" s="56"/>
      <c r="AL9" s="52"/>
      <c r="AM9" s="51"/>
      <c r="AN9" s="51"/>
      <c r="AO9" s="56"/>
      <c r="AP9" s="63"/>
      <c r="AQ9" s="63"/>
      <c r="AR9" s="63"/>
      <c r="AS9" s="63"/>
    </row>
    <row r="10" spans="1:45" s="64" customFormat="1" ht="12" customHeight="1" x14ac:dyDescent="0.25">
      <c r="A10" s="50">
        <v>9</v>
      </c>
      <c r="B10" s="51"/>
      <c r="C10" s="51" t="s">
        <v>304</v>
      </c>
      <c r="D10" s="52" t="s">
        <v>297</v>
      </c>
      <c r="E10" s="51" t="s">
        <v>58</v>
      </c>
      <c r="F10" s="51" t="s">
        <v>0</v>
      </c>
      <c r="G10" s="53" t="s">
        <v>148</v>
      </c>
      <c r="H10" s="51">
        <v>1800</v>
      </c>
      <c r="I10" s="51" t="s">
        <v>66</v>
      </c>
      <c r="J10" s="51" t="s">
        <v>3</v>
      </c>
      <c r="K10" s="52" t="s">
        <v>22</v>
      </c>
      <c r="L10" s="54" t="e">
        <f>VLOOKUP(G10,#REF!,4,0)</f>
        <v>#REF!</v>
      </c>
      <c r="M10" s="55" t="e">
        <f>_xlfn.IFNA(VLOOKUP(G10,#REF!,2,0),"")</f>
        <v>#REF!</v>
      </c>
      <c r="N10" s="51" t="e">
        <f>_xlfn.IFNA(VLOOKUP(G10,#REF!,3,0),"")</f>
        <v>#REF!</v>
      </c>
      <c r="O10" s="56">
        <v>60</v>
      </c>
      <c r="P10" s="67">
        <v>896.53877551020412</v>
      </c>
      <c r="Q10" s="56" t="s">
        <v>10</v>
      </c>
      <c r="R10" s="51">
        <v>3.5</v>
      </c>
      <c r="S10" s="51"/>
      <c r="T10" s="57">
        <v>49.450549450549453</v>
      </c>
      <c r="U10" s="58">
        <f t="shared" si="0"/>
        <v>3187.3362637362638</v>
      </c>
      <c r="V10" s="59">
        <f t="shared" si="1"/>
        <v>1.7707423687423689</v>
      </c>
      <c r="W10" s="60">
        <f t="shared" si="4"/>
        <v>0.2642899057824431</v>
      </c>
      <c r="X10" s="51"/>
      <c r="Y10" s="51"/>
      <c r="Z10" s="57"/>
      <c r="AA10" s="61">
        <v>46031</v>
      </c>
      <c r="AB10" s="61">
        <v>46054</v>
      </c>
      <c r="AC10" s="61"/>
      <c r="AD10" s="62" t="e">
        <f>IF(ISNA(VLOOKUP(D10,#REF!,5,0)),0,VLOOKUP(D10,#REF!,5,0))</f>
        <v>#REF!</v>
      </c>
      <c r="AE10" s="62" t="e">
        <f t="shared" si="2"/>
        <v>#REF!</v>
      </c>
      <c r="AF10" s="61">
        <v>46066</v>
      </c>
      <c r="AG10" s="50">
        <f t="shared" si="3"/>
        <v>35</v>
      </c>
      <c r="AH10" s="61">
        <v>46102</v>
      </c>
      <c r="AI10" s="56">
        <v>1749</v>
      </c>
      <c r="AJ10" s="56">
        <f t="shared" si="5"/>
        <v>36</v>
      </c>
      <c r="AK10" s="56"/>
      <c r="AL10" s="52"/>
      <c r="AM10" s="51"/>
      <c r="AN10" s="51"/>
      <c r="AO10" s="56"/>
      <c r="AP10" s="63"/>
      <c r="AQ10" s="63"/>
      <c r="AR10" s="63"/>
      <c r="AS10" s="63"/>
    </row>
    <row r="11" spans="1:45" s="64" customFormat="1" ht="12" customHeight="1" x14ac:dyDescent="0.25">
      <c r="A11" s="50">
        <v>10</v>
      </c>
      <c r="B11" s="51"/>
      <c r="C11" s="51" t="s">
        <v>304</v>
      </c>
      <c r="D11" s="52" t="s">
        <v>297</v>
      </c>
      <c r="E11" s="51" t="s">
        <v>58</v>
      </c>
      <c r="F11" s="51" t="s">
        <v>0</v>
      </c>
      <c r="G11" s="53" t="s">
        <v>216</v>
      </c>
      <c r="H11" s="51">
        <v>450</v>
      </c>
      <c r="I11" s="51" t="s">
        <v>66</v>
      </c>
      <c r="J11" s="51" t="s">
        <v>3</v>
      </c>
      <c r="K11" s="52" t="s">
        <v>22</v>
      </c>
      <c r="L11" s="54" t="e">
        <f>VLOOKUP(G11,#REF!,4,0)</f>
        <v>#REF!</v>
      </c>
      <c r="M11" s="55" t="e">
        <f>_xlfn.IFNA(VLOOKUP(G11,#REF!,2,0),"")</f>
        <v>#REF!</v>
      </c>
      <c r="N11" s="51" t="e">
        <f>_xlfn.IFNA(VLOOKUP(G11,#REF!,3,0),"")</f>
        <v>#REF!</v>
      </c>
      <c r="O11" s="56">
        <v>15</v>
      </c>
      <c r="P11" s="67">
        <v>224.13469387755103</v>
      </c>
      <c r="Q11" s="56" t="s">
        <v>10</v>
      </c>
      <c r="R11" s="51">
        <v>3.5</v>
      </c>
      <c r="S11" s="51"/>
      <c r="T11" s="57">
        <v>12.362637362637363</v>
      </c>
      <c r="U11" s="58">
        <f t="shared" si="0"/>
        <v>796.83406593406596</v>
      </c>
      <c r="V11" s="59">
        <f t="shared" si="1"/>
        <v>1.7707423687423689</v>
      </c>
      <c r="W11" s="60">
        <f t="shared" si="4"/>
        <v>0.2642899057824431</v>
      </c>
      <c r="X11" s="51"/>
      <c r="Y11" s="51"/>
      <c r="Z11" s="57"/>
      <c r="AA11" s="61">
        <v>46031</v>
      </c>
      <c r="AB11" s="61">
        <v>46054</v>
      </c>
      <c r="AC11" s="61"/>
      <c r="AD11" s="62" t="e">
        <f>IF(ISNA(VLOOKUP(D11,#REF!,5,0)),0,VLOOKUP(D11,#REF!,5,0))</f>
        <v>#REF!</v>
      </c>
      <c r="AE11" s="62" t="e">
        <f t="shared" si="2"/>
        <v>#REF!</v>
      </c>
      <c r="AF11" s="61">
        <v>46066</v>
      </c>
      <c r="AG11" s="50">
        <f t="shared" si="3"/>
        <v>35</v>
      </c>
      <c r="AH11" s="61">
        <v>46102</v>
      </c>
      <c r="AI11" s="56">
        <v>450</v>
      </c>
      <c r="AJ11" s="56">
        <f t="shared" si="5"/>
        <v>36</v>
      </c>
      <c r="AK11" s="56"/>
      <c r="AL11" s="52"/>
      <c r="AM11" s="51"/>
      <c r="AN11" s="51"/>
      <c r="AO11" s="56"/>
      <c r="AP11" s="63"/>
      <c r="AQ11" s="63"/>
      <c r="AR11" s="63"/>
      <c r="AS11" s="63"/>
    </row>
    <row r="12" spans="1:45" s="64" customFormat="1" ht="12" customHeight="1" x14ac:dyDescent="0.25">
      <c r="A12" s="50">
        <v>11</v>
      </c>
      <c r="B12" s="51"/>
      <c r="C12" s="51" t="s">
        <v>304</v>
      </c>
      <c r="D12" s="52" t="s">
        <v>297</v>
      </c>
      <c r="E12" s="51" t="s">
        <v>58</v>
      </c>
      <c r="F12" s="51" t="s">
        <v>0</v>
      </c>
      <c r="G12" s="53" t="s">
        <v>205</v>
      </c>
      <c r="H12" s="51">
        <v>3000</v>
      </c>
      <c r="I12" s="51" t="s">
        <v>66</v>
      </c>
      <c r="J12" s="51" t="s">
        <v>3</v>
      </c>
      <c r="K12" s="52" t="s">
        <v>22</v>
      </c>
      <c r="L12" s="54" t="e">
        <f>VLOOKUP(G12,#REF!,4,0)</f>
        <v>#REF!</v>
      </c>
      <c r="M12" s="55" t="e">
        <f>_xlfn.IFNA(VLOOKUP(G12,#REF!,2,0),"")</f>
        <v>#REF!</v>
      </c>
      <c r="N12" s="51" t="e">
        <f>_xlfn.IFNA(VLOOKUP(G12,#REF!,3,0),"")</f>
        <v>#REF!</v>
      </c>
      <c r="O12" s="56">
        <v>100</v>
      </c>
      <c r="P12" s="67">
        <v>1494.2312925170068</v>
      </c>
      <c r="Q12" s="56" t="s">
        <v>10</v>
      </c>
      <c r="R12" s="51">
        <v>3.5</v>
      </c>
      <c r="S12" s="51"/>
      <c r="T12" s="57">
        <v>82.417582417582423</v>
      </c>
      <c r="U12" s="58">
        <f t="shared" si="0"/>
        <v>5312.2271062271066</v>
      </c>
      <c r="V12" s="59">
        <f t="shared" si="1"/>
        <v>1.7707423687423689</v>
      </c>
      <c r="W12" s="60">
        <f t="shared" si="4"/>
        <v>0.2642899057824431</v>
      </c>
      <c r="X12" s="51"/>
      <c r="Y12" s="51"/>
      <c r="Z12" s="57"/>
      <c r="AA12" s="61">
        <v>46031</v>
      </c>
      <c r="AB12" s="61">
        <v>46054</v>
      </c>
      <c r="AC12" s="61"/>
      <c r="AD12" s="62" t="e">
        <f>IF(ISNA(VLOOKUP(D12,#REF!,5,0)),0,VLOOKUP(D12,#REF!,5,0))</f>
        <v>#REF!</v>
      </c>
      <c r="AE12" s="62" t="e">
        <f t="shared" si="2"/>
        <v>#REF!</v>
      </c>
      <c r="AF12" s="61">
        <v>46066</v>
      </c>
      <c r="AG12" s="50">
        <f t="shared" si="3"/>
        <v>35</v>
      </c>
      <c r="AH12" s="61">
        <v>46102</v>
      </c>
      <c r="AI12" s="56">
        <v>2972</v>
      </c>
      <c r="AJ12" s="56">
        <f t="shared" si="5"/>
        <v>36</v>
      </c>
      <c r="AK12" s="56"/>
      <c r="AL12" s="52"/>
      <c r="AM12" s="51"/>
      <c r="AN12" s="51"/>
      <c r="AO12" s="56"/>
      <c r="AP12" s="63"/>
      <c r="AQ12" s="63"/>
      <c r="AR12" s="63"/>
      <c r="AS12" s="63"/>
    </row>
    <row r="13" spans="1:45" s="64" customFormat="1" ht="12" customHeight="1" x14ac:dyDescent="0.25">
      <c r="A13" s="50">
        <v>12</v>
      </c>
      <c r="B13" s="51"/>
      <c r="C13" s="51" t="s">
        <v>304</v>
      </c>
      <c r="D13" s="52" t="s">
        <v>297</v>
      </c>
      <c r="E13" s="51" t="s">
        <v>58</v>
      </c>
      <c r="F13" s="51" t="s">
        <v>0</v>
      </c>
      <c r="G13" s="53" t="s">
        <v>222</v>
      </c>
      <c r="H13" s="51">
        <v>210</v>
      </c>
      <c r="I13" s="51" t="s">
        <v>66</v>
      </c>
      <c r="J13" s="51" t="s">
        <v>3</v>
      </c>
      <c r="K13" s="52" t="s">
        <v>22</v>
      </c>
      <c r="L13" s="54" t="e">
        <f>VLOOKUP(G13,#REF!,4,0)</f>
        <v>#REF!</v>
      </c>
      <c r="M13" s="55" t="e">
        <f>_xlfn.IFNA(VLOOKUP(G13,#REF!,2,0),"")</f>
        <v>#REF!</v>
      </c>
      <c r="N13" s="51" t="e">
        <f>_xlfn.IFNA(VLOOKUP(G13,#REF!,3,0),"")</f>
        <v>#REF!</v>
      </c>
      <c r="O13" s="56">
        <v>7</v>
      </c>
      <c r="P13" s="67">
        <v>104.59619047619047</v>
      </c>
      <c r="Q13" s="56" t="s">
        <v>10</v>
      </c>
      <c r="R13" s="51">
        <v>3.5</v>
      </c>
      <c r="S13" s="51"/>
      <c r="T13" s="57">
        <v>5.7692307692307692</v>
      </c>
      <c r="U13" s="58">
        <f t="shared" si="0"/>
        <v>371.85589743589742</v>
      </c>
      <c r="V13" s="59">
        <f t="shared" si="1"/>
        <v>1.7707423687423687</v>
      </c>
      <c r="W13" s="60">
        <f t="shared" si="4"/>
        <v>0.2642899057824431</v>
      </c>
      <c r="X13" s="51"/>
      <c r="Y13" s="51"/>
      <c r="Z13" s="57"/>
      <c r="AA13" s="61">
        <v>46031</v>
      </c>
      <c r="AB13" s="61">
        <v>46054</v>
      </c>
      <c r="AC13" s="61"/>
      <c r="AD13" s="62" t="e">
        <f>IF(ISNA(VLOOKUP(D13,#REF!,5,0)),0,VLOOKUP(D13,#REF!,5,0))</f>
        <v>#REF!</v>
      </c>
      <c r="AE13" s="62" t="e">
        <f t="shared" si="2"/>
        <v>#REF!</v>
      </c>
      <c r="AF13" s="61">
        <v>46066</v>
      </c>
      <c r="AG13" s="50">
        <f t="shared" si="3"/>
        <v>35</v>
      </c>
      <c r="AH13" s="61">
        <v>46102</v>
      </c>
      <c r="AI13" s="56">
        <v>212</v>
      </c>
      <c r="AJ13" s="56">
        <f t="shared" si="5"/>
        <v>36</v>
      </c>
      <c r="AK13" s="56"/>
      <c r="AL13" s="52"/>
      <c r="AM13" s="51"/>
      <c r="AN13" s="51"/>
      <c r="AO13" s="56"/>
      <c r="AP13" s="63"/>
      <c r="AQ13" s="63"/>
      <c r="AR13" s="63"/>
      <c r="AS13" s="63"/>
    </row>
    <row r="14" spans="1:45" s="64" customFormat="1" ht="12" customHeight="1" x14ac:dyDescent="0.25">
      <c r="A14" s="50">
        <v>13</v>
      </c>
      <c r="B14" s="51"/>
      <c r="C14" s="51" t="s">
        <v>304</v>
      </c>
      <c r="D14" s="52" t="s">
        <v>297</v>
      </c>
      <c r="E14" s="51" t="s">
        <v>58</v>
      </c>
      <c r="F14" s="51" t="s">
        <v>0</v>
      </c>
      <c r="G14" s="53" t="s">
        <v>224</v>
      </c>
      <c r="H14" s="51">
        <v>240</v>
      </c>
      <c r="I14" s="51" t="s">
        <v>66</v>
      </c>
      <c r="J14" s="51" t="s">
        <v>3</v>
      </c>
      <c r="K14" s="52" t="s">
        <v>22</v>
      </c>
      <c r="L14" s="54" t="e">
        <f>VLOOKUP(G14,#REF!,4,0)</f>
        <v>#REF!</v>
      </c>
      <c r="M14" s="55" t="e">
        <f>_xlfn.IFNA(VLOOKUP(G14,#REF!,2,0),"")</f>
        <v>#REF!</v>
      </c>
      <c r="N14" s="51" t="e">
        <f>_xlfn.IFNA(VLOOKUP(G14,#REF!,3,0),"")</f>
        <v>#REF!</v>
      </c>
      <c r="O14" s="56">
        <v>8</v>
      </c>
      <c r="P14" s="67">
        <v>119.53850340136054</v>
      </c>
      <c r="Q14" s="56" t="s">
        <v>10</v>
      </c>
      <c r="R14" s="51">
        <v>3.5</v>
      </c>
      <c r="S14" s="51"/>
      <c r="T14" s="57">
        <v>6.5934065934065931</v>
      </c>
      <c r="U14" s="58">
        <f t="shared" si="0"/>
        <v>424.97816849816849</v>
      </c>
      <c r="V14" s="59">
        <f t="shared" si="1"/>
        <v>1.7707423687423687</v>
      </c>
      <c r="W14" s="60">
        <f t="shared" si="4"/>
        <v>0.2642899057824431</v>
      </c>
      <c r="X14" s="51"/>
      <c r="Y14" s="51"/>
      <c r="Z14" s="57"/>
      <c r="AA14" s="61">
        <v>46031</v>
      </c>
      <c r="AB14" s="61">
        <v>46054</v>
      </c>
      <c r="AC14" s="61"/>
      <c r="AD14" s="62" t="e">
        <f>IF(ISNA(VLOOKUP(D14,#REF!,5,0)),0,VLOOKUP(D14,#REF!,5,0))</f>
        <v>#REF!</v>
      </c>
      <c r="AE14" s="62" t="e">
        <f t="shared" si="2"/>
        <v>#REF!</v>
      </c>
      <c r="AF14" s="61">
        <v>46066</v>
      </c>
      <c r="AG14" s="50">
        <f t="shared" si="3"/>
        <v>35</v>
      </c>
      <c r="AH14" s="61">
        <v>46102</v>
      </c>
      <c r="AI14" s="56">
        <v>240</v>
      </c>
      <c r="AJ14" s="56">
        <f t="shared" si="5"/>
        <v>36</v>
      </c>
      <c r="AK14" s="56"/>
      <c r="AL14" s="52"/>
      <c r="AM14" s="51"/>
      <c r="AN14" s="51"/>
      <c r="AO14" s="56"/>
      <c r="AP14" s="63"/>
      <c r="AQ14" s="63"/>
      <c r="AR14" s="63"/>
      <c r="AS14" s="63"/>
    </row>
    <row r="15" spans="1:45" s="64" customFormat="1" ht="12" customHeight="1" x14ac:dyDescent="0.25">
      <c r="A15" s="50">
        <v>14</v>
      </c>
      <c r="B15" s="51"/>
      <c r="C15" s="51" t="s">
        <v>304</v>
      </c>
      <c r="D15" s="52" t="s">
        <v>297</v>
      </c>
      <c r="E15" s="51" t="s">
        <v>58</v>
      </c>
      <c r="F15" s="51" t="s">
        <v>0</v>
      </c>
      <c r="G15" s="53" t="s">
        <v>146</v>
      </c>
      <c r="H15" s="51">
        <v>300</v>
      </c>
      <c r="I15" s="51" t="s">
        <v>66</v>
      </c>
      <c r="J15" s="51" t="s">
        <v>3</v>
      </c>
      <c r="K15" s="52" t="s">
        <v>22</v>
      </c>
      <c r="L15" s="54" t="e">
        <f>VLOOKUP(G15,#REF!,4,0)</f>
        <v>#REF!</v>
      </c>
      <c r="M15" s="55" t="e">
        <f>_xlfn.IFNA(VLOOKUP(G15,#REF!,2,0),"")</f>
        <v>#REF!</v>
      </c>
      <c r="N15" s="51" t="e">
        <f>_xlfn.IFNA(VLOOKUP(G15,#REF!,3,0),"")</f>
        <v>#REF!</v>
      </c>
      <c r="O15" s="56">
        <v>10</v>
      </c>
      <c r="P15" s="67">
        <v>149.42312925170069</v>
      </c>
      <c r="Q15" s="56" t="s">
        <v>10</v>
      </c>
      <c r="R15" s="51">
        <v>3.5</v>
      </c>
      <c r="S15" s="51"/>
      <c r="T15" s="57">
        <v>8.2417582417582409</v>
      </c>
      <c r="U15" s="58">
        <f t="shared" si="0"/>
        <v>531.22271062271068</v>
      </c>
      <c r="V15" s="59">
        <f t="shared" si="1"/>
        <v>1.7707423687423689</v>
      </c>
      <c r="W15" s="60">
        <f t="shared" si="4"/>
        <v>0.2642899057824431</v>
      </c>
      <c r="X15" s="51"/>
      <c r="Y15" s="51"/>
      <c r="Z15" s="57"/>
      <c r="AA15" s="61">
        <v>46031</v>
      </c>
      <c r="AB15" s="61">
        <v>46054</v>
      </c>
      <c r="AC15" s="61"/>
      <c r="AD15" s="62" t="e">
        <f>IF(ISNA(VLOOKUP(D15,#REF!,5,0)),0,VLOOKUP(D15,#REF!,5,0))</f>
        <v>#REF!</v>
      </c>
      <c r="AE15" s="62" t="e">
        <f t="shared" si="2"/>
        <v>#REF!</v>
      </c>
      <c r="AF15" s="61">
        <v>46066</v>
      </c>
      <c r="AG15" s="50">
        <f t="shared" si="3"/>
        <v>35</v>
      </c>
      <c r="AH15" s="61">
        <v>46102</v>
      </c>
      <c r="AI15" s="56">
        <v>300</v>
      </c>
      <c r="AJ15" s="56">
        <f t="shared" si="5"/>
        <v>36</v>
      </c>
      <c r="AK15" s="56"/>
      <c r="AL15" s="52"/>
      <c r="AM15" s="51"/>
      <c r="AN15" s="51"/>
      <c r="AO15" s="56"/>
      <c r="AP15" s="63"/>
      <c r="AQ15" s="63"/>
      <c r="AR15" s="63"/>
      <c r="AS15" s="63"/>
    </row>
    <row r="16" spans="1:45" s="64" customFormat="1" ht="12" customHeight="1" x14ac:dyDescent="0.25">
      <c r="A16" s="50">
        <v>15</v>
      </c>
      <c r="B16" s="51"/>
      <c r="C16" s="51" t="s">
        <v>304</v>
      </c>
      <c r="D16" s="52" t="s">
        <v>297</v>
      </c>
      <c r="E16" s="51" t="s">
        <v>58</v>
      </c>
      <c r="F16" s="51" t="s">
        <v>0</v>
      </c>
      <c r="G16" s="53" t="s">
        <v>248</v>
      </c>
      <c r="H16" s="51">
        <v>10</v>
      </c>
      <c r="I16" s="51" t="s">
        <v>66</v>
      </c>
      <c r="J16" s="51" t="s">
        <v>3</v>
      </c>
      <c r="K16" s="52" t="s">
        <v>22</v>
      </c>
      <c r="L16" s="54" t="e">
        <f>VLOOKUP(G16,#REF!,4,0)</f>
        <v>#REF!</v>
      </c>
      <c r="M16" s="55" t="e">
        <f>_xlfn.IFNA(VLOOKUP(G16,#REF!,2,0),"")</f>
        <v>#REF!</v>
      </c>
      <c r="N16" s="51" t="e">
        <f>_xlfn.IFNA(VLOOKUP(G16,#REF!,3,0),"")</f>
        <v>#REF!</v>
      </c>
      <c r="O16" s="66">
        <v>0.33333333333333298</v>
      </c>
      <c r="P16" s="67">
        <v>4.980770975056684</v>
      </c>
      <c r="Q16" s="56" t="s">
        <v>10</v>
      </c>
      <c r="R16" s="51">
        <v>3.5</v>
      </c>
      <c r="S16" s="51"/>
      <c r="T16" s="57">
        <v>0.27472527472527442</v>
      </c>
      <c r="U16" s="58">
        <f t="shared" si="0"/>
        <v>17.707423687423667</v>
      </c>
      <c r="V16" s="59">
        <f t="shared" si="1"/>
        <v>1.7707423687423667</v>
      </c>
      <c r="W16" s="60">
        <f t="shared" si="4"/>
        <v>0.26428990578244277</v>
      </c>
      <c r="X16" s="51"/>
      <c r="Y16" s="51"/>
      <c r="Z16" s="57"/>
      <c r="AA16" s="61">
        <v>46031</v>
      </c>
      <c r="AB16" s="61">
        <v>46054</v>
      </c>
      <c r="AC16" s="61"/>
      <c r="AD16" s="62" t="e">
        <f>IF(ISNA(VLOOKUP(D16,#REF!,5,0)),0,VLOOKUP(D16,#REF!,5,0))</f>
        <v>#REF!</v>
      </c>
      <c r="AE16" s="62" t="e">
        <f t="shared" si="2"/>
        <v>#REF!</v>
      </c>
      <c r="AF16" s="61">
        <v>46066</v>
      </c>
      <c r="AG16" s="50">
        <f t="shared" si="3"/>
        <v>35</v>
      </c>
      <c r="AH16" s="61">
        <v>46102</v>
      </c>
      <c r="AI16" s="56">
        <v>10</v>
      </c>
      <c r="AJ16" s="56">
        <f t="shared" si="5"/>
        <v>36</v>
      </c>
      <c r="AK16" s="56"/>
      <c r="AL16" s="52"/>
      <c r="AM16" s="51"/>
      <c r="AN16" s="51"/>
      <c r="AO16" s="56"/>
      <c r="AP16" s="63"/>
      <c r="AQ16" s="63"/>
      <c r="AR16" s="63"/>
      <c r="AS16" s="63"/>
    </row>
    <row r="17" spans="1:45" s="64" customFormat="1" ht="12" customHeight="1" x14ac:dyDescent="0.25">
      <c r="A17" s="50">
        <v>16</v>
      </c>
      <c r="B17" s="51"/>
      <c r="C17" s="51" t="s">
        <v>304</v>
      </c>
      <c r="D17" s="52" t="s">
        <v>297</v>
      </c>
      <c r="E17" s="51" t="s">
        <v>58</v>
      </c>
      <c r="F17" s="51" t="s">
        <v>0</v>
      </c>
      <c r="G17" s="53" t="s">
        <v>249</v>
      </c>
      <c r="H17" s="51">
        <v>20</v>
      </c>
      <c r="I17" s="51" t="s">
        <v>66</v>
      </c>
      <c r="J17" s="51" t="s">
        <v>3</v>
      </c>
      <c r="K17" s="52" t="s">
        <v>22</v>
      </c>
      <c r="L17" s="54" t="e">
        <f>VLOOKUP(G17,#REF!,4,0)</f>
        <v>#REF!</v>
      </c>
      <c r="M17" s="55" t="e">
        <f>_xlfn.IFNA(VLOOKUP(G17,#REF!,2,0),"")</f>
        <v>#REF!</v>
      </c>
      <c r="N17" s="51" t="e">
        <f>_xlfn.IFNA(VLOOKUP(G17,#REF!,3,0),"")</f>
        <v>#REF!</v>
      </c>
      <c r="O17" s="66">
        <v>0.66666666666666696</v>
      </c>
      <c r="P17" s="67">
        <v>9.9615419501133822</v>
      </c>
      <c r="Q17" s="56" t="s">
        <v>10</v>
      </c>
      <c r="R17" s="51">
        <v>3.5</v>
      </c>
      <c r="S17" s="51"/>
      <c r="T17" s="57">
        <v>0.54945054945054972</v>
      </c>
      <c r="U17" s="58">
        <f t="shared" si="0"/>
        <v>35.414847374847383</v>
      </c>
      <c r="V17" s="59">
        <f t="shared" si="1"/>
        <v>1.7707423687423691</v>
      </c>
      <c r="W17" s="60">
        <f t="shared" si="4"/>
        <v>0.26428990578244316</v>
      </c>
      <c r="X17" s="51"/>
      <c r="Y17" s="51"/>
      <c r="Z17" s="57"/>
      <c r="AA17" s="61">
        <v>46031</v>
      </c>
      <c r="AB17" s="61">
        <v>46054</v>
      </c>
      <c r="AC17" s="61"/>
      <c r="AD17" s="62" t="e">
        <f>IF(ISNA(VLOOKUP(D17,#REF!,5,0)),0,VLOOKUP(D17,#REF!,5,0))</f>
        <v>#REF!</v>
      </c>
      <c r="AE17" s="62" t="e">
        <f t="shared" si="2"/>
        <v>#REF!</v>
      </c>
      <c r="AF17" s="61">
        <v>46066</v>
      </c>
      <c r="AG17" s="50">
        <f t="shared" si="3"/>
        <v>35</v>
      </c>
      <c r="AH17" s="61">
        <v>46102</v>
      </c>
      <c r="AI17" s="56">
        <v>22</v>
      </c>
      <c r="AJ17" s="56">
        <f t="shared" si="5"/>
        <v>36</v>
      </c>
      <c r="AK17" s="56"/>
      <c r="AL17" s="52"/>
      <c r="AM17" s="51"/>
      <c r="AN17" s="51"/>
      <c r="AO17" s="56"/>
      <c r="AP17" s="63"/>
      <c r="AQ17" s="63"/>
      <c r="AR17" s="63"/>
      <c r="AS17" s="63"/>
    </row>
    <row r="18" spans="1:45" s="64" customFormat="1" ht="12" customHeight="1" x14ac:dyDescent="0.25">
      <c r="A18" s="50">
        <v>17</v>
      </c>
      <c r="B18" s="51"/>
      <c r="C18" s="51" t="s">
        <v>304</v>
      </c>
      <c r="D18" s="52" t="s">
        <v>298</v>
      </c>
      <c r="E18" s="51" t="s">
        <v>58</v>
      </c>
      <c r="F18" s="51" t="s">
        <v>0</v>
      </c>
      <c r="G18" s="53" t="s">
        <v>70</v>
      </c>
      <c r="H18" s="51">
        <v>100</v>
      </c>
      <c r="I18" s="51" t="s">
        <v>66</v>
      </c>
      <c r="J18" s="51" t="s">
        <v>3</v>
      </c>
      <c r="K18" s="52" t="s">
        <v>22</v>
      </c>
      <c r="L18" s="54" t="e">
        <f>VLOOKUP(G18,#REF!,4,0)</f>
        <v>#REF!</v>
      </c>
      <c r="M18" s="55" t="e">
        <f>_xlfn.IFNA(VLOOKUP(G18,#REF!,2,0),"")</f>
        <v>#REF!</v>
      </c>
      <c r="N18" s="51" t="e">
        <f>_xlfn.IFNA(VLOOKUP(G18,#REF!,3,0),"")</f>
        <v>#REF!</v>
      </c>
      <c r="O18" s="56">
        <v>5</v>
      </c>
      <c r="P18" s="67">
        <v>74.711403508771937</v>
      </c>
      <c r="Q18" s="56" t="s">
        <v>10</v>
      </c>
      <c r="R18" s="51">
        <v>3.5</v>
      </c>
      <c r="S18" s="51"/>
      <c r="T18" s="57">
        <v>4.1208791208791204</v>
      </c>
      <c r="U18" s="58">
        <f t="shared" si="0"/>
        <v>265.61079140158091</v>
      </c>
      <c r="V18" s="59">
        <f t="shared" si="1"/>
        <v>2.6561079140158093</v>
      </c>
      <c r="W18" s="60">
        <f t="shared" si="4"/>
        <v>0.39643401701728498</v>
      </c>
      <c r="X18" s="51"/>
      <c r="Y18" s="51"/>
      <c r="Z18" s="57"/>
      <c r="AA18" s="61">
        <v>46031</v>
      </c>
      <c r="AB18" s="61">
        <v>46054</v>
      </c>
      <c r="AC18" s="61"/>
      <c r="AD18" s="62" t="e">
        <f>IF(ISNA(VLOOKUP(D18,#REF!,5,0)),0,VLOOKUP(D18,#REF!,5,0))</f>
        <v>#REF!</v>
      </c>
      <c r="AE18" s="62" t="e">
        <f t="shared" si="2"/>
        <v>#REF!</v>
      </c>
      <c r="AF18" s="61">
        <v>46069</v>
      </c>
      <c r="AG18" s="50">
        <f t="shared" si="3"/>
        <v>38</v>
      </c>
      <c r="AH18" s="61">
        <v>46105</v>
      </c>
      <c r="AI18" s="56">
        <v>100</v>
      </c>
      <c r="AJ18" s="56">
        <f t="shared" si="5"/>
        <v>36</v>
      </c>
      <c r="AK18" s="56"/>
      <c r="AL18" s="52"/>
      <c r="AM18" s="51"/>
      <c r="AN18" s="51"/>
      <c r="AO18" s="56"/>
      <c r="AP18" s="63"/>
      <c r="AQ18" s="63"/>
      <c r="AR18" s="63"/>
      <c r="AS18" s="63"/>
    </row>
    <row r="19" spans="1:45" s="64" customFormat="1" ht="12" customHeight="1" x14ac:dyDescent="0.25">
      <c r="A19" s="50">
        <v>18</v>
      </c>
      <c r="B19" s="51"/>
      <c r="C19" s="51" t="s">
        <v>304</v>
      </c>
      <c r="D19" s="52" t="s">
        <v>298</v>
      </c>
      <c r="E19" s="51" t="s">
        <v>58</v>
      </c>
      <c r="F19" s="51" t="s">
        <v>0</v>
      </c>
      <c r="G19" s="53" t="s">
        <v>64</v>
      </c>
      <c r="H19" s="51">
        <v>1200</v>
      </c>
      <c r="I19" s="51" t="s">
        <v>66</v>
      </c>
      <c r="J19" s="51" t="s">
        <v>3</v>
      </c>
      <c r="K19" s="52" t="s">
        <v>22</v>
      </c>
      <c r="L19" s="54" t="e">
        <f>VLOOKUP(G19,#REF!,4,0)</f>
        <v>#REF!</v>
      </c>
      <c r="M19" s="55" t="e">
        <f>_xlfn.IFNA(VLOOKUP(G19,#REF!,2,0),"")</f>
        <v>#REF!</v>
      </c>
      <c r="N19" s="51" t="e">
        <f>_xlfn.IFNA(VLOOKUP(G19,#REF!,3,0),"")</f>
        <v>#REF!</v>
      </c>
      <c r="O19" s="56">
        <v>30</v>
      </c>
      <c r="P19" s="67">
        <v>448.2684210526316</v>
      </c>
      <c r="Q19" s="56" t="s">
        <v>10</v>
      </c>
      <c r="R19" s="51">
        <v>3.5</v>
      </c>
      <c r="S19" s="51"/>
      <c r="T19" s="57">
        <v>24.725274725274726</v>
      </c>
      <c r="U19" s="58">
        <f t="shared" si="0"/>
        <v>1593.6647484094851</v>
      </c>
      <c r="V19" s="59">
        <f t="shared" si="1"/>
        <v>1.3280539570079042</v>
      </c>
      <c r="W19" s="60">
        <f t="shared" si="4"/>
        <v>0.19821700850864241</v>
      </c>
      <c r="X19" s="51"/>
      <c r="Y19" s="51"/>
      <c r="Z19" s="57"/>
      <c r="AA19" s="61">
        <v>46031</v>
      </c>
      <c r="AB19" s="61">
        <v>46054</v>
      </c>
      <c r="AC19" s="61"/>
      <c r="AD19" s="62" t="e">
        <f>IF(ISNA(VLOOKUP(D19,#REF!,5,0)),0,VLOOKUP(D19,#REF!,5,0))</f>
        <v>#REF!</v>
      </c>
      <c r="AE19" s="62" t="e">
        <f t="shared" si="2"/>
        <v>#REF!</v>
      </c>
      <c r="AF19" s="61">
        <v>46069</v>
      </c>
      <c r="AG19" s="50">
        <f t="shared" si="3"/>
        <v>38</v>
      </c>
      <c r="AH19" s="61">
        <v>46105</v>
      </c>
      <c r="AI19" s="56">
        <v>1200</v>
      </c>
      <c r="AJ19" s="56">
        <f t="shared" si="5"/>
        <v>36</v>
      </c>
      <c r="AK19" s="56"/>
      <c r="AL19" s="52"/>
      <c r="AM19" s="51"/>
      <c r="AN19" s="51"/>
      <c r="AO19" s="56"/>
      <c r="AP19" s="63"/>
      <c r="AQ19" s="63"/>
      <c r="AR19" s="63"/>
      <c r="AS19" s="63"/>
    </row>
    <row r="20" spans="1:45" s="64" customFormat="1" ht="12" customHeight="1" x14ac:dyDescent="0.25">
      <c r="A20" s="50">
        <v>19</v>
      </c>
      <c r="B20" s="51"/>
      <c r="C20" s="51" t="s">
        <v>304</v>
      </c>
      <c r="D20" s="52" t="s">
        <v>298</v>
      </c>
      <c r="E20" s="51" t="s">
        <v>58</v>
      </c>
      <c r="F20" s="51" t="s">
        <v>0</v>
      </c>
      <c r="G20" s="53" t="s">
        <v>65</v>
      </c>
      <c r="H20" s="51">
        <v>480</v>
      </c>
      <c r="I20" s="51" t="s">
        <v>66</v>
      </c>
      <c r="J20" s="51" t="s">
        <v>3</v>
      </c>
      <c r="K20" s="52" t="s">
        <v>22</v>
      </c>
      <c r="L20" s="54" t="e">
        <f>VLOOKUP(G20,#REF!,4,0)</f>
        <v>#REF!</v>
      </c>
      <c r="M20" s="55" t="e">
        <f>_xlfn.IFNA(VLOOKUP(G20,#REF!,2,0),"")</f>
        <v>#REF!</v>
      </c>
      <c r="N20" s="51" t="e">
        <f>_xlfn.IFNA(VLOOKUP(G20,#REF!,3,0),"")</f>
        <v>#REF!</v>
      </c>
      <c r="O20" s="56">
        <v>12</v>
      </c>
      <c r="P20" s="67">
        <v>179.30736842105264</v>
      </c>
      <c r="Q20" s="56" t="s">
        <v>10</v>
      </c>
      <c r="R20" s="51">
        <v>3.5</v>
      </c>
      <c r="S20" s="51"/>
      <c r="T20" s="57">
        <v>9.8901098901098905</v>
      </c>
      <c r="U20" s="58">
        <f t="shared" si="0"/>
        <v>637.46589936379416</v>
      </c>
      <c r="V20" s="59">
        <f t="shared" si="1"/>
        <v>1.3280539570079044</v>
      </c>
      <c r="W20" s="60">
        <f t="shared" si="4"/>
        <v>0.19821700850864243</v>
      </c>
      <c r="X20" s="51"/>
      <c r="Y20" s="51"/>
      <c r="Z20" s="57"/>
      <c r="AA20" s="61">
        <v>46031</v>
      </c>
      <c r="AB20" s="61">
        <v>46054</v>
      </c>
      <c r="AC20" s="61"/>
      <c r="AD20" s="62" t="e">
        <f>IF(ISNA(VLOOKUP(D20,#REF!,5,0)),0,VLOOKUP(D20,#REF!,5,0))</f>
        <v>#REF!</v>
      </c>
      <c r="AE20" s="62" t="e">
        <f t="shared" si="2"/>
        <v>#REF!</v>
      </c>
      <c r="AF20" s="61">
        <v>46069</v>
      </c>
      <c r="AG20" s="50">
        <f t="shared" si="3"/>
        <v>38</v>
      </c>
      <c r="AH20" s="61">
        <v>46105</v>
      </c>
      <c r="AI20" s="56">
        <v>480</v>
      </c>
      <c r="AJ20" s="56">
        <f t="shared" si="5"/>
        <v>36</v>
      </c>
      <c r="AK20" s="56"/>
      <c r="AL20" s="52"/>
      <c r="AM20" s="51"/>
      <c r="AN20" s="51"/>
      <c r="AO20" s="56"/>
      <c r="AP20" s="63"/>
      <c r="AQ20" s="63"/>
      <c r="AR20" s="63"/>
      <c r="AS20" s="63"/>
    </row>
    <row r="21" spans="1:45" s="64" customFormat="1" ht="12" customHeight="1" x14ac:dyDescent="0.25">
      <c r="A21" s="50">
        <v>20</v>
      </c>
      <c r="B21" s="51"/>
      <c r="C21" s="51" t="s">
        <v>304</v>
      </c>
      <c r="D21" s="52" t="s">
        <v>298</v>
      </c>
      <c r="E21" s="51" t="s">
        <v>58</v>
      </c>
      <c r="F21" s="51" t="s">
        <v>0</v>
      </c>
      <c r="G21" s="53" t="s">
        <v>135</v>
      </c>
      <c r="H21" s="51">
        <v>120</v>
      </c>
      <c r="I21" s="51" t="s">
        <v>66</v>
      </c>
      <c r="J21" s="51" t="s">
        <v>3</v>
      </c>
      <c r="K21" s="52" t="s">
        <v>22</v>
      </c>
      <c r="L21" s="54" t="e">
        <f>VLOOKUP(G21,#REF!,4,0)</f>
        <v>#REF!</v>
      </c>
      <c r="M21" s="55" t="e">
        <f>_xlfn.IFNA(VLOOKUP(G21,#REF!,2,0),"")</f>
        <v>#REF!</v>
      </c>
      <c r="N21" s="51" t="e">
        <f>_xlfn.IFNA(VLOOKUP(G21,#REF!,3,0),"")</f>
        <v>#REF!</v>
      </c>
      <c r="O21" s="56">
        <v>3</v>
      </c>
      <c r="P21" s="67">
        <v>44.826842105263161</v>
      </c>
      <c r="Q21" s="56" t="s">
        <v>10</v>
      </c>
      <c r="R21" s="51">
        <v>3.5</v>
      </c>
      <c r="S21" s="51"/>
      <c r="T21" s="57">
        <v>2.4725274725274726</v>
      </c>
      <c r="U21" s="58">
        <f>R21*P21+T21</f>
        <v>159.36647484094854</v>
      </c>
      <c r="V21" s="59">
        <f t="shared" si="1"/>
        <v>1.3280539570079044</v>
      </c>
      <c r="W21" s="60">
        <f t="shared" si="4"/>
        <v>0.19821700850864243</v>
      </c>
      <c r="X21" s="51"/>
      <c r="Y21" s="51"/>
      <c r="Z21" s="57"/>
      <c r="AA21" s="61">
        <v>46031</v>
      </c>
      <c r="AB21" s="61">
        <v>46054</v>
      </c>
      <c r="AC21" s="61"/>
      <c r="AD21" s="62" t="e">
        <f>IF(ISNA(VLOOKUP(D21,#REF!,5,0)),0,VLOOKUP(D21,#REF!,5,0))</f>
        <v>#REF!</v>
      </c>
      <c r="AE21" s="62" t="e">
        <f t="shared" si="2"/>
        <v>#REF!</v>
      </c>
      <c r="AF21" s="61">
        <v>46069</v>
      </c>
      <c r="AG21" s="50">
        <f t="shared" si="3"/>
        <v>38</v>
      </c>
      <c r="AH21" s="61">
        <v>46105</v>
      </c>
      <c r="AI21" s="56">
        <v>120</v>
      </c>
      <c r="AJ21" s="56">
        <f t="shared" si="5"/>
        <v>36</v>
      </c>
      <c r="AK21" s="56"/>
      <c r="AL21" s="52"/>
      <c r="AM21" s="51"/>
      <c r="AN21" s="51"/>
      <c r="AO21" s="56"/>
      <c r="AP21" s="63"/>
      <c r="AQ21" s="63"/>
      <c r="AR21" s="63"/>
      <c r="AS21" s="63"/>
    </row>
    <row r="22" spans="1:45" s="64" customFormat="1" ht="12" customHeight="1" x14ac:dyDescent="0.25">
      <c r="A22" s="50">
        <v>21</v>
      </c>
      <c r="B22" s="51"/>
      <c r="C22" s="51" t="s">
        <v>304</v>
      </c>
      <c r="D22" s="52" t="s">
        <v>298</v>
      </c>
      <c r="E22" s="51" t="s">
        <v>58</v>
      </c>
      <c r="F22" s="51" t="s">
        <v>0</v>
      </c>
      <c r="G22" s="53" t="s">
        <v>158</v>
      </c>
      <c r="H22" s="51">
        <v>60</v>
      </c>
      <c r="I22" s="51" t="s">
        <v>66</v>
      </c>
      <c r="J22" s="51" t="s">
        <v>3</v>
      </c>
      <c r="K22" s="52" t="s">
        <v>22</v>
      </c>
      <c r="L22" s="54" t="e">
        <f>VLOOKUP(G22,#REF!,4,0)</f>
        <v>#REF!</v>
      </c>
      <c r="M22" s="55" t="e">
        <f>_xlfn.IFNA(VLOOKUP(G22,#REF!,2,0),"")</f>
        <v>#REF!</v>
      </c>
      <c r="N22" s="51" t="e">
        <f>_xlfn.IFNA(VLOOKUP(G22,#REF!,3,0),"")</f>
        <v>#REF!</v>
      </c>
      <c r="O22" s="56">
        <v>2</v>
      </c>
      <c r="P22" s="67">
        <v>29.884561403508773</v>
      </c>
      <c r="Q22" s="56" t="s">
        <v>10</v>
      </c>
      <c r="R22" s="51">
        <v>3.5</v>
      </c>
      <c r="S22" s="51"/>
      <c r="T22" s="57">
        <v>1.6483516483516483</v>
      </c>
      <c r="U22" s="58">
        <f t="shared" si="0"/>
        <v>106.24431656063236</v>
      </c>
      <c r="V22" s="59">
        <f t="shared" si="1"/>
        <v>1.7707386093438726</v>
      </c>
      <c r="W22" s="60">
        <f t="shared" si="4"/>
        <v>0.26428934467818993</v>
      </c>
      <c r="X22" s="51"/>
      <c r="Y22" s="51"/>
      <c r="Z22" s="57"/>
      <c r="AA22" s="61">
        <v>46031</v>
      </c>
      <c r="AB22" s="61">
        <v>46054</v>
      </c>
      <c r="AC22" s="61"/>
      <c r="AD22" s="62" t="e">
        <f>IF(ISNA(VLOOKUP(D22,#REF!,5,0)),0,VLOOKUP(D22,#REF!,5,0))</f>
        <v>#REF!</v>
      </c>
      <c r="AE22" s="62" t="e">
        <f t="shared" si="2"/>
        <v>#REF!</v>
      </c>
      <c r="AF22" s="61">
        <v>46069</v>
      </c>
      <c r="AG22" s="50">
        <f t="shared" si="3"/>
        <v>38</v>
      </c>
      <c r="AH22" s="61">
        <v>46105</v>
      </c>
      <c r="AI22" s="56">
        <v>60</v>
      </c>
      <c r="AJ22" s="56">
        <f t="shared" si="5"/>
        <v>36</v>
      </c>
      <c r="AK22" s="56"/>
      <c r="AL22" s="52"/>
      <c r="AM22" s="51"/>
      <c r="AN22" s="51"/>
      <c r="AO22" s="56"/>
      <c r="AP22" s="63"/>
      <c r="AQ22" s="63"/>
      <c r="AR22" s="63"/>
      <c r="AS22" s="63"/>
    </row>
    <row r="23" spans="1:45" s="64" customFormat="1" ht="12" customHeight="1" x14ac:dyDescent="0.25">
      <c r="A23" s="50">
        <v>22</v>
      </c>
      <c r="B23" s="51"/>
      <c r="C23" s="51" t="s">
        <v>304</v>
      </c>
      <c r="D23" s="52" t="s">
        <v>298</v>
      </c>
      <c r="E23" s="51" t="s">
        <v>58</v>
      </c>
      <c r="F23" s="51" t="s">
        <v>0</v>
      </c>
      <c r="G23" s="53" t="s">
        <v>159</v>
      </c>
      <c r="H23" s="51">
        <v>150</v>
      </c>
      <c r="I23" s="51" t="s">
        <v>66</v>
      </c>
      <c r="J23" s="51" t="s">
        <v>3</v>
      </c>
      <c r="K23" s="52" t="s">
        <v>22</v>
      </c>
      <c r="L23" s="54" t="e">
        <f>VLOOKUP(G23,#REF!,4,0)</f>
        <v>#REF!</v>
      </c>
      <c r="M23" s="55" t="e">
        <f>_xlfn.IFNA(VLOOKUP(G23,#REF!,2,0),"")</f>
        <v>#REF!</v>
      </c>
      <c r="N23" s="51" t="e">
        <f>_xlfn.IFNA(VLOOKUP(G23,#REF!,3,0),"")</f>
        <v>#REF!</v>
      </c>
      <c r="O23" s="56">
        <v>5</v>
      </c>
      <c r="P23" s="67">
        <v>74.711403508771937</v>
      </c>
      <c r="Q23" s="56" t="s">
        <v>10</v>
      </c>
      <c r="R23" s="51">
        <v>3.5</v>
      </c>
      <c r="S23" s="51"/>
      <c r="T23" s="57">
        <v>4.1208791208791204</v>
      </c>
      <c r="U23" s="58">
        <f t="shared" si="0"/>
        <v>265.61079140158091</v>
      </c>
      <c r="V23" s="59">
        <f t="shared" si="1"/>
        <v>1.7707386093438728</v>
      </c>
      <c r="W23" s="60">
        <f t="shared" si="4"/>
        <v>0.26428934467818999</v>
      </c>
      <c r="X23" s="51"/>
      <c r="Y23" s="51"/>
      <c r="Z23" s="57"/>
      <c r="AA23" s="61">
        <v>46031</v>
      </c>
      <c r="AB23" s="61">
        <v>46054</v>
      </c>
      <c r="AC23" s="61"/>
      <c r="AD23" s="62" t="e">
        <f>IF(ISNA(VLOOKUP(D23,#REF!,5,0)),0,VLOOKUP(D23,#REF!,5,0))</f>
        <v>#REF!</v>
      </c>
      <c r="AE23" s="62" t="e">
        <f t="shared" si="2"/>
        <v>#REF!</v>
      </c>
      <c r="AF23" s="61">
        <v>46069</v>
      </c>
      <c r="AG23" s="50">
        <f t="shared" si="3"/>
        <v>38</v>
      </c>
      <c r="AH23" s="61">
        <v>46105</v>
      </c>
      <c r="AI23" s="56">
        <v>150</v>
      </c>
      <c r="AJ23" s="56">
        <f t="shared" si="5"/>
        <v>36</v>
      </c>
      <c r="AK23" s="56"/>
      <c r="AL23" s="52"/>
      <c r="AM23" s="51"/>
      <c r="AN23" s="51"/>
      <c r="AO23" s="56"/>
      <c r="AP23" s="63"/>
      <c r="AQ23" s="63"/>
      <c r="AR23" s="63"/>
      <c r="AS23" s="63"/>
    </row>
    <row r="24" spans="1:45" s="64" customFormat="1" ht="12" customHeight="1" x14ac:dyDescent="0.25">
      <c r="A24" s="50">
        <v>23</v>
      </c>
      <c r="B24" s="51"/>
      <c r="C24" s="51" t="s">
        <v>304</v>
      </c>
      <c r="D24" s="52" t="s">
        <v>299</v>
      </c>
      <c r="E24" s="51" t="s">
        <v>260</v>
      </c>
      <c r="F24" s="51" t="s">
        <v>0</v>
      </c>
      <c r="G24" s="53" t="s">
        <v>269</v>
      </c>
      <c r="H24" s="51">
        <v>390</v>
      </c>
      <c r="I24" s="51" t="s">
        <v>66</v>
      </c>
      <c r="J24" s="51" t="s">
        <v>3</v>
      </c>
      <c r="K24" s="52" t="s">
        <v>22</v>
      </c>
      <c r="L24" s="54" t="e">
        <f>VLOOKUP(G24,#REF!,4,0)</f>
        <v>#REF!</v>
      </c>
      <c r="M24" s="55" t="e">
        <f>_xlfn.IFNA(VLOOKUP(G24,#REF!,2,0),"")</f>
        <v>#REF!</v>
      </c>
      <c r="N24" s="51" t="e">
        <f>_xlfn.IFNA(VLOOKUP(G24,#REF!,3,0),"")</f>
        <v>#REF!</v>
      </c>
      <c r="O24" s="56">
        <v>13</v>
      </c>
      <c r="P24" s="67">
        <v>194.25</v>
      </c>
      <c r="Q24" s="56" t="s">
        <v>10</v>
      </c>
      <c r="R24" s="51">
        <v>3.5</v>
      </c>
      <c r="S24" s="51"/>
      <c r="T24" s="57">
        <v>10.714285714285714</v>
      </c>
      <c r="U24" s="58">
        <f t="shared" si="0"/>
        <v>690.58928571428567</v>
      </c>
      <c r="V24" s="59">
        <f t="shared" si="1"/>
        <v>1.7707417582417582</v>
      </c>
      <c r="W24" s="60">
        <f t="shared" si="4"/>
        <v>0.26428981466294899</v>
      </c>
      <c r="X24" s="51"/>
      <c r="Y24" s="51"/>
      <c r="Z24" s="57"/>
      <c r="AA24" s="61">
        <v>46031</v>
      </c>
      <c r="AB24" s="61">
        <v>46054</v>
      </c>
      <c r="AC24" s="61"/>
      <c r="AD24" s="62" t="e">
        <f>IF(ISNA(VLOOKUP(D24,#REF!,5,0)),0,VLOOKUP(D24,#REF!,5,0))</f>
        <v>#REF!</v>
      </c>
      <c r="AE24" s="62" t="e">
        <f t="shared" si="2"/>
        <v>#REF!</v>
      </c>
      <c r="AF24" s="61">
        <v>46066</v>
      </c>
      <c r="AG24" s="50">
        <f t="shared" si="3"/>
        <v>35</v>
      </c>
      <c r="AH24" s="61">
        <v>46099</v>
      </c>
      <c r="AI24" s="56">
        <v>360</v>
      </c>
      <c r="AJ24" s="56">
        <f t="shared" si="5"/>
        <v>33</v>
      </c>
      <c r="AK24" s="56"/>
      <c r="AL24" s="52"/>
      <c r="AM24" s="51"/>
      <c r="AN24" s="51"/>
      <c r="AO24" s="56"/>
      <c r="AP24" s="63"/>
      <c r="AQ24" s="63"/>
      <c r="AR24" s="63"/>
      <c r="AS24" s="63"/>
    </row>
    <row r="25" spans="1:45" s="64" customFormat="1" ht="12" customHeight="1" x14ac:dyDescent="0.25">
      <c r="A25" s="50">
        <v>24</v>
      </c>
      <c r="B25" s="51"/>
      <c r="C25" s="51" t="s">
        <v>305</v>
      </c>
      <c r="D25" s="52" t="s">
        <v>300</v>
      </c>
      <c r="E25" s="51" t="s">
        <v>61</v>
      </c>
      <c r="F25" s="51" t="s">
        <v>0</v>
      </c>
      <c r="G25" s="53" t="s">
        <v>293</v>
      </c>
      <c r="H25" s="51">
        <v>320</v>
      </c>
      <c r="I25" s="51" t="s">
        <v>87</v>
      </c>
      <c r="J25" s="51" t="s">
        <v>3</v>
      </c>
      <c r="K25" s="52" t="s">
        <v>22</v>
      </c>
      <c r="L25" s="54" t="e">
        <f>VLOOKUP(G25,#REF!,4,0)</f>
        <v>#REF!</v>
      </c>
      <c r="M25" s="55" t="e">
        <f>_xlfn.IFNA(VLOOKUP(G25,#REF!,2,0),"")</f>
        <v>#REF!</v>
      </c>
      <c r="N25" s="51" t="e">
        <f>_xlfn.IFNA(VLOOKUP(G25,#REF!,3,0),"")</f>
        <v>#REF!</v>
      </c>
      <c r="O25" s="56">
        <v>5</v>
      </c>
      <c r="P25" s="67">
        <v>71.25</v>
      </c>
      <c r="Q25" s="56" t="s">
        <v>10</v>
      </c>
      <c r="R25" s="51">
        <v>5.6</v>
      </c>
      <c r="S25" s="51">
        <v>350</v>
      </c>
      <c r="T25" s="57">
        <v>218.75</v>
      </c>
      <c r="U25" s="58">
        <f t="shared" si="0"/>
        <v>617.75</v>
      </c>
      <c r="V25" s="59">
        <f t="shared" si="1"/>
        <v>1.93046875</v>
      </c>
      <c r="W25" s="60">
        <f t="shared" si="4"/>
        <v>0.28812966417910446</v>
      </c>
      <c r="X25" s="51"/>
      <c r="Y25" s="51"/>
      <c r="Z25" s="57"/>
      <c r="AA25" s="61">
        <v>46031</v>
      </c>
      <c r="AB25" s="61">
        <v>46051</v>
      </c>
      <c r="AC25" s="61"/>
      <c r="AD25" s="62" t="e">
        <f>IF(ISNA(VLOOKUP(D25,#REF!,5,0)),0,VLOOKUP(D25,#REF!,5,0))</f>
        <v>#REF!</v>
      </c>
      <c r="AE25" s="62" t="e">
        <f t="shared" si="2"/>
        <v>#REF!</v>
      </c>
      <c r="AF25" s="61">
        <v>46064</v>
      </c>
      <c r="AG25" s="50">
        <f t="shared" si="3"/>
        <v>33</v>
      </c>
      <c r="AH25" s="61">
        <v>46092</v>
      </c>
      <c r="AI25" s="56">
        <v>331</v>
      </c>
      <c r="AJ25" s="56">
        <f t="shared" si="5"/>
        <v>28</v>
      </c>
      <c r="AK25" s="56"/>
      <c r="AL25" s="52"/>
      <c r="AM25" s="51"/>
      <c r="AN25" s="51"/>
      <c r="AO25" s="56"/>
      <c r="AP25" s="63"/>
      <c r="AQ25" s="63"/>
      <c r="AR25" s="63"/>
      <c r="AS25" s="63"/>
    </row>
    <row r="26" spans="1:45" s="64" customFormat="1" ht="12" customHeight="1" x14ac:dyDescent="0.25">
      <c r="A26" s="50">
        <v>25</v>
      </c>
      <c r="B26" s="51"/>
      <c r="C26" s="51" t="s">
        <v>305</v>
      </c>
      <c r="D26" s="52" t="s">
        <v>301</v>
      </c>
      <c r="E26" s="51" t="s">
        <v>58</v>
      </c>
      <c r="F26" s="51" t="s">
        <v>0</v>
      </c>
      <c r="G26" s="53" t="s">
        <v>277</v>
      </c>
      <c r="H26" s="51">
        <v>192</v>
      </c>
      <c r="I26" s="51" t="s">
        <v>87</v>
      </c>
      <c r="J26" s="51" t="s">
        <v>3</v>
      </c>
      <c r="K26" s="52" t="s">
        <v>22</v>
      </c>
      <c r="L26" s="54" t="e">
        <f>VLOOKUP(G26,#REF!,4,0)</f>
        <v>#REF!</v>
      </c>
      <c r="M26" s="55" t="e">
        <f>_xlfn.IFNA(VLOOKUP(G26,#REF!,2,0),"")</f>
        <v>#REF!</v>
      </c>
      <c r="N26" s="51" t="e">
        <f>_xlfn.IFNA(VLOOKUP(G26,#REF!,3,0),"")</f>
        <v>#REF!</v>
      </c>
      <c r="O26" s="56">
        <v>3</v>
      </c>
      <c r="P26" s="67">
        <v>42.75</v>
      </c>
      <c r="Q26" s="56" t="s">
        <v>10</v>
      </c>
      <c r="R26" s="51">
        <v>5.6</v>
      </c>
      <c r="S26" s="65">
        <f>SUMIF(C:C,C25,T:T)</f>
        <v>350</v>
      </c>
      <c r="T26" s="57">
        <v>131.25</v>
      </c>
      <c r="U26" s="58">
        <f t="shared" si="0"/>
        <v>370.65</v>
      </c>
      <c r="V26" s="59">
        <f t="shared" si="1"/>
        <v>1.93046875</v>
      </c>
      <c r="W26" s="60">
        <f t="shared" si="4"/>
        <v>0.28812966417910446</v>
      </c>
      <c r="X26" s="51"/>
      <c r="Y26" s="51"/>
      <c r="Z26" s="57"/>
      <c r="AA26" s="61">
        <v>46031</v>
      </c>
      <c r="AB26" s="61">
        <v>46051</v>
      </c>
      <c r="AC26" s="61"/>
      <c r="AD26" s="62" t="e">
        <f>IF(ISNA(VLOOKUP(D26,#REF!,5,0)),0,VLOOKUP(D26,#REF!,5,0))</f>
        <v>#REF!</v>
      </c>
      <c r="AE26" s="62" t="e">
        <f t="shared" si="2"/>
        <v>#REF!</v>
      </c>
      <c r="AF26" s="61">
        <v>46064</v>
      </c>
      <c r="AG26" s="50">
        <f t="shared" si="3"/>
        <v>33</v>
      </c>
      <c r="AH26" s="61">
        <v>46091</v>
      </c>
      <c r="AI26" s="56">
        <v>193</v>
      </c>
      <c r="AJ26" s="56">
        <f t="shared" si="5"/>
        <v>27</v>
      </c>
      <c r="AK26" s="56"/>
      <c r="AL26" s="52"/>
      <c r="AM26" s="51"/>
      <c r="AN26" s="51"/>
      <c r="AO26" s="56"/>
      <c r="AP26" s="63"/>
      <c r="AQ26" s="63"/>
      <c r="AR26" s="63"/>
      <c r="AS26" s="63"/>
    </row>
    <row r="27" spans="1:45" s="64" customFormat="1" ht="12" customHeight="1" x14ac:dyDescent="0.25">
      <c r="A27" s="50">
        <v>26</v>
      </c>
      <c r="B27" s="51"/>
      <c r="C27" s="51" t="s">
        <v>306</v>
      </c>
      <c r="D27" s="52" t="s">
        <v>302</v>
      </c>
      <c r="E27" s="51" t="s">
        <v>61</v>
      </c>
      <c r="F27" s="51" t="s">
        <v>0</v>
      </c>
      <c r="G27" s="53" t="s">
        <v>286</v>
      </c>
      <c r="H27" s="51">
        <v>360</v>
      </c>
      <c r="I27" s="51" t="s">
        <v>66</v>
      </c>
      <c r="J27" s="51" t="s">
        <v>1</v>
      </c>
      <c r="K27" s="52" t="s">
        <v>8</v>
      </c>
      <c r="L27" s="54" t="e">
        <f>VLOOKUP(G27,#REF!,4,0)</f>
        <v>#REF!</v>
      </c>
      <c r="M27" s="55" t="e">
        <f>_xlfn.IFNA(VLOOKUP(G27,#REF!,2,0),"")</f>
        <v>#REF!</v>
      </c>
      <c r="N27" s="51" t="e">
        <f>_xlfn.IFNA(VLOOKUP(G27,#REF!,3,0),"")</f>
        <v>#REF!</v>
      </c>
      <c r="O27" s="56">
        <v>3</v>
      </c>
      <c r="P27" s="67">
        <v>53.5</v>
      </c>
      <c r="Q27" s="56" t="s">
        <v>10</v>
      </c>
      <c r="R27" s="51">
        <v>44.5</v>
      </c>
      <c r="S27" s="51">
        <f>200+155.74</f>
        <v>355.74</v>
      </c>
      <c r="T27" s="57">
        <v>177.87</v>
      </c>
      <c r="U27" s="58">
        <f t="shared" si="0"/>
        <v>2558.62</v>
      </c>
      <c r="V27" s="59">
        <f t="shared" si="1"/>
        <v>7.1072777777777771</v>
      </c>
      <c r="W27" s="60">
        <f t="shared" si="4"/>
        <v>1.0607877280265339</v>
      </c>
      <c r="X27" s="51"/>
      <c r="Y27" s="51"/>
      <c r="Z27" s="57"/>
      <c r="AA27" s="61">
        <v>46031</v>
      </c>
      <c r="AB27" s="61">
        <v>46062</v>
      </c>
      <c r="AC27" s="61"/>
      <c r="AD27" s="62" t="e">
        <f>IF(ISNA(VLOOKUP(D27,#REF!,5,0)),0,VLOOKUP(D27,#REF!,5,0))</f>
        <v>#REF!</v>
      </c>
      <c r="AE27" s="62" t="e">
        <f t="shared" si="2"/>
        <v>#REF!</v>
      </c>
      <c r="AF27" s="61">
        <v>46044</v>
      </c>
      <c r="AG27" s="50">
        <f t="shared" si="3"/>
        <v>13</v>
      </c>
      <c r="AH27" s="61">
        <v>46074</v>
      </c>
      <c r="AI27" s="56">
        <v>359</v>
      </c>
      <c r="AJ27" s="56">
        <f t="shared" si="5"/>
        <v>30</v>
      </c>
      <c r="AK27" s="56"/>
      <c r="AL27" s="52" t="s">
        <v>312</v>
      </c>
      <c r="AM27" s="51"/>
      <c r="AN27" s="51"/>
      <c r="AO27" s="56"/>
      <c r="AP27" s="63"/>
      <c r="AQ27" s="63"/>
      <c r="AR27" s="63"/>
      <c r="AS27" s="63"/>
    </row>
    <row r="28" spans="1:45" s="64" customFormat="1" ht="12" customHeight="1" x14ac:dyDescent="0.25">
      <c r="A28" s="50">
        <v>27</v>
      </c>
      <c r="B28" s="51"/>
      <c r="C28" s="51" t="s">
        <v>306</v>
      </c>
      <c r="D28" s="52" t="s">
        <v>310</v>
      </c>
      <c r="E28" s="51" t="s">
        <v>61</v>
      </c>
      <c r="F28" s="51" t="s">
        <v>0</v>
      </c>
      <c r="G28" s="53" t="s">
        <v>289</v>
      </c>
      <c r="H28" s="51">
        <v>360</v>
      </c>
      <c r="I28" s="51" t="s">
        <v>66</v>
      </c>
      <c r="J28" s="51" t="s">
        <v>1</v>
      </c>
      <c r="K28" s="52" t="s">
        <v>8</v>
      </c>
      <c r="L28" s="54" t="e">
        <f>VLOOKUP(G28,#REF!,4,0)</f>
        <v>#REF!</v>
      </c>
      <c r="M28" s="55" t="e">
        <f>_xlfn.IFNA(VLOOKUP(G28,#REF!,2,0),"")</f>
        <v>#REF!</v>
      </c>
      <c r="N28" s="51" t="e">
        <f>_xlfn.IFNA(VLOOKUP(G28,#REF!,3,0),"")</f>
        <v>#REF!</v>
      </c>
      <c r="O28" s="56">
        <v>3</v>
      </c>
      <c r="P28" s="67">
        <v>53.5</v>
      </c>
      <c r="Q28" s="56" t="s">
        <v>10</v>
      </c>
      <c r="R28" s="51">
        <v>44.5</v>
      </c>
      <c r="S28" s="65">
        <f>SUMIF(C:C,C27,T:T)</f>
        <v>355.74</v>
      </c>
      <c r="T28" s="57">
        <v>177.87</v>
      </c>
      <c r="U28" s="58">
        <f t="shared" si="0"/>
        <v>2558.62</v>
      </c>
      <c r="V28" s="59">
        <f t="shared" si="1"/>
        <v>7.1072777777777771</v>
      </c>
      <c r="W28" s="60">
        <f t="shared" si="4"/>
        <v>1.0607877280265339</v>
      </c>
      <c r="X28" s="51"/>
      <c r="Y28" s="51"/>
      <c r="Z28" s="57"/>
      <c r="AA28" s="61">
        <v>46031</v>
      </c>
      <c r="AB28" s="61">
        <v>46062</v>
      </c>
      <c r="AC28" s="61"/>
      <c r="AD28" s="62" t="e">
        <f>IF(ISNA(VLOOKUP(D28,#REF!,5,0)),0,VLOOKUP(D28,#REF!,5,0))</f>
        <v>#REF!</v>
      </c>
      <c r="AE28" s="62" t="e">
        <f t="shared" si="2"/>
        <v>#REF!</v>
      </c>
      <c r="AF28" s="61">
        <v>46044</v>
      </c>
      <c r="AG28" s="50">
        <f t="shared" si="3"/>
        <v>13</v>
      </c>
      <c r="AH28" s="61">
        <v>46074</v>
      </c>
      <c r="AI28" s="56">
        <v>348</v>
      </c>
      <c r="AJ28" s="56">
        <f t="shared" si="5"/>
        <v>30</v>
      </c>
      <c r="AK28" s="56"/>
      <c r="AL28" s="52" t="s">
        <v>312</v>
      </c>
      <c r="AM28" s="51"/>
      <c r="AN28" s="51"/>
      <c r="AO28" s="56"/>
      <c r="AP28" s="63"/>
      <c r="AQ28" s="63"/>
      <c r="AR28" s="63"/>
      <c r="AS28" s="63"/>
    </row>
    <row r="29" spans="1:45" s="64" customFormat="1" ht="12" customHeight="1" x14ac:dyDescent="0.25">
      <c r="A29" s="51">
        <v>28</v>
      </c>
      <c r="B29" s="51"/>
      <c r="C29" s="51" t="s">
        <v>307</v>
      </c>
      <c r="D29" s="52" t="s">
        <v>308</v>
      </c>
      <c r="E29" s="51" t="s">
        <v>194</v>
      </c>
      <c r="F29" s="51" t="s">
        <v>195</v>
      </c>
      <c r="G29" s="53" t="s">
        <v>287</v>
      </c>
      <c r="H29" s="51">
        <v>120</v>
      </c>
      <c r="I29" s="51" t="s">
        <v>66</v>
      </c>
      <c r="J29" s="51" t="s">
        <v>439</v>
      </c>
      <c r="K29" s="52" t="s">
        <v>309</v>
      </c>
      <c r="L29" s="55" t="e">
        <f>VLOOKUP(G29,#REF!,4,0)</f>
        <v>#REF!</v>
      </c>
      <c r="M29" s="55" t="e">
        <f>_xlfn.IFNA(VLOOKUP(G29,#REF!,2,0),"")</f>
        <v>#REF!</v>
      </c>
      <c r="N29" s="51" t="e">
        <f>_xlfn.IFNA(VLOOKUP(G29,#REF!,3,0),"")</f>
        <v>#REF!</v>
      </c>
      <c r="O29" s="56">
        <v>1</v>
      </c>
      <c r="P29" s="67">
        <v>17.5</v>
      </c>
      <c r="Q29" s="56" t="s">
        <v>10</v>
      </c>
      <c r="R29" s="51">
        <v>51</v>
      </c>
      <c r="S29" s="51">
        <f>250+51.91</f>
        <v>301.90999999999997</v>
      </c>
      <c r="T29" s="57">
        <v>150.95499999999998</v>
      </c>
      <c r="U29" s="68">
        <f t="shared" si="0"/>
        <v>1043.4549999999999</v>
      </c>
      <c r="V29" s="69">
        <f t="shared" si="1"/>
        <v>8.6954583333333328</v>
      </c>
      <c r="W29" s="70">
        <f t="shared" si="4"/>
        <v>1.2978296019900497</v>
      </c>
      <c r="X29" s="51"/>
      <c r="Y29" s="51"/>
      <c r="Z29" s="57"/>
      <c r="AA29" s="61">
        <v>46031</v>
      </c>
      <c r="AB29" s="61">
        <v>46062</v>
      </c>
      <c r="AC29" s="61"/>
      <c r="AD29" s="57" t="e">
        <f>IF(ISNA(VLOOKUP(D29,#REF!,5,0)),0,VLOOKUP(D29,#REF!,5,0))</f>
        <v>#REF!</v>
      </c>
      <c r="AE29" s="57" t="e">
        <f t="shared" si="2"/>
        <v>#REF!</v>
      </c>
      <c r="AF29" s="61">
        <v>46050</v>
      </c>
      <c r="AG29" s="51">
        <f t="shared" si="3"/>
        <v>19</v>
      </c>
      <c r="AH29" s="61">
        <v>46064</v>
      </c>
      <c r="AI29" s="56">
        <v>120</v>
      </c>
      <c r="AJ29" s="56">
        <f t="shared" si="5"/>
        <v>14</v>
      </c>
      <c r="AK29" s="56"/>
      <c r="AL29" s="52" t="s">
        <v>317</v>
      </c>
      <c r="AM29" s="51"/>
      <c r="AN29" s="51"/>
      <c r="AO29" s="56"/>
      <c r="AP29" s="63"/>
      <c r="AQ29" s="63"/>
      <c r="AR29" s="63"/>
      <c r="AS29" s="63"/>
    </row>
    <row r="30" spans="1:45" s="64" customFormat="1" ht="12" customHeight="1" x14ac:dyDescent="0.25">
      <c r="A30" s="51">
        <v>29</v>
      </c>
      <c r="B30" s="51"/>
      <c r="C30" s="51" t="s">
        <v>307</v>
      </c>
      <c r="D30" s="52" t="s">
        <v>311</v>
      </c>
      <c r="E30" s="51" t="s">
        <v>194</v>
      </c>
      <c r="F30" s="51" t="s">
        <v>195</v>
      </c>
      <c r="G30" s="53" t="s">
        <v>288</v>
      </c>
      <c r="H30" s="51">
        <v>120</v>
      </c>
      <c r="I30" s="51" t="s">
        <v>66</v>
      </c>
      <c r="J30" s="51" t="s">
        <v>439</v>
      </c>
      <c r="K30" s="52" t="s">
        <v>309</v>
      </c>
      <c r="L30" s="55" t="e">
        <f>VLOOKUP(G30,#REF!,4,0)</f>
        <v>#REF!</v>
      </c>
      <c r="M30" s="55" t="e">
        <f>_xlfn.IFNA(VLOOKUP(G30,#REF!,2,0),"")</f>
        <v>#REF!</v>
      </c>
      <c r="N30" s="51" t="e">
        <f>_xlfn.IFNA(VLOOKUP(G30,#REF!,3,0),"")</f>
        <v>#REF!</v>
      </c>
      <c r="O30" s="56">
        <v>1</v>
      </c>
      <c r="P30" s="67">
        <v>17.5</v>
      </c>
      <c r="Q30" s="56" t="s">
        <v>10</v>
      </c>
      <c r="R30" s="51">
        <v>51</v>
      </c>
      <c r="S30" s="51">
        <f>SUMIF(C:C,C29,T:T)</f>
        <v>301.90999999999997</v>
      </c>
      <c r="T30" s="57">
        <v>150.95499999999998</v>
      </c>
      <c r="U30" s="68">
        <f t="shared" si="0"/>
        <v>1043.4549999999999</v>
      </c>
      <c r="V30" s="69">
        <f t="shared" si="1"/>
        <v>8.6954583333333328</v>
      </c>
      <c r="W30" s="70">
        <f t="shared" si="4"/>
        <v>1.2978296019900497</v>
      </c>
      <c r="X30" s="51"/>
      <c r="Y30" s="51"/>
      <c r="Z30" s="57"/>
      <c r="AA30" s="61">
        <v>46031</v>
      </c>
      <c r="AB30" s="61">
        <v>46062</v>
      </c>
      <c r="AC30" s="61"/>
      <c r="AD30" s="57" t="e">
        <f>IF(ISNA(VLOOKUP(D30,#REF!,5,0)),0,VLOOKUP(D30,#REF!,5,0))</f>
        <v>#REF!</v>
      </c>
      <c r="AE30" s="57" t="e">
        <f t="shared" si="2"/>
        <v>#REF!</v>
      </c>
      <c r="AF30" s="61">
        <v>46050</v>
      </c>
      <c r="AG30" s="51">
        <f t="shared" si="3"/>
        <v>19</v>
      </c>
      <c r="AH30" s="61">
        <v>46064</v>
      </c>
      <c r="AI30" s="56">
        <v>120</v>
      </c>
      <c r="AJ30" s="56">
        <f t="shared" si="5"/>
        <v>14</v>
      </c>
      <c r="AK30" s="56"/>
      <c r="AL30" s="52" t="s">
        <v>317</v>
      </c>
      <c r="AM30" s="51"/>
      <c r="AN30" s="51"/>
      <c r="AO30" s="56"/>
      <c r="AP30" s="63"/>
      <c r="AQ30" s="63"/>
      <c r="AR30" s="63"/>
      <c r="AS30" s="63"/>
    </row>
    <row r="31" spans="1:45" s="64" customFormat="1" ht="12" customHeight="1" x14ac:dyDescent="0.25">
      <c r="A31" s="50">
        <v>30</v>
      </c>
      <c r="B31" s="51"/>
      <c r="C31" s="51" t="s">
        <v>94</v>
      </c>
      <c r="D31" s="52" t="s">
        <v>320</v>
      </c>
      <c r="E31" s="51" t="s">
        <v>58</v>
      </c>
      <c r="F31" s="51" t="s">
        <v>0</v>
      </c>
      <c r="G31" s="53" t="s">
        <v>148</v>
      </c>
      <c r="H31" s="51">
        <v>1800</v>
      </c>
      <c r="I31" s="51" t="s">
        <v>66</v>
      </c>
      <c r="J31" s="51" t="s">
        <v>3</v>
      </c>
      <c r="K31" s="52" t="s">
        <v>4</v>
      </c>
      <c r="L31" s="54" t="e">
        <f>VLOOKUP(G31,#REF!,4,0)</f>
        <v>#REF!</v>
      </c>
      <c r="M31" s="55" t="e">
        <f>_xlfn.IFNA(VLOOKUP(G31,#REF!,2,0),"")</f>
        <v>#REF!</v>
      </c>
      <c r="N31" s="51" t="e">
        <f>_xlfn.IFNA(VLOOKUP(G31,#REF!,3,0),"")</f>
        <v>#REF!</v>
      </c>
      <c r="O31" s="56">
        <v>60</v>
      </c>
      <c r="P31" s="67">
        <v>909.75818181818192</v>
      </c>
      <c r="Q31" s="56" t="s">
        <v>10</v>
      </c>
      <c r="R31" s="51">
        <v>3.9</v>
      </c>
      <c r="S31" s="51">
        <f>200+50</f>
        <v>250</v>
      </c>
      <c r="T31" s="57">
        <v>55.350553505535053</v>
      </c>
      <c r="U31" s="58">
        <f t="shared" ref="U31:U76" si="6">R31*P31+T31</f>
        <v>3603.4074625964445</v>
      </c>
      <c r="V31" s="59">
        <f t="shared" si="1"/>
        <v>2.0018930347758026</v>
      </c>
      <c r="W31" s="60">
        <f t="shared" si="4"/>
        <v>0.29879000519041832</v>
      </c>
      <c r="X31" s="51"/>
      <c r="Y31" s="51"/>
      <c r="Z31" s="57"/>
      <c r="AA31" s="61">
        <v>46038</v>
      </c>
      <c r="AB31" s="61">
        <v>46060</v>
      </c>
      <c r="AC31" s="61"/>
      <c r="AD31" s="62" t="e">
        <f>IF(ISNA(VLOOKUP(D31,#REF!,5,0)),0,VLOOKUP(D31,#REF!,5,0))</f>
        <v>#REF!</v>
      </c>
      <c r="AE31" s="62" t="e">
        <f t="shared" si="2"/>
        <v>#REF!</v>
      </c>
      <c r="AF31" s="61">
        <v>46067</v>
      </c>
      <c r="AG31" s="50">
        <f t="shared" si="3"/>
        <v>29</v>
      </c>
      <c r="AH31" s="61">
        <v>46101</v>
      </c>
      <c r="AI31" s="56">
        <v>1822</v>
      </c>
      <c r="AJ31" s="56">
        <f t="shared" si="5"/>
        <v>34</v>
      </c>
      <c r="AK31" s="56"/>
      <c r="AL31" s="52"/>
      <c r="AM31" s="51"/>
      <c r="AN31" s="51"/>
      <c r="AO31" s="56"/>
      <c r="AP31" s="63"/>
      <c r="AQ31" s="63"/>
      <c r="AR31" s="63"/>
      <c r="AS31" s="63"/>
    </row>
    <row r="32" spans="1:45" s="64" customFormat="1" ht="12" customHeight="1" x14ac:dyDescent="0.25">
      <c r="A32" s="50">
        <v>31</v>
      </c>
      <c r="B32" s="51"/>
      <c r="C32" s="51" t="s">
        <v>94</v>
      </c>
      <c r="D32" s="52" t="s">
        <v>320</v>
      </c>
      <c r="E32" s="51" t="s">
        <v>58</v>
      </c>
      <c r="F32" s="51" t="s">
        <v>0</v>
      </c>
      <c r="G32" s="53" t="s">
        <v>202</v>
      </c>
      <c r="H32" s="51">
        <v>390</v>
      </c>
      <c r="I32" s="51" t="s">
        <v>66</v>
      </c>
      <c r="J32" s="51" t="s">
        <v>3</v>
      </c>
      <c r="K32" s="52" t="s">
        <v>4</v>
      </c>
      <c r="L32" s="54" t="e">
        <f>VLOOKUP(G32,#REF!,4,0)</f>
        <v>#REF!</v>
      </c>
      <c r="M32" s="55" t="e">
        <f>_xlfn.IFNA(VLOOKUP(G32,#REF!,2,0),"")</f>
        <v>#REF!</v>
      </c>
      <c r="N32" s="51" t="e">
        <f>_xlfn.IFNA(VLOOKUP(G32,#REF!,3,0),"")</f>
        <v>#REF!</v>
      </c>
      <c r="O32" s="56">
        <v>13</v>
      </c>
      <c r="P32" s="67">
        <v>197.11427272727275</v>
      </c>
      <c r="Q32" s="56" t="s">
        <v>10</v>
      </c>
      <c r="R32" s="51">
        <v>3.9</v>
      </c>
      <c r="S32" s="65">
        <f>SUMIF(C:C,C31,T:T)</f>
        <v>250</v>
      </c>
      <c r="T32" s="57">
        <v>11.992619926199263</v>
      </c>
      <c r="U32" s="58">
        <f t="shared" si="6"/>
        <v>780.73828356256297</v>
      </c>
      <c r="V32" s="59">
        <f t="shared" si="1"/>
        <v>2.0018930347758026</v>
      </c>
      <c r="W32" s="60">
        <f t="shared" si="4"/>
        <v>0.29879000519041832</v>
      </c>
      <c r="X32" s="51"/>
      <c r="Y32" s="51"/>
      <c r="Z32" s="57"/>
      <c r="AA32" s="61">
        <v>46038</v>
      </c>
      <c r="AB32" s="61">
        <v>46060</v>
      </c>
      <c r="AC32" s="61"/>
      <c r="AD32" s="62" t="e">
        <f>IF(ISNA(VLOOKUP(D32,#REF!,5,0)),0,VLOOKUP(D32,#REF!,5,0))</f>
        <v>#REF!</v>
      </c>
      <c r="AE32" s="62" t="e">
        <f t="shared" si="2"/>
        <v>#REF!</v>
      </c>
      <c r="AF32" s="61">
        <v>46067</v>
      </c>
      <c r="AG32" s="50">
        <f t="shared" si="3"/>
        <v>29</v>
      </c>
      <c r="AH32" s="61">
        <v>46101</v>
      </c>
      <c r="AI32" s="56">
        <v>390</v>
      </c>
      <c r="AJ32" s="56">
        <f t="shared" si="5"/>
        <v>34</v>
      </c>
      <c r="AK32" s="56"/>
      <c r="AL32" s="52"/>
      <c r="AM32" s="51"/>
      <c r="AN32" s="51"/>
      <c r="AO32" s="56"/>
      <c r="AP32" s="63"/>
      <c r="AQ32" s="63"/>
      <c r="AR32" s="63"/>
      <c r="AS32" s="63"/>
    </row>
    <row r="33" spans="1:45" s="64" customFormat="1" ht="12" customHeight="1" x14ac:dyDescent="0.25">
      <c r="A33" s="50">
        <v>32</v>
      </c>
      <c r="B33" s="51"/>
      <c r="C33" s="51" t="s">
        <v>94</v>
      </c>
      <c r="D33" s="52" t="s">
        <v>320</v>
      </c>
      <c r="E33" s="51" t="s">
        <v>58</v>
      </c>
      <c r="F33" s="51" t="s">
        <v>0</v>
      </c>
      <c r="G33" s="53" t="s">
        <v>205</v>
      </c>
      <c r="H33" s="51">
        <v>990</v>
      </c>
      <c r="I33" s="51" t="s">
        <v>66</v>
      </c>
      <c r="J33" s="51" t="s">
        <v>3</v>
      </c>
      <c r="K33" s="52" t="s">
        <v>4</v>
      </c>
      <c r="L33" s="54" t="e">
        <f>VLOOKUP(G33,#REF!,4,0)</f>
        <v>#REF!</v>
      </c>
      <c r="M33" s="55" t="e">
        <f>_xlfn.IFNA(VLOOKUP(G33,#REF!,2,0),"")</f>
        <v>#REF!</v>
      </c>
      <c r="N33" s="51" t="e">
        <f>_xlfn.IFNA(VLOOKUP(G33,#REF!,3,0),"")</f>
        <v>#REF!</v>
      </c>
      <c r="O33" s="56">
        <v>33</v>
      </c>
      <c r="P33" s="67">
        <v>500.36700000000002</v>
      </c>
      <c r="Q33" s="56" t="s">
        <v>10</v>
      </c>
      <c r="R33" s="51">
        <v>3.9</v>
      </c>
      <c r="S33" s="51"/>
      <c r="T33" s="57">
        <v>30.44280442804428</v>
      </c>
      <c r="U33" s="58">
        <f t="shared" si="6"/>
        <v>1981.8741044280443</v>
      </c>
      <c r="V33" s="59">
        <f t="shared" si="1"/>
        <v>2.0018930347758022</v>
      </c>
      <c r="W33" s="60">
        <f t="shared" si="4"/>
        <v>0.29879000519041821</v>
      </c>
      <c r="X33" s="51"/>
      <c r="Y33" s="51"/>
      <c r="Z33" s="57"/>
      <c r="AA33" s="61">
        <v>46038</v>
      </c>
      <c r="AB33" s="61">
        <v>46060</v>
      </c>
      <c r="AC33" s="61"/>
      <c r="AD33" s="62" t="e">
        <f>IF(ISNA(VLOOKUP(D33,#REF!,5,0)),0,VLOOKUP(D33,#REF!,5,0))</f>
        <v>#REF!</v>
      </c>
      <c r="AE33" s="62" t="e">
        <f t="shared" si="2"/>
        <v>#REF!</v>
      </c>
      <c r="AF33" s="61">
        <v>46067</v>
      </c>
      <c r="AG33" s="50">
        <f t="shared" si="3"/>
        <v>29</v>
      </c>
      <c r="AH33" s="61">
        <v>46101</v>
      </c>
      <c r="AI33" s="56">
        <v>990</v>
      </c>
      <c r="AJ33" s="56">
        <f t="shared" si="5"/>
        <v>34</v>
      </c>
      <c r="AK33" s="56"/>
      <c r="AL33" s="52"/>
      <c r="AM33" s="51"/>
      <c r="AN33" s="51"/>
      <c r="AO33" s="56"/>
      <c r="AP33" s="63"/>
      <c r="AQ33" s="63"/>
      <c r="AR33" s="63"/>
      <c r="AS33" s="63"/>
    </row>
    <row r="34" spans="1:45" s="64" customFormat="1" ht="12" customHeight="1" x14ac:dyDescent="0.25">
      <c r="A34" s="50">
        <v>33</v>
      </c>
      <c r="B34" s="51"/>
      <c r="C34" s="51" t="s">
        <v>94</v>
      </c>
      <c r="D34" s="52" t="s">
        <v>320</v>
      </c>
      <c r="E34" s="51" t="s">
        <v>58</v>
      </c>
      <c r="F34" s="51" t="s">
        <v>0</v>
      </c>
      <c r="G34" s="53" t="s">
        <v>199</v>
      </c>
      <c r="H34" s="51">
        <v>120</v>
      </c>
      <c r="I34" s="51" t="s">
        <v>66</v>
      </c>
      <c r="J34" s="51" t="s">
        <v>3</v>
      </c>
      <c r="K34" s="52" t="s">
        <v>4</v>
      </c>
      <c r="L34" s="54" t="e">
        <f>VLOOKUP(G34,#REF!,4,0)</f>
        <v>#REF!</v>
      </c>
      <c r="M34" s="55" t="e">
        <f>_xlfn.IFNA(VLOOKUP(G34,#REF!,2,0),"")</f>
        <v>#REF!</v>
      </c>
      <c r="N34" s="51" t="e">
        <f>_xlfn.IFNA(VLOOKUP(G34,#REF!,3,0),"")</f>
        <v>#REF!</v>
      </c>
      <c r="O34" s="56">
        <v>4</v>
      </c>
      <c r="P34" s="67">
        <v>60.650545454545458</v>
      </c>
      <c r="Q34" s="56" t="s">
        <v>10</v>
      </c>
      <c r="R34" s="51">
        <v>3.9</v>
      </c>
      <c r="S34" s="51"/>
      <c r="T34" s="57">
        <v>3.6900369003690039</v>
      </c>
      <c r="U34" s="58">
        <f t="shared" si="6"/>
        <v>240.22716417309627</v>
      </c>
      <c r="V34" s="59">
        <f t="shared" si="1"/>
        <v>2.0018930347758022</v>
      </c>
      <c r="W34" s="60">
        <f t="shared" si="4"/>
        <v>0.29879000519041821</v>
      </c>
      <c r="X34" s="51"/>
      <c r="Y34" s="51"/>
      <c r="Z34" s="57"/>
      <c r="AA34" s="61">
        <v>46038</v>
      </c>
      <c r="AB34" s="61">
        <v>46060</v>
      </c>
      <c r="AC34" s="61"/>
      <c r="AD34" s="62" t="e">
        <f>IF(ISNA(VLOOKUP(D34,#REF!,5,0)),0,VLOOKUP(D34,#REF!,5,0))</f>
        <v>#REF!</v>
      </c>
      <c r="AE34" s="62" t="e">
        <f t="shared" si="2"/>
        <v>#REF!</v>
      </c>
      <c r="AF34" s="61">
        <v>46067</v>
      </c>
      <c r="AG34" s="50">
        <f t="shared" si="3"/>
        <v>29</v>
      </c>
      <c r="AH34" s="61">
        <v>46101</v>
      </c>
      <c r="AI34" s="56">
        <v>121</v>
      </c>
      <c r="AJ34" s="56">
        <f t="shared" si="5"/>
        <v>34</v>
      </c>
      <c r="AK34" s="56"/>
      <c r="AL34" s="52"/>
      <c r="AM34" s="51"/>
      <c r="AN34" s="51"/>
      <c r="AO34" s="56"/>
      <c r="AP34" s="63"/>
      <c r="AQ34" s="63"/>
      <c r="AR34" s="63"/>
      <c r="AS34" s="63"/>
    </row>
    <row r="35" spans="1:45" ht="12" customHeight="1" x14ac:dyDescent="0.25">
      <c r="A35" s="33">
        <v>34</v>
      </c>
      <c r="B35" s="34"/>
      <c r="C35" s="34" t="s">
        <v>101</v>
      </c>
      <c r="D35" s="35" t="s">
        <v>321</v>
      </c>
      <c r="E35" s="34" t="s">
        <v>58</v>
      </c>
      <c r="F35" s="34" t="s">
        <v>0</v>
      </c>
      <c r="G35" s="16" t="s">
        <v>64</v>
      </c>
      <c r="H35" s="34">
        <v>2000</v>
      </c>
      <c r="I35" s="34" t="s">
        <v>54</v>
      </c>
      <c r="J35" s="34" t="s">
        <v>3</v>
      </c>
      <c r="K35" s="35" t="s">
        <v>5</v>
      </c>
      <c r="L35" s="36" t="e">
        <f>VLOOKUP(G35,#REF!,4,0)</f>
        <v>#REF!</v>
      </c>
      <c r="M35" s="37" t="e">
        <f>_xlfn.IFNA(VLOOKUP(G35,#REF!,2,0),"")</f>
        <v>#REF!</v>
      </c>
      <c r="N35" s="38" t="e">
        <f>_xlfn.IFNA(VLOOKUP(G35,#REF!,3,0),"")</f>
        <v>#REF!</v>
      </c>
      <c r="O35" s="39">
        <v>50</v>
      </c>
      <c r="P35" s="67">
        <v>681.94444444444446</v>
      </c>
      <c r="Q35" s="39" t="s">
        <v>10</v>
      </c>
      <c r="R35" s="34">
        <v>3.2</v>
      </c>
      <c r="S35" s="38">
        <v>200</v>
      </c>
      <c r="T35" s="40">
        <v>89.285714285714292</v>
      </c>
      <c r="U35" s="41">
        <f t="shared" si="6"/>
        <v>2271.5079365079364</v>
      </c>
      <c r="V35" s="42">
        <f t="shared" si="1"/>
        <v>1.1357539682539681</v>
      </c>
      <c r="W35" s="43">
        <f t="shared" si="4"/>
        <v>0.16951551764984599</v>
      </c>
      <c r="X35" s="38"/>
      <c r="Y35" s="38"/>
      <c r="Z35" s="44"/>
      <c r="AA35" s="45">
        <v>46038</v>
      </c>
      <c r="AB35" s="45">
        <v>46060</v>
      </c>
      <c r="AC35" s="45"/>
      <c r="AD35" s="46" t="e">
        <f>IF(ISNA(VLOOKUP(D35,#REF!,5,0)),0,VLOOKUP(D35,#REF!,5,0))</f>
        <v>#REF!</v>
      </c>
      <c r="AE35" s="46" t="e">
        <f t="shared" si="2"/>
        <v>#REF!</v>
      </c>
      <c r="AF35" s="45">
        <v>46070</v>
      </c>
      <c r="AG35" s="33">
        <f t="shared" si="3"/>
        <v>32</v>
      </c>
      <c r="AH35" s="45">
        <v>46102</v>
      </c>
      <c r="AI35" s="39">
        <v>1999</v>
      </c>
      <c r="AJ35" s="56">
        <f t="shared" si="5"/>
        <v>32</v>
      </c>
      <c r="AK35" s="39"/>
      <c r="AL35" s="35"/>
      <c r="AM35" s="34"/>
      <c r="AN35" s="34"/>
      <c r="AO35" s="39"/>
      <c r="AP35" s="47"/>
      <c r="AQ35" s="47"/>
      <c r="AR35" s="47"/>
      <c r="AS35" s="47"/>
    </row>
    <row r="36" spans="1:45" ht="12" customHeight="1" x14ac:dyDescent="0.25">
      <c r="A36" s="33">
        <v>35</v>
      </c>
      <c r="B36" s="34"/>
      <c r="C36" s="34" t="s">
        <v>101</v>
      </c>
      <c r="D36" s="35" t="s">
        <v>321</v>
      </c>
      <c r="E36" s="34" t="s">
        <v>58</v>
      </c>
      <c r="F36" s="34" t="s">
        <v>0</v>
      </c>
      <c r="G36" s="16" t="s">
        <v>204</v>
      </c>
      <c r="H36" s="34">
        <v>320</v>
      </c>
      <c r="I36" s="34" t="s">
        <v>54</v>
      </c>
      <c r="J36" s="34" t="s">
        <v>3</v>
      </c>
      <c r="K36" s="35" t="s">
        <v>5</v>
      </c>
      <c r="L36" s="36" t="e">
        <f>VLOOKUP(G36,#REF!,4,0)</f>
        <v>#REF!</v>
      </c>
      <c r="M36" s="37" t="e">
        <f>_xlfn.IFNA(VLOOKUP(G36,#REF!,2,0),"")</f>
        <v>#REF!</v>
      </c>
      <c r="N36" s="38" t="e">
        <f>_xlfn.IFNA(VLOOKUP(G36,#REF!,3,0),"")</f>
        <v>#REF!</v>
      </c>
      <c r="O36" s="39">
        <v>8</v>
      </c>
      <c r="P36" s="67">
        <v>109.11111111111111</v>
      </c>
      <c r="Q36" s="39" t="s">
        <v>10</v>
      </c>
      <c r="R36" s="34">
        <v>3.2</v>
      </c>
      <c r="S36" s="48">
        <f>SUMIF(C:C,C35,T:T)</f>
        <v>200</v>
      </c>
      <c r="T36" s="40">
        <v>14.285714285714286</v>
      </c>
      <c r="U36" s="41">
        <f t="shared" si="6"/>
        <v>363.44126984126984</v>
      </c>
      <c r="V36" s="42">
        <f t="shared" si="1"/>
        <v>1.1357539682539683</v>
      </c>
      <c r="W36" s="43">
        <f t="shared" si="4"/>
        <v>0.16951551764984601</v>
      </c>
      <c r="X36" s="38"/>
      <c r="Y36" s="38"/>
      <c r="Z36" s="44"/>
      <c r="AA36" s="45">
        <v>46038</v>
      </c>
      <c r="AB36" s="45">
        <v>46060</v>
      </c>
      <c r="AC36" s="45"/>
      <c r="AD36" s="46" t="e">
        <f>IF(ISNA(VLOOKUP(D36,#REF!,5,0)),0,VLOOKUP(D36,#REF!,5,0))</f>
        <v>#REF!</v>
      </c>
      <c r="AE36" s="46" t="e">
        <f t="shared" si="2"/>
        <v>#REF!</v>
      </c>
      <c r="AF36" s="45">
        <v>46070</v>
      </c>
      <c r="AG36" s="33">
        <f t="shared" si="3"/>
        <v>32</v>
      </c>
      <c r="AH36" s="45">
        <v>46102</v>
      </c>
      <c r="AI36" s="39">
        <v>319</v>
      </c>
      <c r="AJ36" s="56">
        <f t="shared" si="5"/>
        <v>32</v>
      </c>
      <c r="AK36" s="39"/>
      <c r="AL36" s="35"/>
      <c r="AM36" s="34"/>
      <c r="AN36" s="34"/>
      <c r="AO36" s="39"/>
      <c r="AP36" s="47"/>
      <c r="AQ36" s="47"/>
      <c r="AR36" s="47"/>
      <c r="AS36" s="47"/>
    </row>
    <row r="37" spans="1:45" ht="12" customHeight="1" x14ac:dyDescent="0.25">
      <c r="A37" s="33">
        <v>36</v>
      </c>
      <c r="B37" s="34"/>
      <c r="C37" s="34" t="s">
        <v>101</v>
      </c>
      <c r="D37" s="35" t="s">
        <v>321</v>
      </c>
      <c r="E37" s="34" t="s">
        <v>58</v>
      </c>
      <c r="F37" s="34" t="s">
        <v>0</v>
      </c>
      <c r="G37" s="16" t="s">
        <v>206</v>
      </c>
      <c r="H37" s="34">
        <v>200</v>
      </c>
      <c r="I37" s="34" t="s">
        <v>54</v>
      </c>
      <c r="J37" s="34" t="s">
        <v>3</v>
      </c>
      <c r="K37" s="35" t="s">
        <v>5</v>
      </c>
      <c r="L37" s="36" t="e">
        <f>VLOOKUP(G37,#REF!,4,0)</f>
        <v>#REF!</v>
      </c>
      <c r="M37" s="37" t="e">
        <f>_xlfn.IFNA(VLOOKUP(G37,#REF!,2,0),"")</f>
        <v>#REF!</v>
      </c>
      <c r="N37" s="38" t="e">
        <f>_xlfn.IFNA(VLOOKUP(G37,#REF!,3,0),"")</f>
        <v>#REF!</v>
      </c>
      <c r="O37" s="39">
        <v>10</v>
      </c>
      <c r="P37" s="67">
        <v>136.38888888888889</v>
      </c>
      <c r="Q37" s="39" t="s">
        <v>10</v>
      </c>
      <c r="R37" s="34">
        <v>3.2</v>
      </c>
      <c r="S37" s="38"/>
      <c r="T37" s="40">
        <v>17.857142857142858</v>
      </c>
      <c r="U37" s="41">
        <f t="shared" si="6"/>
        <v>454.30158730158729</v>
      </c>
      <c r="V37" s="42">
        <f t="shared" si="1"/>
        <v>2.2715079365079363</v>
      </c>
      <c r="W37" s="43">
        <f t="shared" si="4"/>
        <v>0.33903103529969197</v>
      </c>
      <c r="X37" s="38"/>
      <c r="Y37" s="38"/>
      <c r="Z37" s="44"/>
      <c r="AA37" s="45">
        <v>46038</v>
      </c>
      <c r="AB37" s="45">
        <v>46060</v>
      </c>
      <c r="AC37" s="45"/>
      <c r="AD37" s="46" t="e">
        <f>IF(ISNA(VLOOKUP(D37,#REF!,5,0)),0,VLOOKUP(D37,#REF!,5,0))</f>
        <v>#REF!</v>
      </c>
      <c r="AE37" s="46" t="e">
        <f t="shared" si="2"/>
        <v>#REF!</v>
      </c>
      <c r="AF37" s="45">
        <v>46070</v>
      </c>
      <c r="AG37" s="33">
        <f t="shared" si="3"/>
        <v>32</v>
      </c>
      <c r="AH37" s="45">
        <v>46102</v>
      </c>
      <c r="AI37" s="39">
        <v>200</v>
      </c>
      <c r="AJ37" s="56">
        <f t="shared" si="5"/>
        <v>32</v>
      </c>
      <c r="AK37" s="39"/>
      <c r="AL37" s="35"/>
      <c r="AM37" s="34"/>
      <c r="AN37" s="34"/>
      <c r="AO37" s="39"/>
      <c r="AP37" s="47"/>
      <c r="AQ37" s="47"/>
      <c r="AR37" s="47"/>
      <c r="AS37" s="47"/>
    </row>
    <row r="38" spans="1:45" ht="12" customHeight="1" x14ac:dyDescent="0.25">
      <c r="A38" s="33">
        <v>37</v>
      </c>
      <c r="B38" s="34"/>
      <c r="C38" s="34" t="s">
        <v>101</v>
      </c>
      <c r="D38" s="35" t="s">
        <v>321</v>
      </c>
      <c r="E38" s="34" t="s">
        <v>58</v>
      </c>
      <c r="F38" s="34" t="s">
        <v>0</v>
      </c>
      <c r="G38" s="16" t="s">
        <v>237</v>
      </c>
      <c r="H38" s="34">
        <v>120</v>
      </c>
      <c r="I38" s="34" t="s">
        <v>54</v>
      </c>
      <c r="J38" s="34" t="s">
        <v>3</v>
      </c>
      <c r="K38" s="35" t="s">
        <v>5</v>
      </c>
      <c r="L38" s="36" t="e">
        <f>VLOOKUP(G38,#REF!,4,0)</f>
        <v>#REF!</v>
      </c>
      <c r="M38" s="37" t="e">
        <f>_xlfn.IFNA(VLOOKUP(G38,#REF!,2,0),"")</f>
        <v>#REF!</v>
      </c>
      <c r="N38" s="38" t="e">
        <f>_xlfn.IFNA(VLOOKUP(G38,#REF!,3,0),"")</f>
        <v>#REF!</v>
      </c>
      <c r="O38" s="39">
        <v>3</v>
      </c>
      <c r="P38" s="67">
        <v>40.916666666666671</v>
      </c>
      <c r="Q38" s="39" t="s">
        <v>10</v>
      </c>
      <c r="R38" s="34">
        <v>3.2</v>
      </c>
      <c r="S38" s="38"/>
      <c r="T38" s="40">
        <v>5.3571428571428568</v>
      </c>
      <c r="U38" s="41">
        <f t="shared" si="6"/>
        <v>136.29047619047623</v>
      </c>
      <c r="V38" s="42">
        <f t="shared" si="1"/>
        <v>1.1357539682539686</v>
      </c>
      <c r="W38" s="43">
        <f t="shared" si="4"/>
        <v>0.16951551764984604</v>
      </c>
      <c r="X38" s="38"/>
      <c r="Y38" s="38"/>
      <c r="Z38" s="44"/>
      <c r="AA38" s="45">
        <v>46038</v>
      </c>
      <c r="AB38" s="45">
        <v>46060</v>
      </c>
      <c r="AC38" s="45"/>
      <c r="AD38" s="46" t="e">
        <f>IF(ISNA(VLOOKUP(D38,#REF!,5,0)),0,VLOOKUP(D38,#REF!,5,0))</f>
        <v>#REF!</v>
      </c>
      <c r="AE38" s="46" t="e">
        <f t="shared" si="2"/>
        <v>#REF!</v>
      </c>
      <c r="AF38" s="45">
        <v>46070</v>
      </c>
      <c r="AG38" s="33">
        <f t="shared" si="3"/>
        <v>32</v>
      </c>
      <c r="AH38" s="45">
        <v>46102</v>
      </c>
      <c r="AI38" s="39">
        <v>120</v>
      </c>
      <c r="AJ38" s="56">
        <f t="shared" si="5"/>
        <v>32</v>
      </c>
      <c r="AK38" s="39"/>
      <c r="AL38" s="35"/>
      <c r="AM38" s="34"/>
      <c r="AN38" s="34"/>
      <c r="AO38" s="39"/>
      <c r="AP38" s="47"/>
      <c r="AQ38" s="47"/>
      <c r="AR38" s="47"/>
      <c r="AS38" s="47"/>
    </row>
    <row r="39" spans="1:45" ht="12" customHeight="1" x14ac:dyDescent="0.25">
      <c r="A39" s="33">
        <v>38</v>
      </c>
      <c r="B39" s="34"/>
      <c r="C39" s="34" t="s">
        <v>101</v>
      </c>
      <c r="D39" s="35" t="s">
        <v>321</v>
      </c>
      <c r="E39" s="34" t="s">
        <v>58</v>
      </c>
      <c r="F39" s="34" t="s">
        <v>0</v>
      </c>
      <c r="G39" s="16" t="s">
        <v>217</v>
      </c>
      <c r="H39" s="34">
        <v>200</v>
      </c>
      <c r="I39" s="34" t="s">
        <v>54</v>
      </c>
      <c r="J39" s="34" t="s">
        <v>3</v>
      </c>
      <c r="K39" s="35" t="s">
        <v>5</v>
      </c>
      <c r="L39" s="36" t="e">
        <f>VLOOKUP(G39,#REF!,4,0)</f>
        <v>#REF!</v>
      </c>
      <c r="M39" s="37" t="e">
        <f>_xlfn.IFNA(VLOOKUP(G39,#REF!,2,0),"")</f>
        <v>#REF!</v>
      </c>
      <c r="N39" s="38" t="e">
        <f>_xlfn.IFNA(VLOOKUP(G39,#REF!,3,0),"")</f>
        <v>#REF!</v>
      </c>
      <c r="O39" s="39">
        <v>1</v>
      </c>
      <c r="P39" s="67">
        <v>13.638888888888889</v>
      </c>
      <c r="Q39" s="39" t="s">
        <v>10</v>
      </c>
      <c r="R39" s="34">
        <v>3.2</v>
      </c>
      <c r="S39" s="38"/>
      <c r="T39" s="40">
        <v>1.7857142857142858</v>
      </c>
      <c r="U39" s="41">
        <f t="shared" si="6"/>
        <v>45.43015873015873</v>
      </c>
      <c r="V39" s="42">
        <f t="shared" si="1"/>
        <v>0.22715079365079366</v>
      </c>
      <c r="W39" s="43">
        <f t="shared" si="4"/>
        <v>3.3903103529969204E-2</v>
      </c>
      <c r="X39" s="38"/>
      <c r="Y39" s="38"/>
      <c r="Z39" s="44"/>
      <c r="AA39" s="45">
        <v>46038</v>
      </c>
      <c r="AB39" s="45">
        <v>46060</v>
      </c>
      <c r="AC39" s="45"/>
      <c r="AD39" s="46" t="e">
        <f>IF(ISNA(VLOOKUP(D39,#REF!,5,0)),0,VLOOKUP(D39,#REF!,5,0))</f>
        <v>#REF!</v>
      </c>
      <c r="AE39" s="46" t="e">
        <f t="shared" si="2"/>
        <v>#REF!</v>
      </c>
      <c r="AF39" s="45">
        <v>46070</v>
      </c>
      <c r="AG39" s="33">
        <f t="shared" si="3"/>
        <v>32</v>
      </c>
      <c r="AH39" s="45">
        <v>46102</v>
      </c>
      <c r="AI39" s="39">
        <v>200</v>
      </c>
      <c r="AJ39" s="56">
        <f t="shared" si="5"/>
        <v>32</v>
      </c>
      <c r="AK39" s="39"/>
      <c r="AL39" s="35"/>
      <c r="AM39" s="34"/>
      <c r="AN39" s="34"/>
      <c r="AO39" s="39"/>
      <c r="AP39" s="47"/>
      <c r="AQ39" s="47"/>
      <c r="AR39" s="47"/>
      <c r="AS39" s="47"/>
    </row>
    <row r="40" spans="1:45" s="64" customFormat="1" ht="12" customHeight="1" x14ac:dyDescent="0.25">
      <c r="A40" s="50">
        <v>39</v>
      </c>
      <c r="B40" s="51"/>
      <c r="C40" s="51" t="s">
        <v>95</v>
      </c>
      <c r="D40" s="52" t="s">
        <v>322</v>
      </c>
      <c r="E40" s="51" t="s">
        <v>71</v>
      </c>
      <c r="F40" s="51" t="s">
        <v>72</v>
      </c>
      <c r="G40" s="53" t="s">
        <v>64</v>
      </c>
      <c r="H40" s="51">
        <v>240</v>
      </c>
      <c r="I40" s="51" t="s">
        <v>66</v>
      </c>
      <c r="J40" s="51" t="s">
        <v>255</v>
      </c>
      <c r="K40" s="52" t="s">
        <v>111</v>
      </c>
      <c r="L40" s="54" t="e">
        <f>VLOOKUP(G40,#REF!,4,0)</f>
        <v>#REF!</v>
      </c>
      <c r="M40" s="55" t="e">
        <f>_xlfn.IFNA(VLOOKUP(G40,#REF!,2,0),"")</f>
        <v>#REF!</v>
      </c>
      <c r="N40" s="51" t="e">
        <f>_xlfn.IFNA(VLOOKUP(G40,#REF!,3,0),"")</f>
        <v>#REF!</v>
      </c>
      <c r="O40" s="56">
        <v>6</v>
      </c>
      <c r="P40" s="67">
        <v>82.199999999999989</v>
      </c>
      <c r="Q40" s="56" t="s">
        <v>10</v>
      </c>
      <c r="R40" s="51">
        <v>4.8</v>
      </c>
      <c r="S40" s="51">
        <v>600</v>
      </c>
      <c r="T40" s="57">
        <v>360</v>
      </c>
      <c r="U40" s="58">
        <f t="shared" si="6"/>
        <v>754.56</v>
      </c>
      <c r="V40" s="59">
        <f t="shared" si="1"/>
        <v>3.1439999999999997</v>
      </c>
      <c r="W40" s="60">
        <f t="shared" si="4"/>
        <v>0.46925373134328352</v>
      </c>
      <c r="X40" s="51">
        <v>576.35</v>
      </c>
      <c r="Y40" s="51">
        <v>345.81</v>
      </c>
      <c r="Z40" s="51" t="s">
        <v>431</v>
      </c>
      <c r="AA40" s="61">
        <v>46038</v>
      </c>
      <c r="AB40" s="61">
        <v>46094</v>
      </c>
      <c r="AC40" s="61"/>
      <c r="AD40" s="62" t="e">
        <f>IF(ISNA(VLOOKUP(D40,#REF!,5,0)),0,VLOOKUP(D40,#REF!,5,0))</f>
        <v>#REF!</v>
      </c>
      <c r="AE40" s="62" t="e">
        <f t="shared" si="2"/>
        <v>#REF!</v>
      </c>
      <c r="AF40" s="61">
        <v>46102</v>
      </c>
      <c r="AG40" s="50">
        <f t="shared" si="3"/>
        <v>64</v>
      </c>
      <c r="AH40" s="61">
        <v>46118</v>
      </c>
      <c r="AI40" s="56">
        <v>240</v>
      </c>
      <c r="AJ40" s="56">
        <f t="shared" si="5"/>
        <v>16</v>
      </c>
      <c r="AK40" s="56"/>
      <c r="AL40" s="52"/>
      <c r="AM40" s="51"/>
      <c r="AN40" s="51"/>
      <c r="AO40" s="56"/>
      <c r="AP40" s="63"/>
      <c r="AQ40" s="63"/>
      <c r="AR40" s="63"/>
      <c r="AS40" s="63"/>
    </row>
    <row r="41" spans="1:45" s="64" customFormat="1" ht="12" customHeight="1" x14ac:dyDescent="0.25">
      <c r="A41" s="50">
        <v>40</v>
      </c>
      <c r="B41" s="51"/>
      <c r="C41" s="51" t="s">
        <v>95</v>
      </c>
      <c r="D41" s="52" t="s">
        <v>322</v>
      </c>
      <c r="E41" s="51" t="s">
        <v>71</v>
      </c>
      <c r="F41" s="51" t="s">
        <v>72</v>
      </c>
      <c r="G41" s="53" t="s">
        <v>97</v>
      </c>
      <c r="H41" s="51">
        <v>40</v>
      </c>
      <c r="I41" s="51" t="s">
        <v>66</v>
      </c>
      <c r="J41" s="51" t="s">
        <v>255</v>
      </c>
      <c r="K41" s="52" t="s">
        <v>111</v>
      </c>
      <c r="L41" s="54" t="e">
        <f>VLOOKUP(G41,#REF!,4,0)</f>
        <v>#REF!</v>
      </c>
      <c r="M41" s="55" t="e">
        <f>_xlfn.IFNA(VLOOKUP(G41,#REF!,2,0),"")</f>
        <v>#REF!</v>
      </c>
      <c r="N41" s="51" t="e">
        <f>_xlfn.IFNA(VLOOKUP(G41,#REF!,3,0),"")</f>
        <v>#REF!</v>
      </c>
      <c r="O41" s="56">
        <v>1</v>
      </c>
      <c r="P41" s="67">
        <v>13.7</v>
      </c>
      <c r="Q41" s="56" t="s">
        <v>10</v>
      </c>
      <c r="R41" s="51">
        <v>4.8</v>
      </c>
      <c r="S41" s="65">
        <f>SUMIF(C:C,C40,T:T)</f>
        <v>600</v>
      </c>
      <c r="T41" s="57">
        <v>60</v>
      </c>
      <c r="U41" s="58">
        <f t="shared" si="6"/>
        <v>125.75999999999999</v>
      </c>
      <c r="V41" s="59">
        <f t="shared" si="1"/>
        <v>3.1439999999999997</v>
      </c>
      <c r="W41" s="60">
        <f t="shared" si="4"/>
        <v>0.46925373134328352</v>
      </c>
      <c r="X41" s="51"/>
      <c r="Y41" s="51">
        <v>57.635000000000005</v>
      </c>
      <c r="Z41" s="51" t="s">
        <v>96</v>
      </c>
      <c r="AA41" s="61">
        <v>46038</v>
      </c>
      <c r="AB41" s="61">
        <v>46094</v>
      </c>
      <c r="AC41" s="61"/>
      <c r="AD41" s="62" t="e">
        <f>IF(ISNA(VLOOKUP(D41,#REF!,5,0)),0,VLOOKUP(D41,#REF!,5,0))</f>
        <v>#REF!</v>
      </c>
      <c r="AE41" s="62" t="e">
        <f t="shared" si="2"/>
        <v>#REF!</v>
      </c>
      <c r="AF41" s="61">
        <v>46102</v>
      </c>
      <c r="AG41" s="50">
        <f t="shared" si="3"/>
        <v>64</v>
      </c>
      <c r="AH41" s="61">
        <v>46118</v>
      </c>
      <c r="AI41" s="56">
        <v>40</v>
      </c>
      <c r="AJ41" s="56">
        <f t="shared" si="5"/>
        <v>16</v>
      </c>
      <c r="AK41" s="56"/>
      <c r="AL41" s="52"/>
      <c r="AM41" s="51"/>
      <c r="AN41" s="51"/>
      <c r="AO41" s="56"/>
      <c r="AP41" s="63"/>
      <c r="AQ41" s="63"/>
      <c r="AR41" s="63"/>
      <c r="AS41" s="63"/>
    </row>
    <row r="42" spans="1:45" s="64" customFormat="1" ht="12" customHeight="1" x14ac:dyDescent="0.25">
      <c r="A42" s="50">
        <v>41</v>
      </c>
      <c r="B42" s="51"/>
      <c r="C42" s="51" t="s">
        <v>95</v>
      </c>
      <c r="D42" s="52" t="s">
        <v>322</v>
      </c>
      <c r="E42" s="51" t="s">
        <v>71</v>
      </c>
      <c r="F42" s="51" t="s">
        <v>72</v>
      </c>
      <c r="G42" s="53" t="s">
        <v>65</v>
      </c>
      <c r="H42" s="51">
        <v>120</v>
      </c>
      <c r="I42" s="51" t="s">
        <v>66</v>
      </c>
      <c r="J42" s="51" t="s">
        <v>255</v>
      </c>
      <c r="K42" s="52" t="s">
        <v>111</v>
      </c>
      <c r="L42" s="54" t="e">
        <f>VLOOKUP(G42,#REF!,4,0)</f>
        <v>#REF!</v>
      </c>
      <c r="M42" s="55" t="e">
        <f>_xlfn.IFNA(VLOOKUP(G42,#REF!,2,0),"")</f>
        <v>#REF!</v>
      </c>
      <c r="N42" s="51" t="e">
        <f>_xlfn.IFNA(VLOOKUP(G42,#REF!,3,0),"")</f>
        <v>#REF!</v>
      </c>
      <c r="O42" s="56">
        <v>3</v>
      </c>
      <c r="P42" s="67">
        <v>41.099999999999994</v>
      </c>
      <c r="Q42" s="56" t="s">
        <v>10</v>
      </c>
      <c r="R42" s="51">
        <v>4.8</v>
      </c>
      <c r="S42" s="51"/>
      <c r="T42" s="57">
        <v>180</v>
      </c>
      <c r="U42" s="58">
        <f t="shared" si="6"/>
        <v>377.28</v>
      </c>
      <c r="V42" s="59">
        <f t="shared" si="1"/>
        <v>3.1439999999999997</v>
      </c>
      <c r="W42" s="60">
        <f t="shared" si="4"/>
        <v>0.46925373134328352</v>
      </c>
      <c r="X42" s="51"/>
      <c r="Y42" s="51">
        <v>172.905</v>
      </c>
      <c r="Z42" s="51" t="s">
        <v>96</v>
      </c>
      <c r="AA42" s="61">
        <v>46038</v>
      </c>
      <c r="AB42" s="61">
        <v>46094</v>
      </c>
      <c r="AC42" s="61"/>
      <c r="AD42" s="62" t="e">
        <f>IF(ISNA(VLOOKUP(D42,#REF!,5,0)),0,VLOOKUP(D42,#REF!,5,0))</f>
        <v>#REF!</v>
      </c>
      <c r="AE42" s="62" t="e">
        <f t="shared" si="2"/>
        <v>#REF!</v>
      </c>
      <c r="AF42" s="61">
        <v>46102</v>
      </c>
      <c r="AG42" s="50">
        <f t="shared" si="3"/>
        <v>64</v>
      </c>
      <c r="AH42" s="61">
        <v>46118</v>
      </c>
      <c r="AI42" s="56">
        <v>120</v>
      </c>
      <c r="AJ42" s="56">
        <f t="shared" si="5"/>
        <v>16</v>
      </c>
      <c r="AK42" s="56"/>
      <c r="AL42" s="52"/>
      <c r="AM42" s="51"/>
      <c r="AN42" s="51"/>
      <c r="AO42" s="56"/>
      <c r="AP42" s="63"/>
      <c r="AQ42" s="63"/>
      <c r="AR42" s="63"/>
      <c r="AS42" s="63"/>
    </row>
    <row r="43" spans="1:45" ht="12" customHeight="1" x14ac:dyDescent="0.25">
      <c r="A43" s="33">
        <v>42</v>
      </c>
      <c r="B43" s="34"/>
      <c r="C43" s="34" t="s">
        <v>101</v>
      </c>
      <c r="D43" s="35" t="s">
        <v>323</v>
      </c>
      <c r="E43" s="34" t="s">
        <v>61</v>
      </c>
      <c r="F43" s="34" t="s">
        <v>0</v>
      </c>
      <c r="G43" s="16" t="s">
        <v>118</v>
      </c>
      <c r="H43" s="34">
        <v>90</v>
      </c>
      <c r="I43" s="34" t="s">
        <v>54</v>
      </c>
      <c r="J43" s="34" t="s">
        <v>3</v>
      </c>
      <c r="K43" s="35" t="s">
        <v>15</v>
      </c>
      <c r="L43" s="36" t="e">
        <f>VLOOKUP(G43,#REF!,4,0)</f>
        <v>#REF!</v>
      </c>
      <c r="M43" s="37" t="e">
        <f>_xlfn.IFNA(VLOOKUP(G43,#REF!,2,0),"")</f>
        <v>#REF!</v>
      </c>
      <c r="N43" s="38" t="e">
        <f>_xlfn.IFNA(VLOOKUP(G43,#REF!,3,0),"")</f>
        <v>#REF!</v>
      </c>
      <c r="O43" s="39">
        <v>3</v>
      </c>
      <c r="P43" s="67">
        <v>40.275000000000006</v>
      </c>
      <c r="Q43" s="39" t="s">
        <v>10</v>
      </c>
      <c r="R43" s="34">
        <v>3.2</v>
      </c>
      <c r="S43" s="38"/>
      <c r="T43" s="40">
        <v>5.3571428571428568</v>
      </c>
      <c r="U43" s="41">
        <f t="shared" si="6"/>
        <v>134.23714285714289</v>
      </c>
      <c r="V43" s="42">
        <f t="shared" si="1"/>
        <v>1.4915238095238099</v>
      </c>
      <c r="W43" s="43">
        <f t="shared" si="4"/>
        <v>0.22261549395877758</v>
      </c>
      <c r="X43" s="38"/>
      <c r="Y43" s="38"/>
      <c r="Z43" s="44"/>
      <c r="AA43" s="45">
        <v>46038</v>
      </c>
      <c r="AB43" s="45">
        <v>46060</v>
      </c>
      <c r="AC43" s="45"/>
      <c r="AD43" s="46" t="e">
        <f>IF(ISNA(VLOOKUP(D43,#REF!,5,0)),0,VLOOKUP(D43,#REF!,5,0))</f>
        <v>#REF!</v>
      </c>
      <c r="AE43" s="46" t="e">
        <f t="shared" si="2"/>
        <v>#REF!</v>
      </c>
      <c r="AF43" s="45">
        <v>46069</v>
      </c>
      <c r="AG43" s="33">
        <f t="shared" si="3"/>
        <v>31</v>
      </c>
      <c r="AH43" s="45">
        <v>46103</v>
      </c>
      <c r="AI43" s="39">
        <v>89</v>
      </c>
      <c r="AJ43" s="56">
        <f t="shared" si="5"/>
        <v>34</v>
      </c>
      <c r="AK43" s="39"/>
      <c r="AL43" s="35"/>
      <c r="AM43" s="34"/>
      <c r="AN43" s="34"/>
      <c r="AO43" s="39"/>
      <c r="AP43" s="47"/>
      <c r="AQ43" s="47"/>
      <c r="AR43" s="47"/>
      <c r="AS43" s="47"/>
    </row>
    <row r="44" spans="1:45" ht="12" customHeight="1" x14ac:dyDescent="0.25">
      <c r="A44" s="33">
        <v>43</v>
      </c>
      <c r="B44" s="34"/>
      <c r="C44" s="34" t="s">
        <v>101</v>
      </c>
      <c r="D44" s="35" t="s">
        <v>323</v>
      </c>
      <c r="E44" s="34" t="s">
        <v>61</v>
      </c>
      <c r="F44" s="34" t="s">
        <v>0</v>
      </c>
      <c r="G44" s="16" t="s">
        <v>69</v>
      </c>
      <c r="H44" s="34">
        <v>210</v>
      </c>
      <c r="I44" s="34" t="s">
        <v>54</v>
      </c>
      <c r="J44" s="34" t="s">
        <v>3</v>
      </c>
      <c r="K44" s="35" t="s">
        <v>15</v>
      </c>
      <c r="L44" s="36" t="e">
        <f>VLOOKUP(G44,#REF!,4,0)</f>
        <v>#REF!</v>
      </c>
      <c r="M44" s="37" t="e">
        <f>_xlfn.IFNA(VLOOKUP(G44,#REF!,2,0),"")</f>
        <v>#REF!</v>
      </c>
      <c r="N44" s="38" t="e">
        <f>_xlfn.IFNA(VLOOKUP(G44,#REF!,3,0),"")</f>
        <v>#REF!</v>
      </c>
      <c r="O44" s="39">
        <v>7</v>
      </c>
      <c r="P44" s="67">
        <v>93.975000000000009</v>
      </c>
      <c r="Q44" s="39" t="s">
        <v>10</v>
      </c>
      <c r="R44" s="34">
        <v>3.2</v>
      </c>
      <c r="S44" s="38"/>
      <c r="T44" s="40">
        <v>12.5</v>
      </c>
      <c r="U44" s="41">
        <f t="shared" si="6"/>
        <v>313.22000000000003</v>
      </c>
      <c r="V44" s="42">
        <f t="shared" si="1"/>
        <v>1.4915238095238097</v>
      </c>
      <c r="W44" s="43">
        <f t="shared" si="4"/>
        <v>0.22261549395877755</v>
      </c>
      <c r="X44" s="38"/>
      <c r="Y44" s="38"/>
      <c r="Z44" s="44"/>
      <c r="AA44" s="45">
        <v>46038</v>
      </c>
      <c r="AB44" s="45">
        <v>46060</v>
      </c>
      <c r="AC44" s="45"/>
      <c r="AD44" s="46" t="e">
        <f>IF(ISNA(VLOOKUP(D44,#REF!,5,0)),0,VLOOKUP(D44,#REF!,5,0))</f>
        <v>#REF!</v>
      </c>
      <c r="AE44" s="46" t="e">
        <f t="shared" si="2"/>
        <v>#REF!</v>
      </c>
      <c r="AF44" s="45">
        <v>46069</v>
      </c>
      <c r="AG44" s="33">
        <f t="shared" si="3"/>
        <v>31</v>
      </c>
      <c r="AH44" s="45">
        <v>46103</v>
      </c>
      <c r="AI44" s="39">
        <v>209</v>
      </c>
      <c r="AJ44" s="56">
        <f t="shared" si="5"/>
        <v>34</v>
      </c>
      <c r="AK44" s="39"/>
      <c r="AL44" s="35"/>
      <c r="AM44" s="34"/>
      <c r="AN44" s="34"/>
      <c r="AO44" s="39"/>
      <c r="AP44" s="47"/>
      <c r="AQ44" s="47"/>
      <c r="AR44" s="47"/>
      <c r="AS44" s="47"/>
    </row>
    <row r="45" spans="1:45" ht="12" customHeight="1" x14ac:dyDescent="0.25">
      <c r="A45" s="33">
        <v>44</v>
      </c>
      <c r="B45" s="34"/>
      <c r="C45" s="34" t="s">
        <v>101</v>
      </c>
      <c r="D45" s="35" t="s">
        <v>323</v>
      </c>
      <c r="E45" s="34" t="s">
        <v>61</v>
      </c>
      <c r="F45" s="34" t="s">
        <v>0</v>
      </c>
      <c r="G45" s="16" t="s">
        <v>242</v>
      </c>
      <c r="H45" s="34">
        <v>1200</v>
      </c>
      <c r="I45" s="34" t="s">
        <v>54</v>
      </c>
      <c r="J45" s="34" t="s">
        <v>3</v>
      </c>
      <c r="K45" s="35" t="s">
        <v>15</v>
      </c>
      <c r="L45" s="36" t="e">
        <f>VLOOKUP(G45,#REF!,4,0)</f>
        <v>#REF!</v>
      </c>
      <c r="M45" s="37" t="e">
        <f>_xlfn.IFNA(VLOOKUP(G45,#REF!,2,0),"")</f>
        <v>#REF!</v>
      </c>
      <c r="N45" s="38" t="e">
        <f>_xlfn.IFNA(VLOOKUP(G45,#REF!,3,0),"")</f>
        <v>#REF!</v>
      </c>
      <c r="O45" s="39">
        <v>30</v>
      </c>
      <c r="P45" s="67">
        <v>402.75</v>
      </c>
      <c r="Q45" s="39" t="s">
        <v>10</v>
      </c>
      <c r="R45" s="34">
        <v>3.2</v>
      </c>
      <c r="S45" s="38"/>
      <c r="T45" s="40">
        <v>53.571428571428569</v>
      </c>
      <c r="U45" s="41">
        <f t="shared" si="6"/>
        <v>1342.3714285714289</v>
      </c>
      <c r="V45" s="42">
        <f t="shared" si="1"/>
        <v>1.1186428571428573</v>
      </c>
      <c r="W45" s="43">
        <f t="shared" si="4"/>
        <v>0.16696162046908317</v>
      </c>
      <c r="X45" s="38"/>
      <c r="Y45" s="38"/>
      <c r="Z45" s="44"/>
      <c r="AA45" s="45">
        <v>46038</v>
      </c>
      <c r="AB45" s="45">
        <v>46060</v>
      </c>
      <c r="AC45" s="45"/>
      <c r="AD45" s="46" t="e">
        <f>IF(ISNA(VLOOKUP(D45,#REF!,5,0)),0,VLOOKUP(D45,#REF!,5,0))</f>
        <v>#REF!</v>
      </c>
      <c r="AE45" s="46" t="e">
        <f t="shared" si="2"/>
        <v>#REF!</v>
      </c>
      <c r="AF45" s="45">
        <v>46069</v>
      </c>
      <c r="AG45" s="33">
        <f t="shared" si="3"/>
        <v>31</v>
      </c>
      <c r="AH45" s="45">
        <v>46103</v>
      </c>
      <c r="AI45" s="39">
        <v>1154</v>
      </c>
      <c r="AJ45" s="56">
        <f t="shared" si="5"/>
        <v>34</v>
      </c>
      <c r="AK45" s="39"/>
      <c r="AL45" s="35"/>
      <c r="AM45" s="34"/>
      <c r="AN45" s="34"/>
      <c r="AO45" s="39"/>
      <c r="AP45" s="47"/>
      <c r="AQ45" s="47"/>
      <c r="AR45" s="47"/>
      <c r="AS45" s="47"/>
    </row>
    <row r="46" spans="1:45" s="64" customFormat="1" ht="12" customHeight="1" x14ac:dyDescent="0.25">
      <c r="A46" s="50">
        <v>45</v>
      </c>
      <c r="B46" s="51"/>
      <c r="C46" s="51" t="s">
        <v>94</v>
      </c>
      <c r="D46" s="52" t="s">
        <v>324</v>
      </c>
      <c r="E46" s="51" t="s">
        <v>61</v>
      </c>
      <c r="F46" s="51" t="s">
        <v>0</v>
      </c>
      <c r="G46" s="53" t="s">
        <v>282</v>
      </c>
      <c r="H46" s="51">
        <v>390</v>
      </c>
      <c r="I46" s="51" t="s">
        <v>66</v>
      </c>
      <c r="J46" s="51" t="s">
        <v>3</v>
      </c>
      <c r="K46" s="52" t="s">
        <v>4</v>
      </c>
      <c r="L46" s="54" t="e">
        <f>VLOOKUP(G46,#REF!,4,0)</f>
        <v>#REF!</v>
      </c>
      <c r="M46" s="55" t="e">
        <f>_xlfn.IFNA(VLOOKUP(G46,#REF!,2,0),"")</f>
        <v>#REF!</v>
      </c>
      <c r="N46" s="51" t="e">
        <f>_xlfn.IFNA(VLOOKUP(G46,#REF!,3,0),"")</f>
        <v>#REF!</v>
      </c>
      <c r="O46" s="56">
        <v>13</v>
      </c>
      <c r="P46" s="67">
        <v>197.11</v>
      </c>
      <c r="Q46" s="56" t="s">
        <v>10</v>
      </c>
      <c r="R46" s="51">
        <v>3.9</v>
      </c>
      <c r="S46" s="51"/>
      <c r="T46" s="57">
        <v>11.992619926199263</v>
      </c>
      <c r="U46" s="58">
        <f t="shared" si="6"/>
        <v>780.72161992619931</v>
      </c>
      <c r="V46" s="59">
        <f t="shared" si="1"/>
        <v>2.0018503075030751</v>
      </c>
      <c r="W46" s="60">
        <f t="shared" si="4"/>
        <v>0.2987836279855336</v>
      </c>
      <c r="X46" s="51"/>
      <c r="Y46" s="51"/>
      <c r="Z46" s="57"/>
      <c r="AA46" s="61">
        <v>46038</v>
      </c>
      <c r="AB46" s="61">
        <v>46060</v>
      </c>
      <c r="AC46" s="61"/>
      <c r="AD46" s="62" t="e">
        <f>IF(ISNA(VLOOKUP(D46,#REF!,5,0)),0,VLOOKUP(D46,#REF!,5,0))</f>
        <v>#REF!</v>
      </c>
      <c r="AE46" s="62" t="e">
        <f t="shared" si="2"/>
        <v>#REF!</v>
      </c>
      <c r="AF46" s="61">
        <v>46070</v>
      </c>
      <c r="AG46" s="50">
        <f t="shared" si="3"/>
        <v>32</v>
      </c>
      <c r="AH46" s="61">
        <v>46100</v>
      </c>
      <c r="AI46" s="56">
        <v>397</v>
      </c>
      <c r="AJ46" s="56">
        <f t="shared" si="5"/>
        <v>30</v>
      </c>
      <c r="AK46" s="56"/>
      <c r="AL46" s="52"/>
      <c r="AM46" s="51"/>
      <c r="AN46" s="51"/>
      <c r="AO46" s="56"/>
      <c r="AP46" s="63"/>
      <c r="AQ46" s="63"/>
      <c r="AR46" s="63"/>
      <c r="AS46" s="63"/>
    </row>
    <row r="47" spans="1:45" s="64" customFormat="1" ht="12" customHeight="1" x14ac:dyDescent="0.25">
      <c r="A47" s="50">
        <v>46</v>
      </c>
      <c r="B47" s="51"/>
      <c r="C47" s="51" t="s">
        <v>92</v>
      </c>
      <c r="D47" s="52" t="s">
        <v>325</v>
      </c>
      <c r="E47" s="51" t="s">
        <v>194</v>
      </c>
      <c r="F47" s="51" t="s">
        <v>195</v>
      </c>
      <c r="G47" s="53" t="s">
        <v>281</v>
      </c>
      <c r="H47" s="51">
        <v>144</v>
      </c>
      <c r="I47" s="51" t="s">
        <v>66</v>
      </c>
      <c r="J47" s="51" t="s">
        <v>234</v>
      </c>
      <c r="K47" s="52" t="s">
        <v>259</v>
      </c>
      <c r="L47" s="54" t="e">
        <f>VLOOKUP(G47,#REF!,4,0)</f>
        <v>#REF!</v>
      </c>
      <c r="M47" s="55" t="e">
        <f>_xlfn.IFNA(VLOOKUP(G47,#REF!,2,0),"")</f>
        <v>#REF!</v>
      </c>
      <c r="N47" s="51" t="e">
        <f>_xlfn.IFNA(VLOOKUP(G47,#REF!,3,0),"")</f>
        <v>#REF!</v>
      </c>
      <c r="O47" s="56">
        <v>12</v>
      </c>
      <c r="P47" s="67">
        <v>177</v>
      </c>
      <c r="Q47" s="56" t="s">
        <v>10</v>
      </c>
      <c r="R47" s="65">
        <v>7.1</v>
      </c>
      <c r="S47" s="51">
        <v>250</v>
      </c>
      <c r="T47" s="57">
        <v>250</v>
      </c>
      <c r="U47" s="58">
        <f t="shared" si="6"/>
        <v>1506.7</v>
      </c>
      <c r="V47" s="59">
        <f t="shared" si="1"/>
        <v>10.463194444444445</v>
      </c>
      <c r="W47" s="60">
        <f t="shared" si="4"/>
        <v>1.5616708126036485</v>
      </c>
      <c r="X47" s="51"/>
      <c r="Y47" s="51"/>
      <c r="Z47" s="57"/>
      <c r="AA47" s="61">
        <v>46038</v>
      </c>
      <c r="AB47" s="61">
        <v>46082</v>
      </c>
      <c r="AC47" s="61"/>
      <c r="AD47" s="62" t="e">
        <f>IF(ISNA(VLOOKUP(D47,#REF!,5,0)),0,VLOOKUP(D47,#REF!,5,0))</f>
        <v>#REF!</v>
      </c>
      <c r="AE47" s="62" t="e">
        <f t="shared" si="2"/>
        <v>#REF!</v>
      </c>
      <c r="AF47" s="61">
        <v>46091</v>
      </c>
      <c r="AG47" s="50">
        <f t="shared" si="3"/>
        <v>53</v>
      </c>
      <c r="AH47" s="61">
        <v>46105</v>
      </c>
      <c r="AI47" s="56">
        <v>144</v>
      </c>
      <c r="AJ47" s="56">
        <f t="shared" si="5"/>
        <v>14</v>
      </c>
      <c r="AK47" s="56"/>
      <c r="AL47" s="52"/>
      <c r="AM47" s="51"/>
      <c r="AN47" s="51"/>
      <c r="AO47" s="56"/>
      <c r="AP47" s="63"/>
      <c r="AQ47" s="63"/>
      <c r="AR47" s="63"/>
      <c r="AS47" s="63"/>
    </row>
    <row r="48" spans="1:45" s="64" customFormat="1" ht="12" customHeight="1" x14ac:dyDescent="0.25">
      <c r="A48" s="50">
        <v>47</v>
      </c>
      <c r="B48" s="51"/>
      <c r="C48" s="51" t="s">
        <v>93</v>
      </c>
      <c r="D48" s="52" t="s">
        <v>326</v>
      </c>
      <c r="E48" s="51" t="s">
        <v>51</v>
      </c>
      <c r="F48" s="51" t="s">
        <v>52</v>
      </c>
      <c r="G48" s="53" t="s">
        <v>53</v>
      </c>
      <c r="H48" s="51">
        <v>72</v>
      </c>
      <c r="I48" s="51" t="s">
        <v>66</v>
      </c>
      <c r="J48" s="51" t="s">
        <v>55</v>
      </c>
      <c r="K48" s="52" t="s">
        <v>80</v>
      </c>
      <c r="L48" s="54" t="e">
        <f>VLOOKUP(G48,#REF!,4,0)</f>
        <v>#REF!</v>
      </c>
      <c r="M48" s="55" t="e">
        <f>_xlfn.IFNA(VLOOKUP(G48,#REF!,2,0),"")</f>
        <v>#REF!</v>
      </c>
      <c r="N48" s="51" t="e">
        <f>_xlfn.IFNA(VLOOKUP(G48,#REF!,3,0),"")</f>
        <v>#REF!</v>
      </c>
      <c r="O48" s="56">
        <v>6</v>
      </c>
      <c r="P48" s="67">
        <v>87.6</v>
      </c>
      <c r="Q48" s="56" t="s">
        <v>10</v>
      </c>
      <c r="R48" s="51">
        <v>6</v>
      </c>
      <c r="S48" s="51">
        <v>250</v>
      </c>
      <c r="T48" s="57">
        <v>150</v>
      </c>
      <c r="U48" s="58">
        <f t="shared" si="6"/>
        <v>675.59999999999991</v>
      </c>
      <c r="V48" s="59">
        <f t="shared" si="1"/>
        <v>9.3833333333333329</v>
      </c>
      <c r="W48" s="60">
        <f t="shared" si="4"/>
        <v>1.4004975124378107</v>
      </c>
      <c r="X48" s="51"/>
      <c r="Y48" s="51"/>
      <c r="Z48" s="57"/>
      <c r="AA48" s="61">
        <v>46038</v>
      </c>
      <c r="AB48" s="61">
        <v>46078</v>
      </c>
      <c r="AC48" s="61"/>
      <c r="AD48" s="62" t="e">
        <f>IF(ISNA(VLOOKUP(D48,#REF!,5,0)),0,VLOOKUP(D48,#REF!,5,0))</f>
        <v>#REF!</v>
      </c>
      <c r="AE48" s="62" t="e">
        <f t="shared" si="2"/>
        <v>#REF!</v>
      </c>
      <c r="AF48" s="61">
        <v>46089</v>
      </c>
      <c r="AG48" s="50">
        <f t="shared" si="3"/>
        <v>51</v>
      </c>
      <c r="AH48" s="61">
        <v>46110</v>
      </c>
      <c r="AI48" s="56">
        <v>72</v>
      </c>
      <c r="AJ48" s="56">
        <f t="shared" si="5"/>
        <v>21</v>
      </c>
      <c r="AK48" s="56"/>
      <c r="AL48" s="52"/>
      <c r="AM48" s="51"/>
      <c r="AN48" s="51"/>
      <c r="AO48" s="56"/>
      <c r="AP48" s="63"/>
      <c r="AQ48" s="63"/>
      <c r="AR48" s="63"/>
      <c r="AS48" s="63"/>
    </row>
    <row r="49" spans="1:45" s="64" customFormat="1" ht="12" customHeight="1" x14ac:dyDescent="0.25">
      <c r="A49" s="50">
        <v>48</v>
      </c>
      <c r="B49" s="51"/>
      <c r="C49" s="51" t="s">
        <v>93</v>
      </c>
      <c r="D49" s="52" t="s">
        <v>326</v>
      </c>
      <c r="E49" s="51" t="s">
        <v>51</v>
      </c>
      <c r="F49" s="51" t="s">
        <v>52</v>
      </c>
      <c r="G49" s="53" t="s">
        <v>57</v>
      </c>
      <c r="H49" s="51">
        <v>48</v>
      </c>
      <c r="I49" s="51" t="s">
        <v>66</v>
      </c>
      <c r="J49" s="51" t="s">
        <v>55</v>
      </c>
      <c r="K49" s="52" t="s">
        <v>80</v>
      </c>
      <c r="L49" s="54" t="e">
        <f>VLOOKUP(G49,#REF!,4,0)</f>
        <v>#REF!</v>
      </c>
      <c r="M49" s="55" t="e">
        <f>_xlfn.IFNA(VLOOKUP(G49,#REF!,2,0),"")</f>
        <v>#REF!</v>
      </c>
      <c r="N49" s="51" t="e">
        <f>_xlfn.IFNA(VLOOKUP(G49,#REF!,3,0),"")</f>
        <v>#REF!</v>
      </c>
      <c r="O49" s="56">
        <v>4</v>
      </c>
      <c r="P49" s="67">
        <v>58.4</v>
      </c>
      <c r="Q49" s="56" t="s">
        <v>10</v>
      </c>
      <c r="R49" s="51">
        <v>6</v>
      </c>
      <c r="S49" s="65">
        <f>SUMIF(C:C,C48,T:T)</f>
        <v>250</v>
      </c>
      <c r="T49" s="57">
        <v>100</v>
      </c>
      <c r="U49" s="58">
        <f t="shared" si="6"/>
        <v>450.4</v>
      </c>
      <c r="V49" s="59">
        <f t="shared" si="1"/>
        <v>9.3833333333333329</v>
      </c>
      <c r="W49" s="60">
        <f t="shared" si="4"/>
        <v>1.4004975124378107</v>
      </c>
      <c r="X49" s="51"/>
      <c r="Y49" s="51"/>
      <c r="Z49" s="57"/>
      <c r="AA49" s="61">
        <v>46038</v>
      </c>
      <c r="AB49" s="61">
        <v>46078</v>
      </c>
      <c r="AC49" s="61"/>
      <c r="AD49" s="62" t="e">
        <f>IF(ISNA(VLOOKUP(D49,#REF!,5,0)),0,VLOOKUP(D49,#REF!,5,0))</f>
        <v>#REF!</v>
      </c>
      <c r="AE49" s="62" t="e">
        <f t="shared" si="2"/>
        <v>#REF!</v>
      </c>
      <c r="AF49" s="61">
        <v>46089</v>
      </c>
      <c r="AG49" s="50">
        <f t="shared" si="3"/>
        <v>51</v>
      </c>
      <c r="AH49" s="61">
        <v>46110</v>
      </c>
      <c r="AI49" s="56">
        <v>48</v>
      </c>
      <c r="AJ49" s="56">
        <f t="shared" si="5"/>
        <v>21</v>
      </c>
      <c r="AK49" s="56"/>
      <c r="AL49" s="52"/>
      <c r="AM49" s="51"/>
      <c r="AN49" s="51"/>
      <c r="AO49" s="56"/>
      <c r="AP49" s="63"/>
      <c r="AQ49" s="63"/>
      <c r="AR49" s="63"/>
      <c r="AS49" s="63"/>
    </row>
    <row r="50" spans="1:45" s="64" customFormat="1" ht="12" customHeight="1" x14ac:dyDescent="0.25">
      <c r="A50" s="50">
        <v>49</v>
      </c>
      <c r="B50" s="51"/>
      <c r="C50" s="51" t="s">
        <v>94</v>
      </c>
      <c r="D50" s="52" t="s">
        <v>327</v>
      </c>
      <c r="E50" s="51" t="s">
        <v>58</v>
      </c>
      <c r="F50" s="51" t="s">
        <v>0</v>
      </c>
      <c r="G50" s="53" t="s">
        <v>257</v>
      </c>
      <c r="H50" s="51">
        <v>660</v>
      </c>
      <c r="I50" s="51" t="s">
        <v>66</v>
      </c>
      <c r="J50" s="51" t="s">
        <v>3</v>
      </c>
      <c r="K50" s="52" t="s">
        <v>5</v>
      </c>
      <c r="L50" s="54" t="e">
        <f>VLOOKUP(G50,#REF!,4,0)</f>
        <v>#REF!</v>
      </c>
      <c r="M50" s="55" t="e">
        <f>_xlfn.IFNA(VLOOKUP(G50,#REF!,2,0),"")</f>
        <v>#REF!</v>
      </c>
      <c r="N50" s="51" t="e">
        <f>_xlfn.IFNA(VLOOKUP(G50,#REF!,3,0),"")</f>
        <v>#REF!</v>
      </c>
      <c r="O50" s="56">
        <v>55</v>
      </c>
      <c r="P50" s="67">
        <v>956.18243243243251</v>
      </c>
      <c r="Q50" s="56" t="s">
        <v>10</v>
      </c>
      <c r="R50" s="51">
        <v>3.9</v>
      </c>
      <c r="S50" s="51"/>
      <c r="T50" s="57">
        <v>50.738007380073803</v>
      </c>
      <c r="U50" s="58">
        <f t="shared" si="6"/>
        <v>3779.8494938665604</v>
      </c>
      <c r="V50" s="59">
        <f t="shared" si="1"/>
        <v>5.7270446876766066</v>
      </c>
      <c r="W50" s="60">
        <f t="shared" si="4"/>
        <v>0.85478278920546369</v>
      </c>
      <c r="X50" s="51"/>
      <c r="Y50" s="51"/>
      <c r="Z50" s="57"/>
      <c r="AA50" s="61">
        <v>46038</v>
      </c>
      <c r="AB50" s="61">
        <v>46060</v>
      </c>
      <c r="AC50" s="61"/>
      <c r="AD50" s="62" t="e">
        <f>IF(ISNA(VLOOKUP(D50,#REF!,5,0)),0,VLOOKUP(D50,#REF!,5,0))</f>
        <v>#REF!</v>
      </c>
      <c r="AE50" s="62" t="e">
        <f t="shared" si="2"/>
        <v>#REF!</v>
      </c>
      <c r="AF50" s="61">
        <v>46070</v>
      </c>
      <c r="AG50" s="50">
        <f t="shared" si="3"/>
        <v>32</v>
      </c>
      <c r="AH50" s="61">
        <v>46106</v>
      </c>
      <c r="AI50" s="56">
        <v>660</v>
      </c>
      <c r="AJ50" s="56">
        <f t="shared" si="5"/>
        <v>36</v>
      </c>
      <c r="AK50" s="56"/>
      <c r="AL50" s="52"/>
      <c r="AM50" s="51"/>
      <c r="AN50" s="51"/>
      <c r="AO50" s="56"/>
      <c r="AP50" s="63"/>
      <c r="AQ50" s="63"/>
      <c r="AR50" s="63"/>
      <c r="AS50" s="63"/>
    </row>
    <row r="51" spans="1:45" s="64" customFormat="1" ht="12" customHeight="1" x14ac:dyDescent="0.25">
      <c r="A51" s="50">
        <v>50</v>
      </c>
      <c r="B51" s="51"/>
      <c r="C51" s="51" t="s">
        <v>94</v>
      </c>
      <c r="D51" s="52" t="s">
        <v>327</v>
      </c>
      <c r="E51" s="51" t="s">
        <v>58</v>
      </c>
      <c r="F51" s="51" t="s">
        <v>0</v>
      </c>
      <c r="G51" s="53" t="s">
        <v>258</v>
      </c>
      <c r="H51" s="51">
        <v>660</v>
      </c>
      <c r="I51" s="51" t="s">
        <v>66</v>
      </c>
      <c r="J51" s="51" t="s">
        <v>3</v>
      </c>
      <c r="K51" s="52" t="s">
        <v>5</v>
      </c>
      <c r="L51" s="54" t="e">
        <f>VLOOKUP(G51,#REF!,4,0)</f>
        <v>#REF!</v>
      </c>
      <c r="M51" s="55" t="e">
        <f>_xlfn.IFNA(VLOOKUP(G51,#REF!,2,0),"")</f>
        <v>#REF!</v>
      </c>
      <c r="N51" s="51" t="e">
        <f>_xlfn.IFNA(VLOOKUP(G51,#REF!,3,0),"")</f>
        <v>#REF!</v>
      </c>
      <c r="O51" s="56">
        <v>55</v>
      </c>
      <c r="P51" s="67">
        <v>956.18243243243251</v>
      </c>
      <c r="Q51" s="56" t="s">
        <v>10</v>
      </c>
      <c r="R51" s="51">
        <v>3.9</v>
      </c>
      <c r="S51" s="51"/>
      <c r="T51" s="57">
        <v>50.738007380073803</v>
      </c>
      <c r="U51" s="58">
        <f t="shared" si="6"/>
        <v>3779.8494938665604</v>
      </c>
      <c r="V51" s="59">
        <f t="shared" si="1"/>
        <v>5.7270446876766066</v>
      </c>
      <c r="W51" s="60">
        <f t="shared" si="4"/>
        <v>0.85478278920546369</v>
      </c>
      <c r="X51" s="51"/>
      <c r="Y51" s="51"/>
      <c r="Z51" s="57"/>
      <c r="AA51" s="61">
        <v>46038</v>
      </c>
      <c r="AB51" s="61">
        <v>46060</v>
      </c>
      <c r="AC51" s="61"/>
      <c r="AD51" s="62" t="e">
        <f>IF(ISNA(VLOOKUP(D51,#REF!,5,0)),0,VLOOKUP(D51,#REF!,5,0))</f>
        <v>#REF!</v>
      </c>
      <c r="AE51" s="62" t="e">
        <f t="shared" si="2"/>
        <v>#REF!</v>
      </c>
      <c r="AF51" s="61">
        <v>46070</v>
      </c>
      <c r="AG51" s="50">
        <f t="shared" si="3"/>
        <v>32</v>
      </c>
      <c r="AH51" s="61">
        <v>46106</v>
      </c>
      <c r="AI51" s="56">
        <v>660</v>
      </c>
      <c r="AJ51" s="56">
        <f t="shared" si="5"/>
        <v>36</v>
      </c>
      <c r="AK51" s="56"/>
      <c r="AL51" s="52"/>
      <c r="AM51" s="51"/>
      <c r="AN51" s="51"/>
      <c r="AO51" s="56"/>
      <c r="AP51" s="63"/>
      <c r="AQ51" s="63"/>
      <c r="AR51" s="63"/>
      <c r="AS51" s="63"/>
    </row>
    <row r="52" spans="1:45" s="64" customFormat="1" ht="12" customHeight="1" x14ac:dyDescent="0.25">
      <c r="A52" s="50">
        <v>51</v>
      </c>
      <c r="B52" s="51"/>
      <c r="C52" s="51" t="s">
        <v>94</v>
      </c>
      <c r="D52" s="52" t="s">
        <v>327</v>
      </c>
      <c r="E52" s="51" t="s">
        <v>58</v>
      </c>
      <c r="F52" s="51" t="s">
        <v>0</v>
      </c>
      <c r="G52" s="53" t="s">
        <v>241</v>
      </c>
      <c r="H52" s="51">
        <v>456</v>
      </c>
      <c r="I52" s="51" t="s">
        <v>66</v>
      </c>
      <c r="J52" s="51" t="s">
        <v>3</v>
      </c>
      <c r="K52" s="52" t="s">
        <v>5</v>
      </c>
      <c r="L52" s="54" t="e">
        <f>VLOOKUP(G52,#REF!,4,0)</f>
        <v>#REF!</v>
      </c>
      <c r="M52" s="55" t="e">
        <f>_xlfn.IFNA(VLOOKUP(G52,#REF!,2,0),"")</f>
        <v>#REF!</v>
      </c>
      <c r="N52" s="51" t="e">
        <f>_xlfn.IFNA(VLOOKUP(G52,#REF!,3,0),"")</f>
        <v>#REF!</v>
      </c>
      <c r="O52" s="56">
        <v>38</v>
      </c>
      <c r="P52" s="67">
        <v>660.63513513513522</v>
      </c>
      <c r="Q52" s="56" t="s">
        <v>10</v>
      </c>
      <c r="R52" s="51">
        <v>3.9</v>
      </c>
      <c r="S52" s="51"/>
      <c r="T52" s="57">
        <v>35.055350553505534</v>
      </c>
      <c r="U52" s="58">
        <f t="shared" si="6"/>
        <v>2611.5323775805327</v>
      </c>
      <c r="V52" s="59">
        <f t="shared" si="1"/>
        <v>5.7270446876766066</v>
      </c>
      <c r="W52" s="60">
        <f t="shared" si="4"/>
        <v>0.85478278920546369</v>
      </c>
      <c r="X52" s="51"/>
      <c r="Y52" s="51"/>
      <c r="Z52" s="57"/>
      <c r="AA52" s="61">
        <v>46038</v>
      </c>
      <c r="AB52" s="61">
        <v>46060</v>
      </c>
      <c r="AC52" s="61"/>
      <c r="AD52" s="62" t="e">
        <f>IF(ISNA(VLOOKUP(D52,#REF!,5,0)),0,VLOOKUP(D52,#REF!,5,0))</f>
        <v>#REF!</v>
      </c>
      <c r="AE52" s="62" t="e">
        <f t="shared" si="2"/>
        <v>#REF!</v>
      </c>
      <c r="AF52" s="61">
        <v>46070</v>
      </c>
      <c r="AG52" s="50">
        <f t="shared" si="3"/>
        <v>32</v>
      </c>
      <c r="AH52" s="61">
        <v>46106</v>
      </c>
      <c r="AI52" s="56">
        <v>454</v>
      </c>
      <c r="AJ52" s="56">
        <f t="shared" si="5"/>
        <v>36</v>
      </c>
      <c r="AK52" s="56"/>
      <c r="AL52" s="52"/>
      <c r="AM52" s="51"/>
      <c r="AN52" s="51"/>
      <c r="AO52" s="56"/>
      <c r="AP52" s="63"/>
      <c r="AQ52" s="63"/>
      <c r="AR52" s="63"/>
      <c r="AS52" s="63"/>
    </row>
    <row r="53" spans="1:45" s="64" customFormat="1" ht="12" customHeight="1" x14ac:dyDescent="0.25">
      <c r="A53" s="50">
        <v>52</v>
      </c>
      <c r="B53" s="51"/>
      <c r="C53" s="51" t="s">
        <v>89</v>
      </c>
      <c r="D53" s="52" t="s">
        <v>328</v>
      </c>
      <c r="E53" s="51" t="s">
        <v>61</v>
      </c>
      <c r="F53" s="51" t="s">
        <v>0</v>
      </c>
      <c r="G53" s="53" t="s">
        <v>329</v>
      </c>
      <c r="H53" s="51">
        <v>532</v>
      </c>
      <c r="I53" s="51" t="s">
        <v>87</v>
      </c>
      <c r="J53" s="51" t="s">
        <v>261</v>
      </c>
      <c r="K53" s="52" t="s">
        <v>6</v>
      </c>
      <c r="L53" s="54" t="e">
        <f>VLOOKUP(G53,#REF!,4,0)</f>
        <v>#REF!</v>
      </c>
      <c r="M53" s="55" t="e">
        <f>_xlfn.IFNA(VLOOKUP(G53,#REF!,2,0),"")</f>
        <v>#REF!</v>
      </c>
      <c r="N53" s="51" t="e">
        <f>_xlfn.IFNA(VLOOKUP(G53,#REF!,3,0),"")</f>
        <v>#REF!</v>
      </c>
      <c r="O53" s="56">
        <v>7</v>
      </c>
      <c r="P53" s="67">
        <v>152</v>
      </c>
      <c r="Q53" s="56" t="s">
        <v>10</v>
      </c>
      <c r="R53" s="51">
        <v>6.5</v>
      </c>
      <c r="S53" s="51">
        <v>350</v>
      </c>
      <c r="T53" s="57">
        <v>350</v>
      </c>
      <c r="U53" s="58">
        <f t="shared" si="6"/>
        <v>1338</v>
      </c>
      <c r="V53" s="59">
        <f t="shared" si="1"/>
        <v>2.5150375939849625</v>
      </c>
      <c r="W53" s="60">
        <f t="shared" si="4"/>
        <v>0.37537874537088994</v>
      </c>
      <c r="X53" s="51"/>
      <c r="Y53" s="51"/>
      <c r="Z53" s="57"/>
      <c r="AA53" s="61">
        <v>46038</v>
      </c>
      <c r="AB53" s="61">
        <v>46063</v>
      </c>
      <c r="AC53" s="61"/>
      <c r="AD53" s="62" t="e">
        <f>IF(ISNA(VLOOKUP(D53,#REF!,5,0)),0,VLOOKUP(D53,#REF!,5,0))</f>
        <v>#REF!</v>
      </c>
      <c r="AE53" s="62" t="e">
        <f t="shared" si="2"/>
        <v>#REF!</v>
      </c>
      <c r="AF53" s="61">
        <v>46075</v>
      </c>
      <c r="AG53" s="50">
        <f t="shared" si="3"/>
        <v>37</v>
      </c>
      <c r="AH53" s="61">
        <v>46106</v>
      </c>
      <c r="AI53" s="56">
        <v>528</v>
      </c>
      <c r="AJ53" s="56">
        <f t="shared" si="5"/>
        <v>31</v>
      </c>
      <c r="AK53" s="56"/>
      <c r="AL53" s="52"/>
      <c r="AM53" s="51"/>
      <c r="AN53" s="51"/>
      <c r="AO53" s="56"/>
      <c r="AP53" s="63"/>
      <c r="AQ53" s="63"/>
      <c r="AR53" s="63"/>
      <c r="AS53" s="63"/>
    </row>
    <row r="54" spans="1:45" s="64" customFormat="1" ht="12" customHeight="1" x14ac:dyDescent="0.25">
      <c r="A54" s="50">
        <v>53</v>
      </c>
      <c r="B54" s="51"/>
      <c r="C54" s="51" t="s">
        <v>219</v>
      </c>
      <c r="D54" s="52" t="s">
        <v>330</v>
      </c>
      <c r="E54" s="51" t="s">
        <v>58</v>
      </c>
      <c r="F54" s="51" t="s">
        <v>0</v>
      </c>
      <c r="G54" s="53" t="s">
        <v>88</v>
      </c>
      <c r="H54" s="51">
        <v>1260</v>
      </c>
      <c r="I54" s="51" t="s">
        <v>87</v>
      </c>
      <c r="J54" s="51" t="s">
        <v>3</v>
      </c>
      <c r="K54" s="52" t="s">
        <v>20</v>
      </c>
      <c r="L54" s="54" t="e">
        <f>VLOOKUP(G54,#REF!,4,0)</f>
        <v>#REF!</v>
      </c>
      <c r="M54" s="55" t="e">
        <f>_xlfn.IFNA(VLOOKUP(G54,#REF!,2,0),"")</f>
        <v>#REF!</v>
      </c>
      <c r="N54" s="51" t="e">
        <f>_xlfn.IFNA(VLOOKUP(G54,#REF!,3,0),"")</f>
        <v>#REF!</v>
      </c>
      <c r="O54" s="56">
        <v>14</v>
      </c>
      <c r="P54" s="67">
        <v>286.58999999999997</v>
      </c>
      <c r="Q54" s="56" t="s">
        <v>10</v>
      </c>
      <c r="R54" s="51">
        <v>5.6</v>
      </c>
      <c r="S54" s="65">
        <f>SUMIF(C:C,C53,T:T)</f>
        <v>350</v>
      </c>
      <c r="T54" s="57"/>
      <c r="U54" s="58">
        <f>R54*P54+T54</f>
        <v>1604.9039999999998</v>
      </c>
      <c r="V54" s="59">
        <f t="shared" si="1"/>
        <v>1.2737333333333332</v>
      </c>
      <c r="W54" s="60">
        <f t="shared" si="4"/>
        <v>0.19010945273631838</v>
      </c>
      <c r="X54" s="51"/>
      <c r="Y54" s="51"/>
      <c r="Z54" s="57"/>
      <c r="AA54" s="61">
        <v>46038</v>
      </c>
      <c r="AB54" s="61">
        <v>46058</v>
      </c>
      <c r="AC54" s="61"/>
      <c r="AD54" s="62" t="e">
        <f>IF(ISNA(VLOOKUP(D54,#REF!,5,0)),0,VLOOKUP(D54,#REF!,5,0))</f>
        <v>#REF!</v>
      </c>
      <c r="AE54" s="62" t="e">
        <f t="shared" si="2"/>
        <v>#REF!</v>
      </c>
      <c r="AF54" s="61">
        <v>46093</v>
      </c>
      <c r="AG54" s="50">
        <f t="shared" si="3"/>
        <v>55</v>
      </c>
      <c r="AH54" s="61">
        <v>46123</v>
      </c>
      <c r="AI54" s="56"/>
      <c r="AJ54" s="56">
        <f t="shared" si="5"/>
        <v>30</v>
      </c>
      <c r="AK54" s="56"/>
      <c r="AL54" s="52"/>
      <c r="AM54" s="51"/>
      <c r="AN54" s="51"/>
      <c r="AO54" s="56"/>
      <c r="AP54" s="63"/>
      <c r="AQ54" s="63"/>
      <c r="AR54" s="63"/>
      <c r="AS54" s="63"/>
    </row>
    <row r="55" spans="1:45" s="64" customFormat="1" ht="12" customHeight="1" x14ac:dyDescent="0.25">
      <c r="A55" s="50">
        <v>54</v>
      </c>
      <c r="B55" s="51"/>
      <c r="C55" s="51" t="s">
        <v>219</v>
      </c>
      <c r="D55" s="52" t="s">
        <v>331</v>
      </c>
      <c r="E55" s="51" t="s">
        <v>61</v>
      </c>
      <c r="F55" s="51" t="s">
        <v>0</v>
      </c>
      <c r="G55" s="53" t="s">
        <v>244</v>
      </c>
      <c r="H55" s="51">
        <v>90</v>
      </c>
      <c r="I55" s="51" t="s">
        <v>87</v>
      </c>
      <c r="J55" s="51" t="s">
        <v>3</v>
      </c>
      <c r="K55" s="52" t="s">
        <v>20</v>
      </c>
      <c r="L55" s="54" t="e">
        <f>VLOOKUP(G55,#REF!,4,0)</f>
        <v>#REF!</v>
      </c>
      <c r="M55" s="55" t="e">
        <f>_xlfn.IFNA(VLOOKUP(G55,#REF!,2,0),"")</f>
        <v>#REF!</v>
      </c>
      <c r="N55" s="51" t="e">
        <f>_xlfn.IFNA(VLOOKUP(G55,#REF!,3,0),"")</f>
        <v>#REF!</v>
      </c>
      <c r="O55" s="56">
        <v>1</v>
      </c>
      <c r="P55" s="67">
        <v>20.470500000000001</v>
      </c>
      <c r="Q55" s="56" t="s">
        <v>10</v>
      </c>
      <c r="R55" s="51">
        <v>5.6</v>
      </c>
      <c r="S55" s="51"/>
      <c r="T55" s="57"/>
      <c r="U55" s="58">
        <f>R55*P55+T55</f>
        <v>114.6348</v>
      </c>
      <c r="V55" s="59">
        <f t="shared" si="1"/>
        <v>1.27372</v>
      </c>
      <c r="W55" s="60">
        <f t="shared" si="4"/>
        <v>0.19010746268656714</v>
      </c>
      <c r="X55" s="51"/>
      <c r="Y55" s="51"/>
      <c r="Z55" s="57"/>
      <c r="AA55" s="61">
        <v>46038</v>
      </c>
      <c r="AB55" s="61">
        <v>46058</v>
      </c>
      <c r="AC55" s="61"/>
      <c r="AD55" s="62" t="e">
        <f>IF(ISNA(VLOOKUP(D55,#REF!,5,0)),0,VLOOKUP(D55,#REF!,5,0))</f>
        <v>#REF!</v>
      </c>
      <c r="AE55" s="62" t="e">
        <f t="shared" si="2"/>
        <v>#REF!</v>
      </c>
      <c r="AF55" s="61">
        <v>46093</v>
      </c>
      <c r="AG55" s="50">
        <f t="shared" si="3"/>
        <v>55</v>
      </c>
      <c r="AH55" s="61">
        <v>46124</v>
      </c>
      <c r="AI55" s="56"/>
      <c r="AJ55" s="56">
        <f t="shared" si="5"/>
        <v>31</v>
      </c>
      <c r="AK55" s="56"/>
      <c r="AL55" s="52"/>
      <c r="AM55" s="51"/>
      <c r="AN55" s="51"/>
      <c r="AO55" s="56"/>
      <c r="AP55" s="63"/>
      <c r="AQ55" s="63"/>
      <c r="AR55" s="63"/>
      <c r="AS55" s="63"/>
    </row>
    <row r="56" spans="1:45" s="64" customFormat="1" ht="12" customHeight="1" x14ac:dyDescent="0.25">
      <c r="A56" s="50">
        <v>55</v>
      </c>
      <c r="B56" s="51"/>
      <c r="C56" s="51" t="s">
        <v>219</v>
      </c>
      <c r="D56" s="52" t="s">
        <v>331</v>
      </c>
      <c r="E56" s="51" t="s">
        <v>61</v>
      </c>
      <c r="F56" s="51" t="s">
        <v>0</v>
      </c>
      <c r="G56" s="53" t="s">
        <v>245</v>
      </c>
      <c r="H56" s="51">
        <v>90</v>
      </c>
      <c r="I56" s="51" t="s">
        <v>87</v>
      </c>
      <c r="J56" s="51" t="s">
        <v>3</v>
      </c>
      <c r="K56" s="52" t="s">
        <v>20</v>
      </c>
      <c r="L56" s="54" t="e">
        <f>VLOOKUP(G56,#REF!,4,0)</f>
        <v>#REF!</v>
      </c>
      <c r="M56" s="55" t="e">
        <f>_xlfn.IFNA(VLOOKUP(G56,#REF!,2,0),"")</f>
        <v>#REF!</v>
      </c>
      <c r="N56" s="51" t="e">
        <f>_xlfn.IFNA(VLOOKUP(G56,#REF!,3,0),"")</f>
        <v>#REF!</v>
      </c>
      <c r="O56" s="56">
        <v>1</v>
      </c>
      <c r="P56" s="67">
        <v>20.470500000000001</v>
      </c>
      <c r="Q56" s="56" t="s">
        <v>10</v>
      </c>
      <c r="R56" s="51">
        <v>5.6</v>
      </c>
      <c r="S56" s="51"/>
      <c r="T56" s="57"/>
      <c r="U56" s="58">
        <f t="shared" si="6"/>
        <v>114.6348</v>
      </c>
      <c r="V56" s="59">
        <f t="shared" si="1"/>
        <v>1.27372</v>
      </c>
      <c r="W56" s="60">
        <f t="shared" si="4"/>
        <v>0.19010746268656714</v>
      </c>
      <c r="X56" s="51"/>
      <c r="Y56" s="51"/>
      <c r="Z56" s="57"/>
      <c r="AA56" s="61">
        <v>46038</v>
      </c>
      <c r="AB56" s="61">
        <v>46058</v>
      </c>
      <c r="AC56" s="61"/>
      <c r="AD56" s="62" t="e">
        <f>IF(ISNA(VLOOKUP(D56,#REF!,5,0)),0,VLOOKUP(D56,#REF!,5,0))</f>
        <v>#REF!</v>
      </c>
      <c r="AE56" s="62" t="e">
        <f t="shared" si="2"/>
        <v>#REF!</v>
      </c>
      <c r="AF56" s="61">
        <v>46093</v>
      </c>
      <c r="AG56" s="50">
        <f t="shared" si="3"/>
        <v>55</v>
      </c>
      <c r="AH56" s="61">
        <v>46124</v>
      </c>
      <c r="AI56" s="56"/>
      <c r="AJ56" s="56">
        <f t="shared" si="5"/>
        <v>31</v>
      </c>
      <c r="AK56" s="56"/>
      <c r="AL56" s="52"/>
      <c r="AM56" s="51"/>
      <c r="AN56" s="51"/>
      <c r="AO56" s="56"/>
      <c r="AP56" s="63"/>
      <c r="AQ56" s="63"/>
      <c r="AR56" s="63"/>
      <c r="AS56" s="63"/>
    </row>
    <row r="57" spans="1:45" s="64" customFormat="1" ht="12" customHeight="1" x14ac:dyDescent="0.25">
      <c r="A57" s="50">
        <v>56</v>
      </c>
      <c r="B57" s="51" t="s">
        <v>428</v>
      </c>
      <c r="C57" s="51" t="s">
        <v>91</v>
      </c>
      <c r="D57" s="52" t="s">
        <v>331</v>
      </c>
      <c r="E57" s="51" t="s">
        <v>61</v>
      </c>
      <c r="F57" s="51" t="s">
        <v>0</v>
      </c>
      <c r="G57" s="53" t="s">
        <v>329</v>
      </c>
      <c r="H57" s="51">
        <v>1064</v>
      </c>
      <c r="I57" s="51" t="s">
        <v>87</v>
      </c>
      <c r="J57" s="51" t="s">
        <v>3</v>
      </c>
      <c r="K57" s="52" t="s">
        <v>20</v>
      </c>
      <c r="L57" s="54" t="e">
        <f>VLOOKUP(G57,#REF!,4,0)</f>
        <v>#REF!</v>
      </c>
      <c r="M57" s="55" t="e">
        <f>_xlfn.IFNA(VLOOKUP(G57,#REF!,2,0),"")</f>
        <v>#REF!</v>
      </c>
      <c r="N57" s="51" t="e">
        <f>_xlfn.IFNA(VLOOKUP(G57,#REF!,3,0),"")</f>
        <v>#REF!</v>
      </c>
      <c r="O57" s="56">
        <v>14</v>
      </c>
      <c r="P57" s="67">
        <v>286.58699999999999</v>
      </c>
      <c r="Q57" s="56" t="s">
        <v>10</v>
      </c>
      <c r="R57" s="51">
        <v>5.6</v>
      </c>
      <c r="S57" s="51">
        <v>350</v>
      </c>
      <c r="T57" s="57">
        <v>350</v>
      </c>
      <c r="U57" s="58">
        <f t="shared" si="6"/>
        <v>1954.8871999999999</v>
      </c>
      <c r="V57" s="59">
        <f t="shared" si="1"/>
        <v>1.8372999999999999</v>
      </c>
      <c r="W57" s="60">
        <f t="shared" si="4"/>
        <v>0.27422388059701491</v>
      </c>
      <c r="X57" s="51"/>
      <c r="Y57" s="51"/>
      <c r="Z57" s="57"/>
      <c r="AA57" s="61">
        <v>46038</v>
      </c>
      <c r="AB57" s="61">
        <v>46058</v>
      </c>
      <c r="AC57" s="61"/>
      <c r="AD57" s="62" t="e">
        <f>IF(ISNA(VLOOKUP(D57,#REF!,5,0)),0,VLOOKUP(D57,#REF!,5,0))</f>
        <v>#REF!</v>
      </c>
      <c r="AE57" s="62" t="e">
        <f t="shared" si="2"/>
        <v>#REF!</v>
      </c>
      <c r="AF57" s="61">
        <v>46093</v>
      </c>
      <c r="AG57" s="50">
        <f t="shared" si="3"/>
        <v>55</v>
      </c>
      <c r="AH57" s="61">
        <v>46124</v>
      </c>
      <c r="AI57" s="56"/>
      <c r="AJ57" s="56">
        <f t="shared" si="5"/>
        <v>31</v>
      </c>
      <c r="AK57" s="56"/>
      <c r="AL57" s="52"/>
      <c r="AM57" s="51"/>
      <c r="AN57" s="51"/>
      <c r="AO57" s="56"/>
      <c r="AP57" s="63"/>
      <c r="AQ57" s="63"/>
      <c r="AR57" s="63"/>
      <c r="AS57" s="63"/>
    </row>
    <row r="58" spans="1:45" s="64" customFormat="1" ht="12" customHeight="1" x14ac:dyDescent="0.25">
      <c r="A58" s="50">
        <v>57</v>
      </c>
      <c r="B58" s="51"/>
      <c r="C58" s="51" t="s">
        <v>219</v>
      </c>
      <c r="D58" s="52" t="s">
        <v>331</v>
      </c>
      <c r="E58" s="51" t="s">
        <v>61</v>
      </c>
      <c r="F58" s="51" t="s">
        <v>0</v>
      </c>
      <c r="G58" s="53" t="s">
        <v>174</v>
      </c>
      <c r="H58" s="51">
        <v>90</v>
      </c>
      <c r="I58" s="51" t="s">
        <v>87</v>
      </c>
      <c r="J58" s="51" t="s">
        <v>3</v>
      </c>
      <c r="K58" s="52" t="s">
        <v>20</v>
      </c>
      <c r="L58" s="54" t="e">
        <f>VLOOKUP(G58,#REF!,4,0)</f>
        <v>#REF!</v>
      </c>
      <c r="M58" s="55" t="e">
        <f>_xlfn.IFNA(VLOOKUP(G58,#REF!,2,0),"")</f>
        <v>#REF!</v>
      </c>
      <c r="N58" s="51" t="e">
        <f>_xlfn.IFNA(VLOOKUP(G58,#REF!,3,0),"")</f>
        <v>#REF!</v>
      </c>
      <c r="O58" s="56">
        <v>1</v>
      </c>
      <c r="P58" s="67">
        <v>20.470500000000001</v>
      </c>
      <c r="Q58" s="56" t="s">
        <v>10</v>
      </c>
      <c r="R58" s="51">
        <v>5.6</v>
      </c>
      <c r="S58" s="65">
        <f>SUMIF(C:C,C57,T:T)</f>
        <v>350</v>
      </c>
      <c r="T58" s="57"/>
      <c r="U58" s="58">
        <f t="shared" si="6"/>
        <v>114.6348</v>
      </c>
      <c r="V58" s="59">
        <f t="shared" si="1"/>
        <v>1.27372</v>
      </c>
      <c r="W58" s="60">
        <f t="shared" si="4"/>
        <v>0.19010746268656714</v>
      </c>
      <c r="X58" s="51"/>
      <c r="Y58" s="51"/>
      <c r="Z58" s="57"/>
      <c r="AA58" s="61">
        <v>46038</v>
      </c>
      <c r="AB58" s="61">
        <v>46058</v>
      </c>
      <c r="AC58" s="61"/>
      <c r="AD58" s="62" t="e">
        <f>IF(ISNA(VLOOKUP(D58,#REF!,5,0)),0,VLOOKUP(D58,#REF!,5,0))</f>
        <v>#REF!</v>
      </c>
      <c r="AE58" s="62" t="e">
        <f t="shared" si="2"/>
        <v>#REF!</v>
      </c>
      <c r="AF58" s="61">
        <v>46093</v>
      </c>
      <c r="AG58" s="50">
        <f t="shared" si="3"/>
        <v>55</v>
      </c>
      <c r="AH58" s="61">
        <v>46124</v>
      </c>
      <c r="AI58" s="56"/>
      <c r="AJ58" s="56">
        <f t="shared" si="5"/>
        <v>31</v>
      </c>
      <c r="AK58" s="56"/>
      <c r="AL58" s="52"/>
      <c r="AM58" s="51"/>
      <c r="AN58" s="51"/>
      <c r="AO58" s="56"/>
      <c r="AP58" s="63"/>
      <c r="AQ58" s="63"/>
      <c r="AR58" s="63"/>
      <c r="AS58" s="63"/>
    </row>
    <row r="59" spans="1:45" s="64" customFormat="1" ht="12" customHeight="1" x14ac:dyDescent="0.25">
      <c r="A59" s="50">
        <v>58</v>
      </c>
      <c r="B59" s="51"/>
      <c r="C59" s="51" t="s">
        <v>219</v>
      </c>
      <c r="D59" s="52" t="s">
        <v>331</v>
      </c>
      <c r="E59" s="51" t="s">
        <v>61</v>
      </c>
      <c r="F59" s="51" t="s">
        <v>0</v>
      </c>
      <c r="G59" s="53" t="s">
        <v>175</v>
      </c>
      <c r="H59" s="51">
        <v>180</v>
      </c>
      <c r="I59" s="51" t="s">
        <v>87</v>
      </c>
      <c r="J59" s="51" t="s">
        <v>3</v>
      </c>
      <c r="K59" s="52" t="s">
        <v>20</v>
      </c>
      <c r="L59" s="54" t="e">
        <f>VLOOKUP(G59,#REF!,4,0)</f>
        <v>#REF!</v>
      </c>
      <c r="M59" s="55" t="e">
        <f>_xlfn.IFNA(VLOOKUP(G59,#REF!,2,0),"")</f>
        <v>#REF!</v>
      </c>
      <c r="N59" s="51" t="e">
        <f>_xlfn.IFNA(VLOOKUP(G59,#REF!,3,0),"")</f>
        <v>#REF!</v>
      </c>
      <c r="O59" s="56">
        <v>2</v>
      </c>
      <c r="P59" s="67">
        <v>40.941000000000003</v>
      </c>
      <c r="Q59" s="56" t="s">
        <v>10</v>
      </c>
      <c r="R59" s="51">
        <v>5.6</v>
      </c>
      <c r="S59" s="51"/>
      <c r="T59" s="57"/>
      <c r="U59" s="58">
        <f t="shared" si="6"/>
        <v>229.2696</v>
      </c>
      <c r="V59" s="59">
        <f t="shared" si="1"/>
        <v>1.27372</v>
      </c>
      <c r="W59" s="60">
        <f t="shared" si="4"/>
        <v>0.19010746268656714</v>
      </c>
      <c r="X59" s="51"/>
      <c r="Y59" s="51"/>
      <c r="Z59" s="57"/>
      <c r="AA59" s="61">
        <v>46038</v>
      </c>
      <c r="AB59" s="61">
        <v>46058</v>
      </c>
      <c r="AC59" s="61"/>
      <c r="AD59" s="62" t="e">
        <f>IF(ISNA(VLOOKUP(D59,#REF!,5,0)),0,VLOOKUP(D59,#REF!,5,0))</f>
        <v>#REF!</v>
      </c>
      <c r="AE59" s="62" t="e">
        <f t="shared" si="2"/>
        <v>#REF!</v>
      </c>
      <c r="AF59" s="61">
        <v>46093</v>
      </c>
      <c r="AG59" s="50">
        <f t="shared" si="3"/>
        <v>55</v>
      </c>
      <c r="AH59" s="61">
        <v>46124</v>
      </c>
      <c r="AI59" s="56"/>
      <c r="AJ59" s="56">
        <f t="shared" si="5"/>
        <v>31</v>
      </c>
      <c r="AK59" s="56"/>
      <c r="AL59" s="52"/>
      <c r="AM59" s="51"/>
      <c r="AN59" s="51"/>
      <c r="AO59" s="56"/>
      <c r="AP59" s="63"/>
      <c r="AQ59" s="63"/>
      <c r="AR59" s="63"/>
      <c r="AS59" s="63"/>
    </row>
    <row r="60" spans="1:45" s="64" customFormat="1" ht="12" customHeight="1" x14ac:dyDescent="0.25">
      <c r="A60" s="50">
        <v>59</v>
      </c>
      <c r="B60" s="51"/>
      <c r="C60" s="51" t="s">
        <v>219</v>
      </c>
      <c r="D60" s="52" t="s">
        <v>331</v>
      </c>
      <c r="E60" s="51" t="s">
        <v>61</v>
      </c>
      <c r="F60" s="51" t="s">
        <v>0</v>
      </c>
      <c r="G60" s="53" t="s">
        <v>246</v>
      </c>
      <c r="H60" s="51">
        <v>90</v>
      </c>
      <c r="I60" s="51" t="s">
        <v>87</v>
      </c>
      <c r="J60" s="51" t="s">
        <v>3</v>
      </c>
      <c r="K60" s="52" t="s">
        <v>20</v>
      </c>
      <c r="L60" s="54" t="e">
        <f>VLOOKUP(G60,#REF!,4,0)</f>
        <v>#REF!</v>
      </c>
      <c r="M60" s="55" t="e">
        <f>_xlfn.IFNA(VLOOKUP(G60,#REF!,2,0),"")</f>
        <v>#REF!</v>
      </c>
      <c r="N60" s="51" t="e">
        <f>_xlfn.IFNA(VLOOKUP(G60,#REF!,3,0),"")</f>
        <v>#REF!</v>
      </c>
      <c r="O60" s="56">
        <v>1</v>
      </c>
      <c r="P60" s="67">
        <v>20.470500000000001</v>
      </c>
      <c r="Q60" s="56" t="s">
        <v>10</v>
      </c>
      <c r="R60" s="51">
        <v>5.6</v>
      </c>
      <c r="S60" s="51"/>
      <c r="T60" s="57"/>
      <c r="U60" s="58">
        <f t="shared" si="6"/>
        <v>114.6348</v>
      </c>
      <c r="V60" s="59">
        <f t="shared" si="1"/>
        <v>1.27372</v>
      </c>
      <c r="W60" s="60">
        <f t="shared" si="4"/>
        <v>0.19010746268656714</v>
      </c>
      <c r="X60" s="51"/>
      <c r="Y60" s="51"/>
      <c r="Z60" s="57"/>
      <c r="AA60" s="61">
        <v>46038</v>
      </c>
      <c r="AB60" s="61">
        <v>46058</v>
      </c>
      <c r="AC60" s="61"/>
      <c r="AD60" s="62" t="e">
        <f>IF(ISNA(VLOOKUP(D60,#REF!,5,0)),0,VLOOKUP(D60,#REF!,5,0))</f>
        <v>#REF!</v>
      </c>
      <c r="AE60" s="62" t="e">
        <f t="shared" si="2"/>
        <v>#REF!</v>
      </c>
      <c r="AF60" s="61">
        <v>46093</v>
      </c>
      <c r="AG60" s="50">
        <f t="shared" si="3"/>
        <v>55</v>
      </c>
      <c r="AH60" s="61">
        <v>46124</v>
      </c>
      <c r="AI60" s="56"/>
      <c r="AJ60" s="56">
        <f t="shared" si="5"/>
        <v>31</v>
      </c>
      <c r="AK60" s="56"/>
      <c r="AL60" s="52"/>
      <c r="AM60" s="51"/>
      <c r="AN60" s="51"/>
      <c r="AO60" s="56"/>
      <c r="AP60" s="63"/>
      <c r="AQ60" s="63"/>
      <c r="AR60" s="63"/>
      <c r="AS60" s="63"/>
    </row>
    <row r="61" spans="1:45" ht="12" customHeight="1" x14ac:dyDescent="0.25">
      <c r="A61" s="33">
        <v>60</v>
      </c>
      <c r="B61" s="34"/>
      <c r="C61" s="34" t="s">
        <v>106</v>
      </c>
      <c r="D61" s="35" t="s">
        <v>334</v>
      </c>
      <c r="E61" s="34" t="s">
        <v>61</v>
      </c>
      <c r="F61" s="34" t="s">
        <v>0</v>
      </c>
      <c r="G61" s="16" t="s">
        <v>67</v>
      </c>
      <c r="H61" s="34">
        <v>128</v>
      </c>
      <c r="I61" s="34" t="s">
        <v>54</v>
      </c>
      <c r="J61" s="34" t="s">
        <v>3</v>
      </c>
      <c r="K61" s="35" t="s">
        <v>20</v>
      </c>
      <c r="L61" s="36" t="e">
        <f>VLOOKUP(G61,#REF!,4,0)</f>
        <v>#REF!</v>
      </c>
      <c r="M61" s="37" t="e">
        <f>_xlfn.IFNA(VLOOKUP(G61,#REF!,2,0),"")</f>
        <v>#REF!</v>
      </c>
      <c r="N61" s="38" t="e">
        <f>_xlfn.IFNA(VLOOKUP(G61,#REF!,3,0),"")</f>
        <v>#REF!</v>
      </c>
      <c r="O61" s="39">
        <v>8</v>
      </c>
      <c r="P61" s="67">
        <v>106.57627118644068</v>
      </c>
      <c r="Q61" s="39" t="s">
        <v>10</v>
      </c>
      <c r="R61" s="34">
        <v>3.4</v>
      </c>
      <c r="S61" s="38">
        <v>200</v>
      </c>
      <c r="T61" s="40">
        <v>10.884353741496598</v>
      </c>
      <c r="U61" s="41">
        <f t="shared" si="6"/>
        <v>373.24367577539493</v>
      </c>
      <c r="V61" s="42">
        <f t="shared" si="1"/>
        <v>2.9159662169952729</v>
      </c>
      <c r="W61" s="43">
        <f t="shared" si="4"/>
        <v>0.43521883835750341</v>
      </c>
      <c r="X61" s="38"/>
      <c r="Y61" s="38"/>
      <c r="Z61" s="44"/>
      <c r="AA61" s="45">
        <v>46045</v>
      </c>
      <c r="AB61" s="45">
        <v>46067</v>
      </c>
      <c r="AC61" s="45"/>
      <c r="AD61" s="46" t="e">
        <f>IF(ISNA(VLOOKUP(D61,#REF!,5,0)),0,VLOOKUP(D61,#REF!,5,0))</f>
        <v>#REF!</v>
      </c>
      <c r="AE61" s="46" t="e">
        <f t="shared" si="2"/>
        <v>#REF!</v>
      </c>
      <c r="AF61" s="45">
        <v>46077</v>
      </c>
      <c r="AG61" s="33">
        <f t="shared" si="3"/>
        <v>32</v>
      </c>
      <c r="AH61" s="45">
        <v>46107</v>
      </c>
      <c r="AI61" s="39">
        <v>128</v>
      </c>
      <c r="AJ61" s="56">
        <f t="shared" si="5"/>
        <v>30</v>
      </c>
      <c r="AK61" s="39"/>
      <c r="AL61" s="35"/>
      <c r="AM61" s="34"/>
      <c r="AN61" s="34"/>
      <c r="AO61" s="39"/>
      <c r="AP61" s="47"/>
      <c r="AQ61" s="47"/>
      <c r="AR61" s="47"/>
      <c r="AS61" s="47"/>
    </row>
    <row r="62" spans="1:45" ht="12" customHeight="1" x14ac:dyDescent="0.25">
      <c r="A62" s="33">
        <v>61</v>
      </c>
      <c r="B62" s="34"/>
      <c r="C62" s="34" t="s">
        <v>106</v>
      </c>
      <c r="D62" s="35" t="s">
        <v>334</v>
      </c>
      <c r="E62" s="34" t="s">
        <v>61</v>
      </c>
      <c r="F62" s="34" t="s">
        <v>0</v>
      </c>
      <c r="G62" s="16" t="s">
        <v>68</v>
      </c>
      <c r="H62" s="34">
        <v>300</v>
      </c>
      <c r="I62" s="34" t="s">
        <v>54</v>
      </c>
      <c r="J62" s="34" t="s">
        <v>3</v>
      </c>
      <c r="K62" s="35" t="s">
        <v>20</v>
      </c>
      <c r="L62" s="36" t="e">
        <f>VLOOKUP(G62,#REF!,4,0)</f>
        <v>#REF!</v>
      </c>
      <c r="M62" s="37" t="e">
        <f>_xlfn.IFNA(VLOOKUP(G62,#REF!,2,0),"")</f>
        <v>#REF!</v>
      </c>
      <c r="N62" s="38" t="e">
        <f>_xlfn.IFNA(VLOOKUP(G62,#REF!,3,0),"")</f>
        <v>#REF!</v>
      </c>
      <c r="O62" s="39">
        <v>10</v>
      </c>
      <c r="P62" s="67">
        <v>133.22033898305085</v>
      </c>
      <c r="Q62" s="39" t="s">
        <v>10</v>
      </c>
      <c r="R62" s="34">
        <v>3.4</v>
      </c>
      <c r="S62" s="48">
        <f>SUMIF(C:C,C61,T:T)</f>
        <v>200</v>
      </c>
      <c r="T62" s="40">
        <v>13.605442176870747</v>
      </c>
      <c r="U62" s="41">
        <f t="shared" si="6"/>
        <v>466.5545947192436</v>
      </c>
      <c r="V62" s="42">
        <f t="shared" si="1"/>
        <v>1.5551819823974786</v>
      </c>
      <c r="W62" s="43">
        <f t="shared" si="4"/>
        <v>0.23211671379066845</v>
      </c>
      <c r="X62" s="38"/>
      <c r="Y62" s="38"/>
      <c r="Z62" s="44"/>
      <c r="AA62" s="45">
        <v>46045</v>
      </c>
      <c r="AB62" s="45">
        <v>46067</v>
      </c>
      <c r="AC62" s="45"/>
      <c r="AD62" s="46" t="e">
        <f>IF(ISNA(VLOOKUP(D62,#REF!,5,0)),0,VLOOKUP(D62,#REF!,5,0))</f>
        <v>#REF!</v>
      </c>
      <c r="AE62" s="46" t="e">
        <f t="shared" si="2"/>
        <v>#REF!</v>
      </c>
      <c r="AF62" s="45">
        <v>46077</v>
      </c>
      <c r="AG62" s="33">
        <f t="shared" si="3"/>
        <v>32</v>
      </c>
      <c r="AH62" s="45">
        <v>46107</v>
      </c>
      <c r="AI62" s="39">
        <v>300</v>
      </c>
      <c r="AJ62" s="56">
        <f t="shared" si="5"/>
        <v>30</v>
      </c>
      <c r="AK62" s="39"/>
      <c r="AL62" s="35"/>
      <c r="AM62" s="34"/>
      <c r="AN62" s="34"/>
      <c r="AO62" s="39"/>
      <c r="AP62" s="47"/>
      <c r="AQ62" s="47"/>
      <c r="AR62" s="47"/>
      <c r="AS62" s="47"/>
    </row>
    <row r="63" spans="1:45" ht="12" customHeight="1" x14ac:dyDescent="0.25">
      <c r="A63" s="33">
        <v>62</v>
      </c>
      <c r="B63" s="34"/>
      <c r="C63" s="34" t="s">
        <v>106</v>
      </c>
      <c r="D63" s="35" t="s">
        <v>334</v>
      </c>
      <c r="E63" s="34" t="s">
        <v>61</v>
      </c>
      <c r="F63" s="34" t="s">
        <v>0</v>
      </c>
      <c r="G63" s="16" t="s">
        <v>242</v>
      </c>
      <c r="H63" s="34">
        <v>1200</v>
      </c>
      <c r="I63" s="34" t="s">
        <v>54</v>
      </c>
      <c r="J63" s="34" t="s">
        <v>3</v>
      </c>
      <c r="K63" s="35" t="s">
        <v>20</v>
      </c>
      <c r="L63" s="36" t="e">
        <f>VLOOKUP(G63,#REF!,4,0)</f>
        <v>#REF!</v>
      </c>
      <c r="M63" s="37" t="e">
        <f>_xlfn.IFNA(VLOOKUP(G63,#REF!,2,0),"")</f>
        <v>#REF!</v>
      </c>
      <c r="N63" s="38" t="e">
        <f>_xlfn.IFNA(VLOOKUP(G63,#REF!,3,0),"")</f>
        <v>#REF!</v>
      </c>
      <c r="O63" s="39">
        <v>30</v>
      </c>
      <c r="P63" s="67">
        <v>399.66101694915255</v>
      </c>
      <c r="Q63" s="39" t="s">
        <v>10</v>
      </c>
      <c r="R63" s="34">
        <v>3.4</v>
      </c>
      <c r="S63" s="38"/>
      <c r="T63" s="40">
        <v>40.816326530612244</v>
      </c>
      <c r="U63" s="41">
        <f t="shared" si="6"/>
        <v>1399.663784157731</v>
      </c>
      <c r="V63" s="42">
        <f t="shared" si="1"/>
        <v>1.1663864867981091</v>
      </c>
      <c r="W63" s="43">
        <f t="shared" si="4"/>
        <v>0.17408753534300134</v>
      </c>
      <c r="X63" s="38"/>
      <c r="Y63" s="38"/>
      <c r="Z63" s="44"/>
      <c r="AA63" s="45">
        <v>46045</v>
      </c>
      <c r="AB63" s="45">
        <v>46067</v>
      </c>
      <c r="AC63" s="45"/>
      <c r="AD63" s="46" t="e">
        <f>IF(ISNA(VLOOKUP(D63,#REF!,5,0)),0,VLOOKUP(D63,#REF!,5,0))</f>
        <v>#REF!</v>
      </c>
      <c r="AE63" s="46" t="e">
        <f t="shared" si="2"/>
        <v>#REF!</v>
      </c>
      <c r="AF63" s="45">
        <v>46077</v>
      </c>
      <c r="AG63" s="33">
        <f t="shared" si="3"/>
        <v>32</v>
      </c>
      <c r="AH63" s="45">
        <v>46107</v>
      </c>
      <c r="AI63" s="39">
        <v>1198</v>
      </c>
      <c r="AJ63" s="56">
        <f t="shared" si="5"/>
        <v>30</v>
      </c>
      <c r="AK63" s="39"/>
      <c r="AL63" s="35"/>
      <c r="AM63" s="34"/>
      <c r="AN63" s="34"/>
      <c r="AO63" s="39"/>
      <c r="AP63" s="47"/>
      <c r="AQ63" s="47"/>
      <c r="AR63" s="47"/>
      <c r="AS63" s="47"/>
    </row>
    <row r="64" spans="1:45" ht="12" customHeight="1" x14ac:dyDescent="0.25">
      <c r="A64" s="33">
        <v>63</v>
      </c>
      <c r="B64" s="34"/>
      <c r="C64" s="34" t="s">
        <v>106</v>
      </c>
      <c r="D64" s="35" t="s">
        <v>334</v>
      </c>
      <c r="E64" s="34" t="s">
        <v>61</v>
      </c>
      <c r="F64" s="34" t="s">
        <v>0</v>
      </c>
      <c r="G64" s="16" t="s">
        <v>243</v>
      </c>
      <c r="H64" s="34">
        <v>440</v>
      </c>
      <c r="I64" s="34" t="s">
        <v>54</v>
      </c>
      <c r="J64" s="34" t="s">
        <v>3</v>
      </c>
      <c r="K64" s="35" t="s">
        <v>20</v>
      </c>
      <c r="L64" s="36" t="e">
        <f>VLOOKUP(G64,#REF!,4,0)</f>
        <v>#REF!</v>
      </c>
      <c r="M64" s="37" t="e">
        <f>_xlfn.IFNA(VLOOKUP(G64,#REF!,2,0),"")</f>
        <v>#REF!</v>
      </c>
      <c r="N64" s="38" t="e">
        <f>_xlfn.IFNA(VLOOKUP(G64,#REF!,3,0),"")</f>
        <v>#REF!</v>
      </c>
      <c r="O64" s="39">
        <v>11</v>
      </c>
      <c r="P64" s="67">
        <v>146.54237288135593</v>
      </c>
      <c r="Q64" s="39" t="s">
        <v>10</v>
      </c>
      <c r="R64" s="34">
        <v>3.4</v>
      </c>
      <c r="S64" s="38"/>
      <c r="T64" s="40">
        <v>14.965986394557824</v>
      </c>
      <c r="U64" s="41">
        <f t="shared" si="6"/>
        <v>513.21005419116796</v>
      </c>
      <c r="V64" s="42">
        <f t="shared" si="1"/>
        <v>1.1663864867981091</v>
      </c>
      <c r="W64" s="43">
        <f t="shared" si="4"/>
        <v>0.17408753534300134</v>
      </c>
      <c r="X64" s="38"/>
      <c r="Y64" s="38"/>
      <c r="Z64" s="44"/>
      <c r="AA64" s="45">
        <v>46045</v>
      </c>
      <c r="AB64" s="45">
        <v>46067</v>
      </c>
      <c r="AC64" s="45"/>
      <c r="AD64" s="46" t="e">
        <f>IF(ISNA(VLOOKUP(D64,#REF!,5,0)),0,VLOOKUP(D64,#REF!,5,0))</f>
        <v>#REF!</v>
      </c>
      <c r="AE64" s="46" t="e">
        <f t="shared" si="2"/>
        <v>#REF!</v>
      </c>
      <c r="AF64" s="45">
        <v>46077</v>
      </c>
      <c r="AG64" s="33">
        <f t="shared" si="3"/>
        <v>32</v>
      </c>
      <c r="AH64" s="45">
        <v>46107</v>
      </c>
      <c r="AI64" s="39">
        <v>437</v>
      </c>
      <c r="AJ64" s="56">
        <f t="shared" si="5"/>
        <v>30</v>
      </c>
      <c r="AK64" s="39"/>
      <c r="AL64" s="35"/>
      <c r="AM64" s="34"/>
      <c r="AN64" s="34"/>
      <c r="AO64" s="39"/>
      <c r="AP64" s="47"/>
      <c r="AQ64" s="47"/>
      <c r="AR64" s="47"/>
      <c r="AS64" s="47"/>
    </row>
    <row r="65" spans="1:45" s="64" customFormat="1" ht="12" customHeight="1" x14ac:dyDescent="0.25">
      <c r="A65" s="50">
        <v>64</v>
      </c>
      <c r="B65" s="51"/>
      <c r="C65" s="51" t="s">
        <v>102</v>
      </c>
      <c r="D65" s="52" t="s">
        <v>335</v>
      </c>
      <c r="E65" s="51" t="s">
        <v>61</v>
      </c>
      <c r="F65" s="51" t="s">
        <v>0</v>
      </c>
      <c r="G65" s="53" t="s">
        <v>282</v>
      </c>
      <c r="H65" s="51">
        <v>600</v>
      </c>
      <c r="I65" s="51" t="s">
        <v>66</v>
      </c>
      <c r="J65" s="51" t="s">
        <v>3</v>
      </c>
      <c r="K65" s="52" t="s">
        <v>22</v>
      </c>
      <c r="L65" s="54" t="e">
        <f>VLOOKUP(G65,#REF!,4,0)</f>
        <v>#REF!</v>
      </c>
      <c r="M65" s="55" t="e">
        <f>_xlfn.IFNA(VLOOKUP(G65,#REF!,2,0),"")</f>
        <v>#REF!</v>
      </c>
      <c r="N65" s="51" t="e">
        <f>_xlfn.IFNA(VLOOKUP(G65,#REF!,3,0),"")</f>
        <v>#REF!</v>
      </c>
      <c r="O65" s="56">
        <v>20</v>
      </c>
      <c r="P65" s="67">
        <v>319.62</v>
      </c>
      <c r="Q65" s="56" t="s">
        <v>10</v>
      </c>
      <c r="R65" s="51">
        <v>3.9</v>
      </c>
      <c r="S65" s="51">
        <f>200+50</f>
        <v>250</v>
      </c>
      <c r="T65" s="57">
        <v>45.871559633027523</v>
      </c>
      <c r="U65" s="58">
        <f t="shared" si="6"/>
        <v>1292.3895596330276</v>
      </c>
      <c r="V65" s="59">
        <f t="shared" si="1"/>
        <v>2.1539825993883794</v>
      </c>
      <c r="W65" s="60">
        <f t="shared" si="4"/>
        <v>0.32148994020722083</v>
      </c>
      <c r="X65" s="51"/>
      <c r="Y65" s="51"/>
      <c r="Z65" s="57"/>
      <c r="AA65" s="61">
        <v>46045</v>
      </c>
      <c r="AB65" s="61">
        <v>46089</v>
      </c>
      <c r="AC65" s="61"/>
      <c r="AD65" s="62" t="e">
        <f>IF(ISNA(VLOOKUP(D65,#REF!,5,0)),0,VLOOKUP(D65,#REF!,5,0))</f>
        <v>#REF!</v>
      </c>
      <c r="AE65" s="62" t="e">
        <f t="shared" si="2"/>
        <v>#REF!</v>
      </c>
      <c r="AF65" s="61">
        <v>46101</v>
      </c>
      <c r="AG65" s="50">
        <f t="shared" si="3"/>
        <v>56</v>
      </c>
      <c r="AH65" s="61">
        <v>46135</v>
      </c>
      <c r="AI65" s="56"/>
      <c r="AJ65" s="56">
        <f t="shared" si="5"/>
        <v>34</v>
      </c>
      <c r="AK65" s="56"/>
      <c r="AL65" s="52"/>
      <c r="AM65" s="51"/>
      <c r="AN65" s="51"/>
      <c r="AO65" s="56"/>
      <c r="AP65" s="63"/>
      <c r="AQ65" s="63"/>
      <c r="AR65" s="63"/>
      <c r="AS65" s="63"/>
    </row>
    <row r="66" spans="1:45" s="64" customFormat="1" ht="12" customHeight="1" x14ac:dyDescent="0.25">
      <c r="A66" s="50">
        <v>65</v>
      </c>
      <c r="B66" s="51"/>
      <c r="C66" s="51" t="s">
        <v>102</v>
      </c>
      <c r="D66" s="52" t="s">
        <v>336</v>
      </c>
      <c r="E66" s="51" t="s">
        <v>58</v>
      </c>
      <c r="F66" s="51" t="s">
        <v>0</v>
      </c>
      <c r="G66" s="53" t="s">
        <v>285</v>
      </c>
      <c r="H66" s="51">
        <v>600</v>
      </c>
      <c r="I66" s="51" t="s">
        <v>66</v>
      </c>
      <c r="J66" s="51" t="s">
        <v>3</v>
      </c>
      <c r="K66" s="52" t="s">
        <v>22</v>
      </c>
      <c r="L66" s="54" t="e">
        <f>VLOOKUP(G66,#REF!,4,0)</f>
        <v>#REF!</v>
      </c>
      <c r="M66" s="55" t="e">
        <f>_xlfn.IFNA(VLOOKUP(G66,#REF!,2,0),"")</f>
        <v>#REF!</v>
      </c>
      <c r="N66" s="51" t="e">
        <f>_xlfn.IFNA(VLOOKUP(G66,#REF!,3,0),"")</f>
        <v>#REF!</v>
      </c>
      <c r="O66" s="56">
        <v>20</v>
      </c>
      <c r="P66" s="67">
        <v>319.61971830985919</v>
      </c>
      <c r="Q66" s="56" t="s">
        <v>10</v>
      </c>
      <c r="R66" s="51">
        <v>3.9</v>
      </c>
      <c r="S66" s="65">
        <f>SUMIF(C:C,C65,T:T)</f>
        <v>250</v>
      </c>
      <c r="T66" s="57">
        <v>45.871559633027523</v>
      </c>
      <c r="U66" s="58">
        <f t="shared" si="6"/>
        <v>1292.3884610414784</v>
      </c>
      <c r="V66" s="59">
        <f t="shared" ref="V66:V129" si="7">U66/H66</f>
        <v>2.1539807684024641</v>
      </c>
      <c r="W66" s="60">
        <f t="shared" si="4"/>
        <v>0.32148966692574088</v>
      </c>
      <c r="X66" s="51"/>
      <c r="Y66" s="51"/>
      <c r="Z66" s="57"/>
      <c r="AA66" s="61">
        <v>46045</v>
      </c>
      <c r="AB66" s="61">
        <v>46089</v>
      </c>
      <c r="AC66" s="61"/>
      <c r="AD66" s="62" t="e">
        <f>IF(ISNA(VLOOKUP(D66,#REF!,5,0)),0,VLOOKUP(D66,#REF!,5,0))</f>
        <v>#REF!</v>
      </c>
      <c r="AE66" s="62" t="e">
        <f t="shared" ref="AE66:AE129" si="8">AD66*H66</f>
        <v>#REF!</v>
      </c>
      <c r="AF66" s="61">
        <v>46101</v>
      </c>
      <c r="AG66" s="50">
        <f t="shared" ref="AG66:AG129" si="9">AF66-AA66</f>
        <v>56</v>
      </c>
      <c r="AH66" s="61">
        <v>46135</v>
      </c>
      <c r="AI66" s="56"/>
      <c r="AJ66" s="56">
        <f t="shared" si="5"/>
        <v>34</v>
      </c>
      <c r="AK66" s="56"/>
      <c r="AL66" s="52"/>
      <c r="AM66" s="51"/>
      <c r="AN66" s="51"/>
      <c r="AO66" s="56"/>
      <c r="AP66" s="63"/>
      <c r="AQ66" s="63"/>
      <c r="AR66" s="63"/>
      <c r="AS66" s="63"/>
    </row>
    <row r="67" spans="1:45" s="64" customFormat="1" ht="12" customHeight="1" x14ac:dyDescent="0.25">
      <c r="A67" s="50">
        <v>66</v>
      </c>
      <c r="B67" s="51"/>
      <c r="C67" s="51" t="s">
        <v>102</v>
      </c>
      <c r="D67" s="52" t="s">
        <v>336</v>
      </c>
      <c r="E67" s="51" t="s">
        <v>58</v>
      </c>
      <c r="F67" s="51" t="s">
        <v>0</v>
      </c>
      <c r="G67" s="53" t="s">
        <v>284</v>
      </c>
      <c r="H67" s="51">
        <v>180</v>
      </c>
      <c r="I67" s="51" t="s">
        <v>66</v>
      </c>
      <c r="J67" s="51" t="s">
        <v>3</v>
      </c>
      <c r="K67" s="52" t="s">
        <v>22</v>
      </c>
      <c r="L67" s="54" t="e">
        <f>VLOOKUP(G67,#REF!,4,0)</f>
        <v>#REF!</v>
      </c>
      <c r="M67" s="55" t="e">
        <f>_xlfn.IFNA(VLOOKUP(G67,#REF!,2,0),"")</f>
        <v>#REF!</v>
      </c>
      <c r="N67" s="51" t="e">
        <f>_xlfn.IFNA(VLOOKUP(G67,#REF!,3,0),"")</f>
        <v>#REF!</v>
      </c>
      <c r="O67" s="56">
        <v>6</v>
      </c>
      <c r="P67" s="67">
        <v>95.88591549295775</v>
      </c>
      <c r="Q67" s="56" t="s">
        <v>10</v>
      </c>
      <c r="R67" s="51">
        <v>3.9</v>
      </c>
      <c r="S67" s="51"/>
      <c r="T67" s="57">
        <v>13.761467889908257</v>
      </c>
      <c r="U67" s="58">
        <f t="shared" si="6"/>
        <v>387.7165383124435</v>
      </c>
      <c r="V67" s="59">
        <f t="shared" si="7"/>
        <v>2.1539807684024641</v>
      </c>
      <c r="W67" s="60">
        <f t="shared" ref="W67:W130" si="10">V67/6.7</f>
        <v>0.32148966692574088</v>
      </c>
      <c r="X67" s="51"/>
      <c r="Y67" s="51"/>
      <c r="Z67" s="57"/>
      <c r="AA67" s="61">
        <v>46045</v>
      </c>
      <c r="AB67" s="61">
        <v>46089</v>
      </c>
      <c r="AC67" s="61"/>
      <c r="AD67" s="62" t="e">
        <f>IF(ISNA(VLOOKUP(D67,#REF!,5,0)),0,VLOOKUP(D67,#REF!,5,0))</f>
        <v>#REF!</v>
      </c>
      <c r="AE67" s="62" t="e">
        <f t="shared" si="8"/>
        <v>#REF!</v>
      </c>
      <c r="AF67" s="61">
        <v>46101</v>
      </c>
      <c r="AG67" s="50">
        <f t="shared" si="9"/>
        <v>56</v>
      </c>
      <c r="AH67" s="61">
        <v>46135</v>
      </c>
      <c r="AI67" s="56"/>
      <c r="AJ67" s="56">
        <f t="shared" ref="AJ67:AJ130" si="11">AH67-AF67</f>
        <v>34</v>
      </c>
      <c r="AK67" s="56"/>
      <c r="AL67" s="52"/>
      <c r="AM67" s="51"/>
      <c r="AN67" s="51"/>
      <c r="AO67" s="56"/>
      <c r="AP67" s="63"/>
      <c r="AQ67" s="63"/>
      <c r="AR67" s="63"/>
      <c r="AS67" s="63"/>
    </row>
    <row r="68" spans="1:45" s="64" customFormat="1" ht="12" customHeight="1" x14ac:dyDescent="0.25">
      <c r="A68" s="50">
        <v>67</v>
      </c>
      <c r="B68" s="51"/>
      <c r="C68" s="51" t="s">
        <v>102</v>
      </c>
      <c r="D68" s="52" t="s">
        <v>336</v>
      </c>
      <c r="E68" s="51" t="s">
        <v>58</v>
      </c>
      <c r="F68" s="51" t="s">
        <v>0</v>
      </c>
      <c r="G68" s="53" t="s">
        <v>283</v>
      </c>
      <c r="H68" s="51">
        <v>150</v>
      </c>
      <c r="I68" s="51" t="s">
        <v>66</v>
      </c>
      <c r="J68" s="51" t="s">
        <v>3</v>
      </c>
      <c r="K68" s="52" t="s">
        <v>22</v>
      </c>
      <c r="L68" s="54" t="e">
        <f>VLOOKUP(G68,#REF!,4,0)</f>
        <v>#REF!</v>
      </c>
      <c r="M68" s="55" t="e">
        <f>_xlfn.IFNA(VLOOKUP(G68,#REF!,2,0),"")</f>
        <v>#REF!</v>
      </c>
      <c r="N68" s="51" t="e">
        <f>_xlfn.IFNA(VLOOKUP(G68,#REF!,3,0),"")</f>
        <v>#REF!</v>
      </c>
      <c r="O68" s="56">
        <v>5</v>
      </c>
      <c r="P68" s="67">
        <v>79.904929577464799</v>
      </c>
      <c r="Q68" s="56" t="s">
        <v>10</v>
      </c>
      <c r="R68" s="51">
        <v>3.9</v>
      </c>
      <c r="S68" s="51"/>
      <c r="T68" s="57">
        <v>11.467889908256881</v>
      </c>
      <c r="U68" s="58">
        <f t="shared" si="6"/>
        <v>323.09711526036961</v>
      </c>
      <c r="V68" s="59">
        <f t="shared" si="7"/>
        <v>2.1539807684024641</v>
      </c>
      <c r="W68" s="60">
        <f t="shared" si="10"/>
        <v>0.32148966692574088</v>
      </c>
      <c r="X68" s="51"/>
      <c r="Y68" s="51"/>
      <c r="Z68" s="57"/>
      <c r="AA68" s="61">
        <v>46045</v>
      </c>
      <c r="AB68" s="61">
        <v>46089</v>
      </c>
      <c r="AC68" s="61"/>
      <c r="AD68" s="62" t="e">
        <f>IF(ISNA(VLOOKUP(D68,#REF!,5,0)),0,VLOOKUP(D68,#REF!,5,0))</f>
        <v>#REF!</v>
      </c>
      <c r="AE68" s="62" t="e">
        <f t="shared" si="8"/>
        <v>#REF!</v>
      </c>
      <c r="AF68" s="61">
        <v>46101</v>
      </c>
      <c r="AG68" s="50">
        <f t="shared" si="9"/>
        <v>56</v>
      </c>
      <c r="AH68" s="61">
        <v>46135</v>
      </c>
      <c r="AI68" s="56"/>
      <c r="AJ68" s="56">
        <f t="shared" si="11"/>
        <v>34</v>
      </c>
      <c r="AK68" s="56"/>
      <c r="AL68" s="52"/>
      <c r="AM68" s="51"/>
      <c r="AN68" s="51"/>
      <c r="AO68" s="56"/>
      <c r="AP68" s="63"/>
      <c r="AQ68" s="63"/>
      <c r="AR68" s="63"/>
      <c r="AS68" s="63"/>
    </row>
    <row r="69" spans="1:45" s="64" customFormat="1" ht="12" customHeight="1" x14ac:dyDescent="0.25">
      <c r="A69" s="50">
        <v>68</v>
      </c>
      <c r="B69" s="51"/>
      <c r="C69" s="51" t="s">
        <v>102</v>
      </c>
      <c r="D69" s="52" t="s">
        <v>336</v>
      </c>
      <c r="E69" s="51" t="s">
        <v>58</v>
      </c>
      <c r="F69" s="51" t="s">
        <v>0</v>
      </c>
      <c r="G69" s="53" t="s">
        <v>272</v>
      </c>
      <c r="H69" s="51">
        <v>600</v>
      </c>
      <c r="I69" s="51" t="s">
        <v>66</v>
      </c>
      <c r="J69" s="51" t="s">
        <v>3</v>
      </c>
      <c r="K69" s="52" t="s">
        <v>22</v>
      </c>
      <c r="L69" s="54" t="e">
        <f>VLOOKUP(G69,#REF!,4,0)</f>
        <v>#REF!</v>
      </c>
      <c r="M69" s="55" t="e">
        <f>_xlfn.IFNA(VLOOKUP(G69,#REF!,2,0),"")</f>
        <v>#REF!</v>
      </c>
      <c r="N69" s="51" t="e">
        <f>_xlfn.IFNA(VLOOKUP(G69,#REF!,3,0),"")</f>
        <v>#REF!</v>
      </c>
      <c r="O69" s="56">
        <v>20</v>
      </c>
      <c r="P69" s="67">
        <v>319.61971830985919</v>
      </c>
      <c r="Q69" s="56" t="s">
        <v>10</v>
      </c>
      <c r="R69" s="51">
        <v>3.9</v>
      </c>
      <c r="S69" s="51"/>
      <c r="T69" s="57">
        <v>45.871559633027523</v>
      </c>
      <c r="U69" s="58">
        <f t="shared" si="6"/>
        <v>1292.3884610414784</v>
      </c>
      <c r="V69" s="59">
        <f t="shared" si="7"/>
        <v>2.1539807684024641</v>
      </c>
      <c r="W69" s="60">
        <f t="shared" si="10"/>
        <v>0.32148966692574088</v>
      </c>
      <c r="X69" s="51"/>
      <c r="Y69" s="51"/>
      <c r="Z69" s="57"/>
      <c r="AA69" s="61">
        <v>46045</v>
      </c>
      <c r="AB69" s="61">
        <v>46089</v>
      </c>
      <c r="AC69" s="61"/>
      <c r="AD69" s="62" t="e">
        <f>IF(ISNA(VLOOKUP(D69,#REF!,5,0)),0,VLOOKUP(D69,#REF!,5,0))</f>
        <v>#REF!</v>
      </c>
      <c r="AE69" s="62" t="e">
        <f t="shared" si="8"/>
        <v>#REF!</v>
      </c>
      <c r="AF69" s="61">
        <v>46101</v>
      </c>
      <c r="AG69" s="50">
        <f t="shared" si="9"/>
        <v>56</v>
      </c>
      <c r="AH69" s="61">
        <v>46135</v>
      </c>
      <c r="AI69" s="56"/>
      <c r="AJ69" s="56">
        <f t="shared" si="11"/>
        <v>34</v>
      </c>
      <c r="AK69" s="56"/>
      <c r="AL69" s="52"/>
      <c r="AM69" s="51"/>
      <c r="AN69" s="51"/>
      <c r="AO69" s="56"/>
      <c r="AP69" s="63"/>
      <c r="AQ69" s="63"/>
      <c r="AR69" s="63"/>
      <c r="AS69" s="63"/>
    </row>
    <row r="70" spans="1:45" s="64" customFormat="1" ht="12" customHeight="1" x14ac:dyDescent="0.25">
      <c r="A70" s="50">
        <v>69</v>
      </c>
      <c r="B70" s="51"/>
      <c r="C70" s="51" t="s">
        <v>102</v>
      </c>
      <c r="D70" s="52" t="s">
        <v>336</v>
      </c>
      <c r="E70" s="51" t="s">
        <v>58</v>
      </c>
      <c r="F70" s="51" t="s">
        <v>0</v>
      </c>
      <c r="G70" s="53" t="s">
        <v>205</v>
      </c>
      <c r="H70" s="51">
        <v>300</v>
      </c>
      <c r="I70" s="51" t="s">
        <v>66</v>
      </c>
      <c r="J70" s="51" t="s">
        <v>3</v>
      </c>
      <c r="K70" s="52" t="s">
        <v>22</v>
      </c>
      <c r="L70" s="54" t="e">
        <f>VLOOKUP(G70,#REF!,4,0)</f>
        <v>#REF!</v>
      </c>
      <c r="M70" s="55" t="e">
        <f>_xlfn.IFNA(VLOOKUP(G70,#REF!,2,0),"")</f>
        <v>#REF!</v>
      </c>
      <c r="N70" s="51" t="e">
        <f>_xlfn.IFNA(VLOOKUP(G70,#REF!,3,0),"")</f>
        <v>#REF!</v>
      </c>
      <c r="O70" s="56">
        <v>10</v>
      </c>
      <c r="P70" s="67">
        <v>159.8098591549296</v>
      </c>
      <c r="Q70" s="56" t="s">
        <v>10</v>
      </c>
      <c r="R70" s="51">
        <v>3.9</v>
      </c>
      <c r="S70" s="51"/>
      <c r="T70" s="57">
        <v>22.935779816513762</v>
      </c>
      <c r="U70" s="58">
        <f t="shared" si="6"/>
        <v>646.19423052073921</v>
      </c>
      <c r="V70" s="59">
        <f t="shared" si="7"/>
        <v>2.1539807684024641</v>
      </c>
      <c r="W70" s="60">
        <f t="shared" si="10"/>
        <v>0.32148966692574088</v>
      </c>
      <c r="X70" s="51"/>
      <c r="Y70" s="51"/>
      <c r="Z70" s="57"/>
      <c r="AA70" s="61">
        <v>46045</v>
      </c>
      <c r="AB70" s="61">
        <v>46089</v>
      </c>
      <c r="AC70" s="61"/>
      <c r="AD70" s="62" t="e">
        <f>IF(ISNA(VLOOKUP(D70,#REF!,5,0)),0,VLOOKUP(D70,#REF!,5,0))</f>
        <v>#REF!</v>
      </c>
      <c r="AE70" s="62" t="e">
        <f t="shared" si="8"/>
        <v>#REF!</v>
      </c>
      <c r="AF70" s="61">
        <v>46101</v>
      </c>
      <c r="AG70" s="50">
        <f t="shared" si="9"/>
        <v>56</v>
      </c>
      <c r="AH70" s="61">
        <v>46135</v>
      </c>
      <c r="AI70" s="56"/>
      <c r="AJ70" s="56">
        <f t="shared" si="11"/>
        <v>34</v>
      </c>
      <c r="AK70" s="56"/>
      <c r="AL70" s="52"/>
      <c r="AM70" s="51"/>
      <c r="AN70" s="51"/>
      <c r="AO70" s="56"/>
      <c r="AP70" s="63"/>
      <c r="AQ70" s="63"/>
      <c r="AR70" s="63"/>
      <c r="AS70" s="63"/>
    </row>
    <row r="71" spans="1:45" s="64" customFormat="1" ht="12" customHeight="1" x14ac:dyDescent="0.25">
      <c r="A71" s="50">
        <v>70</v>
      </c>
      <c r="B71" s="51"/>
      <c r="C71" s="51" t="s">
        <v>102</v>
      </c>
      <c r="D71" s="52" t="s">
        <v>336</v>
      </c>
      <c r="E71" s="51" t="s">
        <v>58</v>
      </c>
      <c r="F71" s="51" t="s">
        <v>0</v>
      </c>
      <c r="G71" s="53" t="s">
        <v>222</v>
      </c>
      <c r="H71" s="51">
        <v>300</v>
      </c>
      <c r="I71" s="51" t="s">
        <v>66</v>
      </c>
      <c r="J71" s="51" t="s">
        <v>3</v>
      </c>
      <c r="K71" s="52" t="s">
        <v>22</v>
      </c>
      <c r="L71" s="54" t="e">
        <f>VLOOKUP(G71,#REF!,4,0)</f>
        <v>#REF!</v>
      </c>
      <c r="M71" s="55" t="e">
        <f>_xlfn.IFNA(VLOOKUP(G71,#REF!,2,0),"")</f>
        <v>#REF!</v>
      </c>
      <c r="N71" s="51" t="e">
        <f>_xlfn.IFNA(VLOOKUP(G71,#REF!,3,0),"")</f>
        <v>#REF!</v>
      </c>
      <c r="O71" s="56">
        <v>10</v>
      </c>
      <c r="P71" s="67">
        <v>159.8098591549296</v>
      </c>
      <c r="Q71" s="56" t="s">
        <v>10</v>
      </c>
      <c r="R71" s="51">
        <v>3.9</v>
      </c>
      <c r="S71" s="51"/>
      <c r="T71" s="57">
        <v>22.935779816513762</v>
      </c>
      <c r="U71" s="58">
        <f t="shared" si="6"/>
        <v>646.19423052073921</v>
      </c>
      <c r="V71" s="59">
        <f t="shared" si="7"/>
        <v>2.1539807684024641</v>
      </c>
      <c r="W71" s="60">
        <f t="shared" si="10"/>
        <v>0.32148966692574088</v>
      </c>
      <c r="X71" s="51"/>
      <c r="Y71" s="51"/>
      <c r="Z71" s="57"/>
      <c r="AA71" s="61">
        <v>46045</v>
      </c>
      <c r="AB71" s="61">
        <v>46089</v>
      </c>
      <c r="AC71" s="61"/>
      <c r="AD71" s="62" t="e">
        <f>IF(ISNA(VLOOKUP(D71,#REF!,5,0)),0,VLOOKUP(D71,#REF!,5,0))</f>
        <v>#REF!</v>
      </c>
      <c r="AE71" s="62" t="e">
        <f t="shared" si="8"/>
        <v>#REF!</v>
      </c>
      <c r="AF71" s="61">
        <v>46101</v>
      </c>
      <c r="AG71" s="50">
        <f t="shared" si="9"/>
        <v>56</v>
      </c>
      <c r="AH71" s="61">
        <v>46135</v>
      </c>
      <c r="AI71" s="56"/>
      <c r="AJ71" s="56">
        <f t="shared" si="11"/>
        <v>34</v>
      </c>
      <c r="AK71" s="56"/>
      <c r="AL71" s="52"/>
      <c r="AM71" s="51"/>
      <c r="AN71" s="51"/>
      <c r="AO71" s="56"/>
      <c r="AP71" s="63"/>
      <c r="AQ71" s="63"/>
      <c r="AR71" s="63"/>
      <c r="AS71" s="63"/>
    </row>
    <row r="72" spans="1:45" s="64" customFormat="1" ht="12" customHeight="1" x14ac:dyDescent="0.25">
      <c r="A72" s="50">
        <v>71</v>
      </c>
      <c r="B72" s="51"/>
      <c r="C72" s="51" t="s">
        <v>102</v>
      </c>
      <c r="D72" s="52" t="s">
        <v>337</v>
      </c>
      <c r="E72" s="51" t="s">
        <v>58</v>
      </c>
      <c r="F72" s="51" t="s">
        <v>0</v>
      </c>
      <c r="G72" s="53" t="s">
        <v>97</v>
      </c>
      <c r="H72" s="51">
        <v>400</v>
      </c>
      <c r="I72" s="51" t="s">
        <v>66</v>
      </c>
      <c r="J72" s="51" t="s">
        <v>3</v>
      </c>
      <c r="K72" s="52" t="s">
        <v>22</v>
      </c>
      <c r="L72" s="54" t="e">
        <f>VLOOKUP(G72,#REF!,4,0)</f>
        <v>#REF!</v>
      </c>
      <c r="M72" s="55" t="e">
        <f>_xlfn.IFNA(VLOOKUP(G72,#REF!,2,0),"")</f>
        <v>#REF!</v>
      </c>
      <c r="N72" s="51" t="e">
        <f>_xlfn.IFNA(VLOOKUP(G72,#REF!,3,0),"")</f>
        <v>#REF!</v>
      </c>
      <c r="O72" s="56">
        <v>10</v>
      </c>
      <c r="P72" s="67">
        <v>159.80714285714285</v>
      </c>
      <c r="Q72" s="56" t="s">
        <v>10</v>
      </c>
      <c r="R72" s="51">
        <v>3.9</v>
      </c>
      <c r="S72" s="51"/>
      <c r="T72" s="57">
        <v>22.935779816513762</v>
      </c>
      <c r="U72" s="58">
        <f t="shared" si="6"/>
        <v>646.18363695937092</v>
      </c>
      <c r="V72" s="59">
        <f t="shared" si="7"/>
        <v>1.6154590923984273</v>
      </c>
      <c r="W72" s="60">
        <f t="shared" si="10"/>
        <v>0.2411132973728996</v>
      </c>
      <c r="X72" s="51"/>
      <c r="Y72" s="51"/>
      <c r="Z72" s="57"/>
      <c r="AA72" s="61">
        <v>46045</v>
      </c>
      <c r="AB72" s="61">
        <v>46089</v>
      </c>
      <c r="AC72" s="61"/>
      <c r="AD72" s="62" t="e">
        <f>IF(ISNA(VLOOKUP(D72,#REF!,5,0)),0,VLOOKUP(D72,#REF!,5,0))</f>
        <v>#REF!</v>
      </c>
      <c r="AE72" s="62" t="e">
        <f t="shared" si="8"/>
        <v>#REF!</v>
      </c>
      <c r="AF72" s="61">
        <v>46101</v>
      </c>
      <c r="AG72" s="50">
        <f t="shared" si="9"/>
        <v>56</v>
      </c>
      <c r="AH72" s="61">
        <v>46135</v>
      </c>
      <c r="AI72" s="56"/>
      <c r="AJ72" s="56">
        <f t="shared" si="11"/>
        <v>34</v>
      </c>
      <c r="AK72" s="56"/>
      <c r="AL72" s="52"/>
      <c r="AM72" s="51"/>
      <c r="AN72" s="51"/>
      <c r="AO72" s="56"/>
      <c r="AP72" s="63"/>
      <c r="AQ72" s="63"/>
      <c r="AR72" s="63"/>
      <c r="AS72" s="63"/>
    </row>
    <row r="73" spans="1:45" s="64" customFormat="1" ht="12" customHeight="1" x14ac:dyDescent="0.25">
      <c r="A73" s="50">
        <v>72</v>
      </c>
      <c r="B73" s="51"/>
      <c r="C73" s="51" t="s">
        <v>102</v>
      </c>
      <c r="D73" s="52" t="s">
        <v>337</v>
      </c>
      <c r="E73" s="51" t="s">
        <v>58</v>
      </c>
      <c r="F73" s="51" t="s">
        <v>0</v>
      </c>
      <c r="G73" s="53" t="s">
        <v>162</v>
      </c>
      <c r="H73" s="51">
        <v>60</v>
      </c>
      <c r="I73" s="51" t="s">
        <v>66</v>
      </c>
      <c r="J73" s="51" t="s">
        <v>3</v>
      </c>
      <c r="K73" s="52" t="s">
        <v>22</v>
      </c>
      <c r="L73" s="54" t="e">
        <f>VLOOKUP(G73,#REF!,4,0)</f>
        <v>#REF!</v>
      </c>
      <c r="M73" s="55" t="e">
        <f>_xlfn.IFNA(VLOOKUP(G73,#REF!,2,0),"")</f>
        <v>#REF!</v>
      </c>
      <c r="N73" s="51" t="e">
        <f>_xlfn.IFNA(VLOOKUP(G73,#REF!,3,0),"")</f>
        <v>#REF!</v>
      </c>
      <c r="O73" s="56">
        <v>2</v>
      </c>
      <c r="P73" s="67">
        <v>31.96142857142857</v>
      </c>
      <c r="Q73" s="56" t="s">
        <v>10</v>
      </c>
      <c r="R73" s="51">
        <v>3.9</v>
      </c>
      <c r="S73" s="51"/>
      <c r="T73" s="57">
        <v>4.5871559633027523</v>
      </c>
      <c r="U73" s="58">
        <f t="shared" si="6"/>
        <v>129.23672739187418</v>
      </c>
      <c r="V73" s="59">
        <f t="shared" si="7"/>
        <v>2.1539454565312366</v>
      </c>
      <c r="W73" s="60">
        <f t="shared" si="10"/>
        <v>0.32148439649719951</v>
      </c>
      <c r="X73" s="51"/>
      <c r="Y73" s="51"/>
      <c r="Z73" s="57"/>
      <c r="AA73" s="61">
        <v>46045</v>
      </c>
      <c r="AB73" s="61">
        <v>46089</v>
      </c>
      <c r="AC73" s="61"/>
      <c r="AD73" s="62" t="e">
        <f>IF(ISNA(VLOOKUP(D73,#REF!,5,0)),0,VLOOKUP(D73,#REF!,5,0))</f>
        <v>#REF!</v>
      </c>
      <c r="AE73" s="62" t="e">
        <f t="shared" si="8"/>
        <v>#REF!</v>
      </c>
      <c r="AF73" s="61">
        <v>46101</v>
      </c>
      <c r="AG73" s="50">
        <f t="shared" si="9"/>
        <v>56</v>
      </c>
      <c r="AH73" s="61">
        <v>46135</v>
      </c>
      <c r="AI73" s="56"/>
      <c r="AJ73" s="56">
        <f t="shared" si="11"/>
        <v>34</v>
      </c>
      <c r="AK73" s="56"/>
      <c r="AL73" s="52"/>
      <c r="AM73" s="51"/>
      <c r="AN73" s="51"/>
      <c r="AO73" s="56"/>
      <c r="AP73" s="63"/>
      <c r="AQ73" s="63"/>
      <c r="AR73" s="63"/>
      <c r="AS73" s="63"/>
    </row>
    <row r="74" spans="1:45" s="64" customFormat="1" ht="12" customHeight="1" x14ac:dyDescent="0.25">
      <c r="A74" s="50">
        <v>73</v>
      </c>
      <c r="B74" s="51"/>
      <c r="C74" s="51" t="s">
        <v>102</v>
      </c>
      <c r="D74" s="52" t="s">
        <v>337</v>
      </c>
      <c r="E74" s="51" t="s">
        <v>58</v>
      </c>
      <c r="F74" s="51" t="s">
        <v>0</v>
      </c>
      <c r="G74" s="53" t="s">
        <v>163</v>
      </c>
      <c r="H74" s="51">
        <v>60</v>
      </c>
      <c r="I74" s="51" t="s">
        <v>66</v>
      </c>
      <c r="J74" s="51" t="s">
        <v>3</v>
      </c>
      <c r="K74" s="52" t="s">
        <v>22</v>
      </c>
      <c r="L74" s="54" t="e">
        <f>VLOOKUP(G74,#REF!,4,0)</f>
        <v>#REF!</v>
      </c>
      <c r="M74" s="55" t="e">
        <f>_xlfn.IFNA(VLOOKUP(G74,#REF!,2,0),"")</f>
        <v>#REF!</v>
      </c>
      <c r="N74" s="51" t="e">
        <f>_xlfn.IFNA(VLOOKUP(G74,#REF!,3,0),"")</f>
        <v>#REF!</v>
      </c>
      <c r="O74" s="56">
        <v>2</v>
      </c>
      <c r="P74" s="67">
        <v>31.96142857142857</v>
      </c>
      <c r="Q74" s="56" t="s">
        <v>10</v>
      </c>
      <c r="R74" s="51">
        <v>3.9</v>
      </c>
      <c r="S74" s="51"/>
      <c r="T74" s="57">
        <v>4.5871559633027523</v>
      </c>
      <c r="U74" s="58">
        <f t="shared" si="6"/>
        <v>129.23672739187418</v>
      </c>
      <c r="V74" s="59">
        <f t="shared" si="7"/>
        <v>2.1539454565312366</v>
      </c>
      <c r="W74" s="60">
        <f t="shared" si="10"/>
        <v>0.32148439649719951</v>
      </c>
      <c r="X74" s="51"/>
      <c r="Y74" s="51"/>
      <c r="Z74" s="57"/>
      <c r="AA74" s="61">
        <v>46045</v>
      </c>
      <c r="AB74" s="61">
        <v>46089</v>
      </c>
      <c r="AC74" s="61"/>
      <c r="AD74" s="62" t="e">
        <f>IF(ISNA(VLOOKUP(D74,#REF!,5,0)),0,VLOOKUP(D74,#REF!,5,0))</f>
        <v>#REF!</v>
      </c>
      <c r="AE74" s="62" t="e">
        <f t="shared" si="8"/>
        <v>#REF!</v>
      </c>
      <c r="AF74" s="61">
        <v>46101</v>
      </c>
      <c r="AG74" s="50">
        <f t="shared" si="9"/>
        <v>56</v>
      </c>
      <c r="AH74" s="61">
        <v>46135</v>
      </c>
      <c r="AI74" s="56"/>
      <c r="AJ74" s="56">
        <f t="shared" si="11"/>
        <v>34</v>
      </c>
      <c r="AK74" s="56"/>
      <c r="AL74" s="52"/>
      <c r="AM74" s="51"/>
      <c r="AN74" s="51"/>
      <c r="AO74" s="56"/>
      <c r="AP74" s="63"/>
      <c r="AQ74" s="63"/>
      <c r="AR74" s="63"/>
      <c r="AS74" s="63"/>
    </row>
    <row r="75" spans="1:45" s="64" customFormat="1" ht="12" customHeight="1" x14ac:dyDescent="0.25">
      <c r="A75" s="50">
        <v>74</v>
      </c>
      <c r="B75" s="51"/>
      <c r="C75" s="51" t="s">
        <v>102</v>
      </c>
      <c r="D75" s="52" t="s">
        <v>338</v>
      </c>
      <c r="E75" s="51" t="s">
        <v>260</v>
      </c>
      <c r="F75" s="51" t="s">
        <v>0</v>
      </c>
      <c r="G75" s="53" t="s">
        <v>269</v>
      </c>
      <c r="H75" s="51">
        <v>120</v>
      </c>
      <c r="I75" s="51" t="s">
        <v>66</v>
      </c>
      <c r="J75" s="51" t="s">
        <v>3</v>
      </c>
      <c r="K75" s="52" t="s">
        <v>9</v>
      </c>
      <c r="L75" s="54" t="e">
        <f>VLOOKUP(G75,#REF!,4,0)</f>
        <v>#REF!</v>
      </c>
      <c r="M75" s="55" t="e">
        <f>_xlfn.IFNA(VLOOKUP(G75,#REF!,2,0),"")</f>
        <v>#REF!</v>
      </c>
      <c r="N75" s="51" t="e">
        <f>_xlfn.IFNA(VLOOKUP(G75,#REF!,3,0),"")</f>
        <v>#REF!</v>
      </c>
      <c r="O75" s="56">
        <v>4</v>
      </c>
      <c r="P75" s="67">
        <v>56</v>
      </c>
      <c r="Q75" s="56" t="s">
        <v>10</v>
      </c>
      <c r="R75" s="51">
        <v>3.9</v>
      </c>
      <c r="S75" s="51"/>
      <c r="T75" s="57">
        <v>9.1743119266055047</v>
      </c>
      <c r="U75" s="58">
        <f t="shared" si="6"/>
        <v>227.5743119266055</v>
      </c>
      <c r="V75" s="59">
        <f t="shared" si="7"/>
        <v>1.8964525993883792</v>
      </c>
      <c r="W75" s="60">
        <f t="shared" si="10"/>
        <v>0.28305262677438492</v>
      </c>
      <c r="X75" s="51"/>
      <c r="Y75" s="51"/>
      <c r="Z75" s="57"/>
      <c r="AA75" s="61">
        <v>46045</v>
      </c>
      <c r="AB75" s="61">
        <v>46089</v>
      </c>
      <c r="AC75" s="61"/>
      <c r="AD75" s="62" t="e">
        <f>IF(ISNA(VLOOKUP(D75,#REF!,5,0)),0,VLOOKUP(D75,#REF!,5,0))</f>
        <v>#REF!</v>
      </c>
      <c r="AE75" s="62" t="e">
        <f t="shared" si="8"/>
        <v>#REF!</v>
      </c>
      <c r="AF75" s="61">
        <v>46102</v>
      </c>
      <c r="AG75" s="50">
        <f t="shared" si="9"/>
        <v>57</v>
      </c>
      <c r="AH75" s="61">
        <v>46133</v>
      </c>
      <c r="AI75" s="56"/>
      <c r="AJ75" s="56">
        <f t="shared" si="11"/>
        <v>31</v>
      </c>
      <c r="AK75" s="56"/>
      <c r="AL75" s="52"/>
      <c r="AM75" s="51"/>
      <c r="AN75" s="51"/>
      <c r="AO75" s="56"/>
      <c r="AP75" s="63"/>
      <c r="AQ75" s="63"/>
      <c r="AR75" s="63"/>
      <c r="AS75" s="63"/>
    </row>
    <row r="76" spans="1:45" ht="12" customHeight="1" x14ac:dyDescent="0.25">
      <c r="A76" s="33">
        <v>75</v>
      </c>
      <c r="B76" s="34"/>
      <c r="C76" s="34" t="s">
        <v>108</v>
      </c>
      <c r="D76" s="35" t="s">
        <v>339</v>
      </c>
      <c r="E76" s="34" t="s">
        <v>51</v>
      </c>
      <c r="F76" s="34" t="s">
        <v>52</v>
      </c>
      <c r="G76" s="16" t="s">
        <v>64</v>
      </c>
      <c r="H76" s="34">
        <v>240</v>
      </c>
      <c r="I76" s="34" t="s">
        <v>54</v>
      </c>
      <c r="J76" s="34" t="s">
        <v>55</v>
      </c>
      <c r="K76" s="35" t="s">
        <v>229</v>
      </c>
      <c r="L76" s="36" t="e">
        <f>VLOOKUP(G76,#REF!,4,0)</f>
        <v>#REF!</v>
      </c>
      <c r="M76" s="37" t="e">
        <f>_xlfn.IFNA(VLOOKUP(G76,#REF!,2,0),"")</f>
        <v>#REF!</v>
      </c>
      <c r="N76" s="38" t="e">
        <f>_xlfn.IFNA(VLOOKUP(G76,#REF!,3,0),"")</f>
        <v>#REF!</v>
      </c>
      <c r="O76" s="39">
        <v>6</v>
      </c>
      <c r="P76" s="67">
        <v>83</v>
      </c>
      <c r="Q76" s="39" t="s">
        <v>10</v>
      </c>
      <c r="R76" s="34">
        <v>6</v>
      </c>
      <c r="S76" s="38">
        <v>200</v>
      </c>
      <c r="T76" s="40">
        <v>34.285714285714285</v>
      </c>
      <c r="U76" s="41">
        <f t="shared" si="6"/>
        <v>532.28571428571433</v>
      </c>
      <c r="V76" s="42">
        <f t="shared" si="7"/>
        <v>2.217857142857143</v>
      </c>
      <c r="W76" s="43">
        <f t="shared" si="10"/>
        <v>0.3310234541577825</v>
      </c>
      <c r="X76" s="38"/>
      <c r="Y76" s="38"/>
      <c r="Z76" s="44"/>
      <c r="AA76" s="45">
        <v>46045</v>
      </c>
      <c r="AB76" s="45">
        <v>46093</v>
      </c>
      <c r="AC76" s="45"/>
      <c r="AD76" s="46" t="e">
        <f>IF(ISNA(VLOOKUP(D76,#REF!,5,0)),0,VLOOKUP(D76,#REF!,5,0))</f>
        <v>#REF!</v>
      </c>
      <c r="AE76" s="46" t="e">
        <f t="shared" si="8"/>
        <v>#REF!</v>
      </c>
      <c r="AF76" s="45">
        <v>46095</v>
      </c>
      <c r="AG76" s="33">
        <f t="shared" si="9"/>
        <v>50</v>
      </c>
      <c r="AH76" s="45">
        <v>46113</v>
      </c>
      <c r="AI76" s="39">
        <v>240</v>
      </c>
      <c r="AJ76" s="56">
        <f t="shared" si="11"/>
        <v>18</v>
      </c>
      <c r="AK76" s="39"/>
      <c r="AL76" s="35"/>
      <c r="AM76" s="34"/>
      <c r="AN76" s="34"/>
      <c r="AO76" s="39"/>
      <c r="AP76" s="47"/>
      <c r="AQ76" s="47"/>
      <c r="AR76" s="47"/>
      <c r="AS76" s="47"/>
    </row>
    <row r="77" spans="1:45" s="64" customFormat="1" ht="12" customHeight="1" x14ac:dyDescent="0.25">
      <c r="A77" s="50">
        <v>76</v>
      </c>
      <c r="B77" s="51"/>
      <c r="C77" s="51" t="s">
        <v>219</v>
      </c>
      <c r="D77" s="52" t="s">
        <v>340</v>
      </c>
      <c r="E77" s="51" t="s">
        <v>58</v>
      </c>
      <c r="F77" s="51" t="s">
        <v>0</v>
      </c>
      <c r="G77" s="53" t="s">
        <v>88</v>
      </c>
      <c r="H77" s="51">
        <v>720</v>
      </c>
      <c r="I77" s="51" t="s">
        <v>87</v>
      </c>
      <c r="J77" s="51" t="s">
        <v>3</v>
      </c>
      <c r="K77" s="52" t="s">
        <v>22</v>
      </c>
      <c r="L77" s="54" t="e">
        <f>VLOOKUP(G77,#REF!,4,0)</f>
        <v>#REF!</v>
      </c>
      <c r="M77" s="55" t="e">
        <f>_xlfn.IFNA(VLOOKUP(G77,#REF!,2,0),"")</f>
        <v>#REF!</v>
      </c>
      <c r="N77" s="51" t="e">
        <f>_xlfn.IFNA(VLOOKUP(G77,#REF!,3,0),"")</f>
        <v>#REF!</v>
      </c>
      <c r="O77" s="56">
        <v>8</v>
      </c>
      <c r="P77" s="67">
        <v>157</v>
      </c>
      <c r="Q77" s="56" t="s">
        <v>10</v>
      </c>
      <c r="R77" s="51">
        <v>5.3</v>
      </c>
      <c r="S77" s="65"/>
      <c r="T77" s="57"/>
      <c r="U77" s="58">
        <f t="shared" ref="U77:U90" si="12">R77*P77+T77</f>
        <v>832.1</v>
      </c>
      <c r="V77" s="59">
        <f t="shared" si="7"/>
        <v>1.1556944444444446</v>
      </c>
      <c r="W77" s="60">
        <f t="shared" si="10"/>
        <v>0.17249170812603651</v>
      </c>
      <c r="X77" s="51"/>
      <c r="Y77" s="51"/>
      <c r="Z77" s="57"/>
      <c r="AA77" s="61">
        <v>46045</v>
      </c>
      <c r="AB77" s="61">
        <v>46065</v>
      </c>
      <c r="AC77" s="61"/>
      <c r="AD77" s="62" t="e">
        <f>IF(ISNA(VLOOKUP(D77,#REF!,5,0)),0,VLOOKUP(D77,#REF!,5,0))</f>
        <v>#REF!</v>
      </c>
      <c r="AE77" s="62" t="e">
        <f t="shared" si="8"/>
        <v>#REF!</v>
      </c>
      <c r="AF77" s="61">
        <v>46081</v>
      </c>
      <c r="AG77" s="50">
        <f t="shared" si="9"/>
        <v>36</v>
      </c>
      <c r="AH77" s="61">
        <v>46109</v>
      </c>
      <c r="AI77" s="56">
        <v>717</v>
      </c>
      <c r="AJ77" s="56">
        <f t="shared" si="11"/>
        <v>28</v>
      </c>
      <c r="AK77" s="56"/>
      <c r="AL77" s="52"/>
      <c r="AM77" s="51"/>
      <c r="AN77" s="51"/>
      <c r="AO77" s="56"/>
      <c r="AP77" s="63"/>
      <c r="AQ77" s="63"/>
      <c r="AR77" s="63"/>
      <c r="AS77" s="63"/>
    </row>
    <row r="78" spans="1:45" s="64" customFormat="1" ht="12" customHeight="1" x14ac:dyDescent="0.25">
      <c r="A78" s="50">
        <v>77</v>
      </c>
      <c r="B78" s="51"/>
      <c r="C78" s="51" t="s">
        <v>104</v>
      </c>
      <c r="D78" s="52" t="s">
        <v>341</v>
      </c>
      <c r="E78" s="51" t="s">
        <v>58</v>
      </c>
      <c r="F78" s="51" t="s">
        <v>0</v>
      </c>
      <c r="G78" s="53" t="s">
        <v>88</v>
      </c>
      <c r="H78" s="51">
        <v>1890</v>
      </c>
      <c r="I78" s="51" t="s">
        <v>218</v>
      </c>
      <c r="J78" s="51" t="s">
        <v>3</v>
      </c>
      <c r="K78" s="52" t="s">
        <v>5</v>
      </c>
      <c r="L78" s="54" t="e">
        <f>VLOOKUP(G78,#REF!,4,0)</f>
        <v>#REF!</v>
      </c>
      <c r="M78" s="55" t="e">
        <f>_xlfn.IFNA(VLOOKUP(G78,#REF!,2,0),"")</f>
        <v>#REF!</v>
      </c>
      <c r="N78" s="51" t="e">
        <f>_xlfn.IFNA(VLOOKUP(G78,#REF!,3,0),"")</f>
        <v>#REF!</v>
      </c>
      <c r="O78" s="56">
        <v>21</v>
      </c>
      <c r="P78" s="67">
        <v>1.0828125</v>
      </c>
      <c r="Q78" s="56" t="s">
        <v>420</v>
      </c>
      <c r="R78" s="51">
        <v>1150</v>
      </c>
      <c r="S78" s="51">
        <f>180*1.06</f>
        <v>190.8</v>
      </c>
      <c r="T78" s="57">
        <v>125.21250000000001</v>
      </c>
      <c r="U78" s="58">
        <f t="shared" si="12"/>
        <v>1370.4468750000001</v>
      </c>
      <c r="V78" s="59">
        <f t="shared" si="7"/>
        <v>0.72510416666666666</v>
      </c>
      <c r="W78" s="60">
        <f t="shared" si="10"/>
        <v>0.10822450248756219</v>
      </c>
      <c r="X78" s="51"/>
      <c r="Y78" s="51"/>
      <c r="Z78" s="57"/>
      <c r="AA78" s="61">
        <v>46045</v>
      </c>
      <c r="AB78" s="61">
        <v>46063</v>
      </c>
      <c r="AC78" s="61"/>
      <c r="AD78" s="62" t="e">
        <f>IF(ISNA(VLOOKUP(D78,#REF!,5,0)),0,VLOOKUP(D78,#REF!,5,0))</f>
        <v>#REF!</v>
      </c>
      <c r="AE78" s="62" t="e">
        <f t="shared" si="8"/>
        <v>#REF!</v>
      </c>
      <c r="AF78" s="61">
        <v>46080</v>
      </c>
      <c r="AG78" s="50">
        <f t="shared" si="9"/>
        <v>35</v>
      </c>
      <c r="AH78" s="61">
        <v>46111</v>
      </c>
      <c r="AI78" s="56">
        <v>1889</v>
      </c>
      <c r="AJ78" s="56">
        <f t="shared" si="11"/>
        <v>31</v>
      </c>
      <c r="AK78" s="56"/>
      <c r="AL78" s="52"/>
      <c r="AM78" s="51"/>
      <c r="AN78" s="51"/>
      <c r="AO78" s="56"/>
      <c r="AP78" s="63"/>
      <c r="AQ78" s="63"/>
      <c r="AR78" s="63"/>
      <c r="AS78" s="63"/>
    </row>
    <row r="79" spans="1:45" s="64" customFormat="1" ht="12" customHeight="1" x14ac:dyDescent="0.25">
      <c r="A79" s="50">
        <v>78</v>
      </c>
      <c r="B79" s="51"/>
      <c r="C79" s="51" t="s">
        <v>104</v>
      </c>
      <c r="D79" s="52" t="s">
        <v>341</v>
      </c>
      <c r="E79" s="51" t="s">
        <v>58</v>
      </c>
      <c r="F79" s="51" t="s">
        <v>0</v>
      </c>
      <c r="G79" s="53" t="s">
        <v>212</v>
      </c>
      <c r="H79" s="51">
        <v>100</v>
      </c>
      <c r="I79" s="51" t="s">
        <v>218</v>
      </c>
      <c r="J79" s="51" t="s">
        <v>3</v>
      </c>
      <c r="K79" s="52" t="s">
        <v>5</v>
      </c>
      <c r="L79" s="54" t="e">
        <f>VLOOKUP(G79,#REF!,4,0)</f>
        <v>#REF!</v>
      </c>
      <c r="M79" s="55" t="e">
        <f>_xlfn.IFNA(VLOOKUP(G79,#REF!,2,0),"")</f>
        <v>#REF!</v>
      </c>
      <c r="N79" s="51" t="e">
        <f>_xlfn.IFNA(VLOOKUP(G79,#REF!,3,0),"")</f>
        <v>#REF!</v>
      </c>
      <c r="O79" s="56">
        <v>5</v>
      </c>
      <c r="P79" s="67">
        <v>0.2578125</v>
      </c>
      <c r="Q79" s="56" t="s">
        <v>420</v>
      </c>
      <c r="R79" s="51">
        <v>1150</v>
      </c>
      <c r="S79" s="65">
        <f>SUMIF(C:C,C78,T:T)</f>
        <v>190.8</v>
      </c>
      <c r="T79" s="57">
        <v>29.8125</v>
      </c>
      <c r="U79" s="58">
        <f t="shared" si="12"/>
        <v>326.296875</v>
      </c>
      <c r="V79" s="59">
        <f t="shared" si="7"/>
        <v>3.2629687500000002</v>
      </c>
      <c r="W79" s="60">
        <f t="shared" si="10"/>
        <v>0.48701026119402985</v>
      </c>
      <c r="X79" s="51"/>
      <c r="Y79" s="51"/>
      <c r="Z79" s="57"/>
      <c r="AA79" s="61">
        <v>46045</v>
      </c>
      <c r="AB79" s="61">
        <v>46063</v>
      </c>
      <c r="AC79" s="61"/>
      <c r="AD79" s="62" t="e">
        <f>IF(ISNA(VLOOKUP(D79,#REF!,5,0)),0,VLOOKUP(D79,#REF!,5,0))</f>
        <v>#REF!</v>
      </c>
      <c r="AE79" s="62" t="e">
        <f t="shared" si="8"/>
        <v>#REF!</v>
      </c>
      <c r="AF79" s="61">
        <v>46080</v>
      </c>
      <c r="AG79" s="50">
        <f t="shared" si="9"/>
        <v>35</v>
      </c>
      <c r="AH79" s="61">
        <v>46111</v>
      </c>
      <c r="AI79" s="56">
        <v>100</v>
      </c>
      <c r="AJ79" s="56">
        <f t="shared" si="11"/>
        <v>31</v>
      </c>
      <c r="AK79" s="56"/>
      <c r="AL79" s="52"/>
      <c r="AM79" s="51"/>
      <c r="AN79" s="51"/>
      <c r="AO79" s="56"/>
      <c r="AP79" s="63"/>
      <c r="AQ79" s="63"/>
      <c r="AR79" s="63"/>
      <c r="AS79" s="63"/>
    </row>
    <row r="80" spans="1:45" s="64" customFormat="1" ht="12" customHeight="1" x14ac:dyDescent="0.25">
      <c r="A80" s="50">
        <v>79</v>
      </c>
      <c r="B80" s="51"/>
      <c r="C80" s="51" t="s">
        <v>104</v>
      </c>
      <c r="D80" s="52" t="s">
        <v>342</v>
      </c>
      <c r="E80" s="51" t="s">
        <v>61</v>
      </c>
      <c r="F80" s="51" t="s">
        <v>0</v>
      </c>
      <c r="G80" s="53" t="s">
        <v>329</v>
      </c>
      <c r="H80" s="51">
        <v>304</v>
      </c>
      <c r="I80" s="51" t="s">
        <v>218</v>
      </c>
      <c r="J80" s="51" t="s">
        <v>3</v>
      </c>
      <c r="K80" s="52" t="s">
        <v>5</v>
      </c>
      <c r="L80" s="54" t="e">
        <f>VLOOKUP(G80,#REF!,4,0)</f>
        <v>#REF!</v>
      </c>
      <c r="M80" s="55" t="e">
        <f>_xlfn.IFNA(VLOOKUP(G80,#REF!,2,0),"")</f>
        <v>#REF!</v>
      </c>
      <c r="N80" s="51" t="e">
        <f>_xlfn.IFNA(VLOOKUP(G80,#REF!,3,0),"")</f>
        <v>#REF!</v>
      </c>
      <c r="O80" s="56">
        <v>4</v>
      </c>
      <c r="P80" s="67">
        <v>0.20624999999999999</v>
      </c>
      <c r="Q80" s="56" t="s">
        <v>420</v>
      </c>
      <c r="R80" s="51">
        <v>1150</v>
      </c>
      <c r="S80" s="51"/>
      <c r="T80" s="57">
        <v>23.85</v>
      </c>
      <c r="U80" s="58">
        <f t="shared" si="12"/>
        <v>261.03750000000002</v>
      </c>
      <c r="V80" s="59">
        <f t="shared" si="7"/>
        <v>0.85867598684210533</v>
      </c>
      <c r="W80" s="60">
        <f t="shared" si="10"/>
        <v>0.12816059505106051</v>
      </c>
      <c r="X80" s="51"/>
      <c r="Y80" s="51"/>
      <c r="Z80" s="57"/>
      <c r="AA80" s="61">
        <v>46045</v>
      </c>
      <c r="AB80" s="61">
        <v>46063</v>
      </c>
      <c r="AC80" s="61"/>
      <c r="AD80" s="62" t="e">
        <f>IF(ISNA(VLOOKUP(D80,#REF!,5,0)),0,VLOOKUP(D80,#REF!,5,0))</f>
        <v>#REF!</v>
      </c>
      <c r="AE80" s="62" t="e">
        <f t="shared" si="8"/>
        <v>#REF!</v>
      </c>
      <c r="AF80" s="61">
        <v>46072</v>
      </c>
      <c r="AG80" s="50">
        <f t="shared" si="9"/>
        <v>27</v>
      </c>
      <c r="AH80" s="61">
        <v>46111</v>
      </c>
      <c r="AI80" s="56">
        <v>306</v>
      </c>
      <c r="AJ80" s="56">
        <f t="shared" si="11"/>
        <v>39</v>
      </c>
      <c r="AK80" s="56"/>
      <c r="AL80" s="52"/>
      <c r="AM80" s="51"/>
      <c r="AN80" s="51"/>
      <c r="AO80" s="56"/>
      <c r="AP80" s="63"/>
      <c r="AQ80" s="63"/>
      <c r="AR80" s="63"/>
      <c r="AS80" s="63"/>
    </row>
    <row r="81" spans="1:45" s="64" customFormat="1" ht="12" customHeight="1" x14ac:dyDescent="0.25">
      <c r="A81" s="50">
        <v>80</v>
      </c>
      <c r="B81" s="51"/>
      <c r="C81" s="51" t="s">
        <v>104</v>
      </c>
      <c r="D81" s="52" t="s">
        <v>342</v>
      </c>
      <c r="E81" s="51" t="s">
        <v>61</v>
      </c>
      <c r="F81" s="51" t="s">
        <v>0</v>
      </c>
      <c r="G81" s="53" t="s">
        <v>174</v>
      </c>
      <c r="H81" s="51">
        <v>180</v>
      </c>
      <c r="I81" s="51" t="s">
        <v>218</v>
      </c>
      <c r="J81" s="51" t="s">
        <v>3</v>
      </c>
      <c r="K81" s="52" t="s">
        <v>5</v>
      </c>
      <c r="L81" s="54" t="e">
        <f>VLOOKUP(G81,#REF!,4,0)</f>
        <v>#REF!</v>
      </c>
      <c r="M81" s="55" t="e">
        <f>_xlfn.IFNA(VLOOKUP(G81,#REF!,2,0),"")</f>
        <v>#REF!</v>
      </c>
      <c r="N81" s="51" t="e">
        <f>_xlfn.IFNA(VLOOKUP(G81,#REF!,3,0),"")</f>
        <v>#REF!</v>
      </c>
      <c r="O81" s="56">
        <v>2</v>
      </c>
      <c r="P81" s="67">
        <v>0.10312499999999999</v>
      </c>
      <c r="Q81" s="56" t="s">
        <v>420</v>
      </c>
      <c r="R81" s="51">
        <v>1150</v>
      </c>
      <c r="S81" s="51"/>
      <c r="T81" s="57">
        <v>11.925000000000001</v>
      </c>
      <c r="U81" s="58">
        <f t="shared" si="12"/>
        <v>130.51875000000001</v>
      </c>
      <c r="V81" s="59">
        <f t="shared" si="7"/>
        <v>0.72510416666666677</v>
      </c>
      <c r="W81" s="60">
        <f t="shared" si="10"/>
        <v>0.1082245024875622</v>
      </c>
      <c r="X81" s="51"/>
      <c r="Y81" s="51"/>
      <c r="Z81" s="57"/>
      <c r="AA81" s="61">
        <v>46045</v>
      </c>
      <c r="AB81" s="61">
        <v>46063</v>
      </c>
      <c r="AC81" s="61"/>
      <c r="AD81" s="62" t="e">
        <f>IF(ISNA(VLOOKUP(D81,#REF!,5,0)),0,VLOOKUP(D81,#REF!,5,0))</f>
        <v>#REF!</v>
      </c>
      <c r="AE81" s="62" t="e">
        <f t="shared" si="8"/>
        <v>#REF!</v>
      </c>
      <c r="AF81" s="61">
        <v>46072</v>
      </c>
      <c r="AG81" s="50">
        <f t="shared" si="9"/>
        <v>27</v>
      </c>
      <c r="AH81" s="61">
        <v>46111</v>
      </c>
      <c r="AI81" s="56">
        <v>179</v>
      </c>
      <c r="AJ81" s="56">
        <f t="shared" si="11"/>
        <v>39</v>
      </c>
      <c r="AK81" s="56"/>
      <c r="AL81" s="52"/>
      <c r="AM81" s="51"/>
      <c r="AN81" s="51"/>
      <c r="AO81" s="56"/>
      <c r="AP81" s="63"/>
      <c r="AQ81" s="63"/>
      <c r="AR81" s="63"/>
      <c r="AS81" s="63"/>
    </row>
    <row r="82" spans="1:45" s="64" customFormat="1" ht="12" customHeight="1" x14ac:dyDescent="0.25">
      <c r="A82" s="50">
        <v>81</v>
      </c>
      <c r="B82" s="51"/>
      <c r="C82" s="51" t="s">
        <v>219</v>
      </c>
      <c r="D82" s="52" t="s">
        <v>343</v>
      </c>
      <c r="E82" s="51" t="s">
        <v>58</v>
      </c>
      <c r="F82" s="51" t="s">
        <v>0</v>
      </c>
      <c r="G82" s="53" t="s">
        <v>253</v>
      </c>
      <c r="H82" s="51">
        <v>576</v>
      </c>
      <c r="I82" s="51" t="s">
        <v>87</v>
      </c>
      <c r="J82" s="51" t="s">
        <v>3</v>
      </c>
      <c r="K82" s="52" t="s">
        <v>5</v>
      </c>
      <c r="L82" s="54" t="e">
        <f>VLOOKUP(G82,#REF!,4,0)</f>
        <v>#REF!</v>
      </c>
      <c r="M82" s="55" t="e">
        <f>_xlfn.IFNA(VLOOKUP(G82,#REF!,2,0),"")</f>
        <v>#REF!</v>
      </c>
      <c r="N82" s="51" t="e">
        <f>_xlfn.IFNA(VLOOKUP(G82,#REF!,3,0),"")</f>
        <v>#REF!</v>
      </c>
      <c r="O82" s="56">
        <v>9</v>
      </c>
      <c r="P82" s="67">
        <v>130</v>
      </c>
      <c r="Q82" s="56" t="s">
        <v>10</v>
      </c>
      <c r="R82" s="51">
        <v>5.3</v>
      </c>
      <c r="S82" s="51"/>
      <c r="T82" s="57"/>
      <c r="U82" s="58">
        <f t="shared" si="12"/>
        <v>689</v>
      </c>
      <c r="V82" s="59">
        <f t="shared" si="7"/>
        <v>1.1961805555555556</v>
      </c>
      <c r="W82" s="60">
        <f t="shared" si="10"/>
        <v>0.17853441127694858</v>
      </c>
      <c r="X82" s="51"/>
      <c r="Y82" s="51"/>
      <c r="Z82" s="57"/>
      <c r="AA82" s="61">
        <v>46045</v>
      </c>
      <c r="AB82" s="61">
        <v>46065</v>
      </c>
      <c r="AC82" s="61"/>
      <c r="AD82" s="62" t="e">
        <f>IF(ISNA(VLOOKUP(D82,#REF!,5,0)),0,VLOOKUP(D82,#REF!,5,0))</f>
        <v>#REF!</v>
      </c>
      <c r="AE82" s="62" t="e">
        <f t="shared" si="8"/>
        <v>#REF!</v>
      </c>
      <c r="AF82" s="61">
        <v>46079</v>
      </c>
      <c r="AG82" s="50">
        <f>AF82-AA82</f>
        <v>34</v>
      </c>
      <c r="AH82" s="61">
        <v>46109</v>
      </c>
      <c r="AI82" s="56">
        <v>574</v>
      </c>
      <c r="AJ82" s="56">
        <f t="shared" si="11"/>
        <v>30</v>
      </c>
      <c r="AK82" s="56"/>
      <c r="AL82" s="52"/>
      <c r="AM82" s="51"/>
      <c r="AN82" s="51"/>
      <c r="AO82" s="56"/>
      <c r="AP82" s="63"/>
      <c r="AQ82" s="63"/>
      <c r="AR82" s="63"/>
      <c r="AS82" s="63"/>
    </row>
    <row r="83" spans="1:45" s="64" customFormat="1" ht="12" customHeight="1" x14ac:dyDescent="0.25">
      <c r="A83" s="50">
        <v>82</v>
      </c>
      <c r="B83" s="51"/>
      <c r="C83" s="51" t="s">
        <v>103</v>
      </c>
      <c r="D83" s="52" t="s">
        <v>344</v>
      </c>
      <c r="E83" s="51" t="s">
        <v>61</v>
      </c>
      <c r="F83" s="51" t="s">
        <v>0</v>
      </c>
      <c r="G83" s="53" t="s">
        <v>278</v>
      </c>
      <c r="H83" s="51">
        <v>384</v>
      </c>
      <c r="I83" s="51" t="s">
        <v>87</v>
      </c>
      <c r="J83" s="51" t="s">
        <v>3</v>
      </c>
      <c r="K83" s="52" t="s">
        <v>22</v>
      </c>
      <c r="L83" s="54" t="e">
        <f>VLOOKUP(G83,#REF!,4,0)</f>
        <v>#REF!</v>
      </c>
      <c r="M83" s="55" t="e">
        <f>_xlfn.IFNA(VLOOKUP(G83,#REF!,2,0),"")</f>
        <v>#REF!</v>
      </c>
      <c r="N83" s="51" t="e">
        <f>_xlfn.IFNA(VLOOKUP(G83,#REF!,3,0),"")</f>
        <v>#REF!</v>
      </c>
      <c r="O83" s="56">
        <v>6</v>
      </c>
      <c r="P83" s="67">
        <v>86.84210526315789</v>
      </c>
      <c r="Q83" s="56" t="s">
        <v>10</v>
      </c>
      <c r="R83" s="51">
        <v>5.3</v>
      </c>
      <c r="S83" s="51">
        <v>350</v>
      </c>
      <c r="T83" s="57">
        <v>110.52631578947368</v>
      </c>
      <c r="U83" s="58">
        <f t="shared" si="12"/>
        <v>570.78947368421052</v>
      </c>
      <c r="V83" s="59">
        <f t="shared" si="7"/>
        <v>1.4864309210526316</v>
      </c>
      <c r="W83" s="60">
        <f t="shared" si="10"/>
        <v>0.22185536135113904</v>
      </c>
      <c r="X83" s="51"/>
      <c r="Y83" s="51"/>
      <c r="Z83" s="57"/>
      <c r="AA83" s="61">
        <v>46045</v>
      </c>
      <c r="AB83" s="61">
        <v>46065</v>
      </c>
      <c r="AC83" s="61"/>
      <c r="AD83" s="62" t="e">
        <f>IF(ISNA(VLOOKUP(D83,#REF!,5,0)),0,VLOOKUP(D83,#REF!,5,0))</f>
        <v>#REF!</v>
      </c>
      <c r="AE83" s="62" t="e">
        <f t="shared" si="8"/>
        <v>#REF!</v>
      </c>
      <c r="AF83" s="61">
        <v>46081</v>
      </c>
      <c r="AG83" s="50">
        <f t="shared" si="9"/>
        <v>36</v>
      </c>
      <c r="AH83" s="61">
        <v>46110</v>
      </c>
      <c r="AI83" s="56">
        <v>384</v>
      </c>
      <c r="AJ83" s="56">
        <f t="shared" si="11"/>
        <v>29</v>
      </c>
      <c r="AK83" s="56"/>
      <c r="AL83" s="52"/>
      <c r="AM83" s="51"/>
      <c r="AN83" s="51"/>
      <c r="AO83" s="56"/>
      <c r="AP83" s="63"/>
      <c r="AQ83" s="63"/>
      <c r="AR83" s="63"/>
      <c r="AS83" s="63"/>
    </row>
    <row r="84" spans="1:45" s="64" customFormat="1" ht="12" customHeight="1" x14ac:dyDescent="0.25">
      <c r="A84" s="50">
        <v>83</v>
      </c>
      <c r="B84" s="51"/>
      <c r="C84" s="51" t="s">
        <v>103</v>
      </c>
      <c r="D84" s="52" t="s">
        <v>344</v>
      </c>
      <c r="E84" s="51" t="s">
        <v>61</v>
      </c>
      <c r="F84" s="51" t="s">
        <v>0</v>
      </c>
      <c r="G84" s="53" t="s">
        <v>293</v>
      </c>
      <c r="H84" s="51">
        <v>576</v>
      </c>
      <c r="I84" s="51" t="s">
        <v>87</v>
      </c>
      <c r="J84" s="51" t="s">
        <v>3</v>
      </c>
      <c r="K84" s="52" t="s">
        <v>22</v>
      </c>
      <c r="L84" s="54" t="e">
        <f>VLOOKUP(G84,#REF!,4,0)</f>
        <v>#REF!</v>
      </c>
      <c r="M84" s="55" t="e">
        <f>_xlfn.IFNA(VLOOKUP(G84,#REF!,2,0),"")</f>
        <v>#REF!</v>
      </c>
      <c r="N84" s="51" t="e">
        <f>_xlfn.IFNA(VLOOKUP(G84,#REF!,3,0),"")</f>
        <v>#REF!</v>
      </c>
      <c r="O84" s="56">
        <v>9</v>
      </c>
      <c r="P84" s="67">
        <v>130.26315789473682</v>
      </c>
      <c r="Q84" s="56" t="s">
        <v>10</v>
      </c>
      <c r="R84" s="51">
        <v>5.3</v>
      </c>
      <c r="S84" s="65">
        <f>SUMIF(C:C,C83,T:T)</f>
        <v>350</v>
      </c>
      <c r="T84" s="57">
        <v>165.78947368421052</v>
      </c>
      <c r="U84" s="58">
        <f t="shared" si="12"/>
        <v>856.18421052631561</v>
      </c>
      <c r="V84" s="59">
        <f t="shared" si="7"/>
        <v>1.4864309210526312</v>
      </c>
      <c r="W84" s="60">
        <f t="shared" si="10"/>
        <v>0.22185536135113898</v>
      </c>
      <c r="X84" s="51"/>
      <c r="Y84" s="51"/>
      <c r="Z84" s="57"/>
      <c r="AA84" s="61">
        <v>46045</v>
      </c>
      <c r="AB84" s="61">
        <v>46065</v>
      </c>
      <c r="AC84" s="61"/>
      <c r="AD84" s="62" t="e">
        <f>IF(ISNA(VLOOKUP(D84,#REF!,5,0)),0,VLOOKUP(D84,#REF!,5,0))</f>
        <v>#REF!</v>
      </c>
      <c r="AE84" s="62" t="e">
        <f t="shared" si="8"/>
        <v>#REF!</v>
      </c>
      <c r="AF84" s="61">
        <v>46081</v>
      </c>
      <c r="AG84" s="50">
        <f t="shared" si="9"/>
        <v>36</v>
      </c>
      <c r="AH84" s="61">
        <v>46110</v>
      </c>
      <c r="AI84" s="56">
        <v>565</v>
      </c>
      <c r="AJ84" s="56">
        <f t="shared" si="11"/>
        <v>29</v>
      </c>
      <c r="AK84" s="56"/>
      <c r="AL84" s="52"/>
      <c r="AM84" s="51"/>
      <c r="AN84" s="51"/>
      <c r="AO84" s="56"/>
      <c r="AP84" s="63"/>
      <c r="AQ84" s="63"/>
      <c r="AR84" s="63"/>
      <c r="AS84" s="63"/>
    </row>
    <row r="85" spans="1:45" s="64" customFormat="1" ht="12" customHeight="1" x14ac:dyDescent="0.25">
      <c r="A85" s="50">
        <v>84</v>
      </c>
      <c r="B85" s="51"/>
      <c r="C85" s="51" t="s">
        <v>103</v>
      </c>
      <c r="D85" s="52" t="s">
        <v>344</v>
      </c>
      <c r="E85" s="51" t="s">
        <v>61</v>
      </c>
      <c r="F85" s="51" t="s">
        <v>0</v>
      </c>
      <c r="G85" s="53" t="s">
        <v>277</v>
      </c>
      <c r="H85" s="51">
        <v>256</v>
      </c>
      <c r="I85" s="51" t="s">
        <v>87</v>
      </c>
      <c r="J85" s="51" t="s">
        <v>3</v>
      </c>
      <c r="K85" s="52" t="s">
        <v>22</v>
      </c>
      <c r="L85" s="54" t="e">
        <f>VLOOKUP(G85,#REF!,4,0)</f>
        <v>#REF!</v>
      </c>
      <c r="M85" s="55" t="e">
        <f>_xlfn.IFNA(VLOOKUP(G85,#REF!,2,0),"")</f>
        <v>#REF!</v>
      </c>
      <c r="N85" s="51" t="e">
        <f>_xlfn.IFNA(VLOOKUP(G85,#REF!,3,0),"")</f>
        <v>#REF!</v>
      </c>
      <c r="O85" s="56">
        <v>4</v>
      </c>
      <c r="P85" s="67">
        <v>57.89473684210526</v>
      </c>
      <c r="Q85" s="56" t="s">
        <v>10</v>
      </c>
      <c r="R85" s="51">
        <v>5.3</v>
      </c>
      <c r="S85" s="51"/>
      <c r="T85" s="57">
        <v>73.684210526315795</v>
      </c>
      <c r="U85" s="58">
        <f t="shared" si="12"/>
        <v>380.52631578947364</v>
      </c>
      <c r="V85" s="59">
        <f t="shared" si="7"/>
        <v>1.4864309210526314</v>
      </c>
      <c r="W85" s="60">
        <f t="shared" si="10"/>
        <v>0.22185536135113901</v>
      </c>
      <c r="X85" s="51"/>
      <c r="Y85" s="51"/>
      <c r="Z85" s="57"/>
      <c r="AA85" s="61">
        <v>46045</v>
      </c>
      <c r="AB85" s="61">
        <v>46065</v>
      </c>
      <c r="AC85" s="61"/>
      <c r="AD85" s="62" t="e">
        <f>IF(ISNA(VLOOKUP(D85,#REF!,5,0)),0,VLOOKUP(D85,#REF!,5,0))</f>
        <v>#REF!</v>
      </c>
      <c r="AE85" s="62" t="e">
        <f t="shared" si="8"/>
        <v>#REF!</v>
      </c>
      <c r="AF85" s="61">
        <v>46081</v>
      </c>
      <c r="AG85" s="50">
        <f t="shared" si="9"/>
        <v>36</v>
      </c>
      <c r="AH85" s="61">
        <v>46110</v>
      </c>
      <c r="AI85" s="56">
        <v>254</v>
      </c>
      <c r="AJ85" s="56">
        <f t="shared" si="11"/>
        <v>29</v>
      </c>
      <c r="AK85" s="56"/>
      <c r="AL85" s="52"/>
      <c r="AM85" s="51"/>
      <c r="AN85" s="51"/>
      <c r="AO85" s="56"/>
      <c r="AP85" s="63"/>
      <c r="AQ85" s="63"/>
      <c r="AR85" s="63"/>
      <c r="AS85" s="63"/>
    </row>
    <row r="86" spans="1:45" ht="12" customHeight="1" x14ac:dyDescent="0.25">
      <c r="A86" s="33">
        <v>85</v>
      </c>
      <c r="B86" s="34"/>
      <c r="C86" s="34" t="s">
        <v>106</v>
      </c>
      <c r="D86" s="35" t="s">
        <v>345</v>
      </c>
      <c r="E86" s="34" t="s">
        <v>172</v>
      </c>
      <c r="F86" s="34" t="s">
        <v>0</v>
      </c>
      <c r="G86" s="16" t="s">
        <v>264</v>
      </c>
      <c r="H86" s="34">
        <v>1088</v>
      </c>
      <c r="I86" s="34" t="s">
        <v>54</v>
      </c>
      <c r="J86" s="34" t="s">
        <v>3</v>
      </c>
      <c r="K86" s="35" t="s">
        <v>22</v>
      </c>
      <c r="L86" s="36" t="e">
        <f>VLOOKUP(G86,#REF!,4,0)</f>
        <v>#REF!</v>
      </c>
      <c r="M86" s="37" t="e">
        <f>_xlfn.IFNA(VLOOKUP(G86,#REF!,2,0),"")</f>
        <v>#REF!</v>
      </c>
      <c r="N86" s="38" t="e">
        <f>_xlfn.IFNA(VLOOKUP(G86,#REF!,3,0),"")</f>
        <v>#REF!</v>
      </c>
      <c r="O86" s="39">
        <v>68</v>
      </c>
      <c r="P86" s="67">
        <v>911.81818181818176</v>
      </c>
      <c r="Q86" s="39" t="s">
        <v>10</v>
      </c>
      <c r="R86" s="34">
        <v>3.1</v>
      </c>
      <c r="S86" s="38"/>
      <c r="T86" s="40">
        <v>92.517006802721085</v>
      </c>
      <c r="U86" s="41">
        <f t="shared" si="12"/>
        <v>2919.1533704390845</v>
      </c>
      <c r="V86" s="42">
        <f t="shared" si="7"/>
        <v>2.6830453772418057</v>
      </c>
      <c r="W86" s="43">
        <f t="shared" si="10"/>
        <v>0.40045453391668739</v>
      </c>
      <c r="X86" s="38"/>
      <c r="Y86" s="38"/>
      <c r="Z86" s="44"/>
      <c r="AA86" s="45">
        <v>46045</v>
      </c>
      <c r="AB86" s="45">
        <v>46067</v>
      </c>
      <c r="AC86" s="45"/>
      <c r="AD86" s="46" t="e">
        <f>IF(ISNA(VLOOKUP(D86,#REF!,5,0)),0,VLOOKUP(D86,#REF!,5,0))</f>
        <v>#REF!</v>
      </c>
      <c r="AE86" s="46" t="e">
        <f t="shared" si="8"/>
        <v>#REF!</v>
      </c>
      <c r="AF86" s="45">
        <v>46076</v>
      </c>
      <c r="AG86" s="33">
        <f t="shared" si="9"/>
        <v>31</v>
      </c>
      <c r="AH86" s="45">
        <v>46137</v>
      </c>
      <c r="AI86" s="39"/>
      <c r="AJ86" s="56">
        <f t="shared" si="11"/>
        <v>61</v>
      </c>
      <c r="AK86" s="39"/>
      <c r="AL86" s="35"/>
      <c r="AM86" s="34"/>
      <c r="AN86" s="34"/>
      <c r="AO86" s="39"/>
      <c r="AP86" s="47"/>
      <c r="AQ86" s="47"/>
      <c r="AR86" s="47"/>
      <c r="AS86" s="47"/>
    </row>
    <row r="87" spans="1:45" ht="12" customHeight="1" x14ac:dyDescent="0.25">
      <c r="A87" s="33">
        <v>86</v>
      </c>
      <c r="B87" s="34"/>
      <c r="C87" s="34" t="s">
        <v>106</v>
      </c>
      <c r="D87" s="35" t="s">
        <v>345</v>
      </c>
      <c r="E87" s="34" t="s">
        <v>172</v>
      </c>
      <c r="F87" s="34" t="s">
        <v>0</v>
      </c>
      <c r="G87" s="16" t="s">
        <v>265</v>
      </c>
      <c r="H87" s="34">
        <v>160</v>
      </c>
      <c r="I87" s="34" t="s">
        <v>54</v>
      </c>
      <c r="J87" s="34" t="s">
        <v>3</v>
      </c>
      <c r="K87" s="35" t="s">
        <v>22</v>
      </c>
      <c r="L87" s="36" t="e">
        <f>VLOOKUP(G87,#REF!,4,0)</f>
        <v>#REF!</v>
      </c>
      <c r="M87" s="37" t="e">
        <f>_xlfn.IFNA(VLOOKUP(G87,#REF!,2,0),"")</f>
        <v>#REF!</v>
      </c>
      <c r="N87" s="38" t="e">
        <f>_xlfn.IFNA(VLOOKUP(G87,#REF!,3,0),"")</f>
        <v>#REF!</v>
      </c>
      <c r="O87" s="39">
        <v>10</v>
      </c>
      <c r="P87" s="67">
        <v>134.09090909090909</v>
      </c>
      <c r="Q87" s="39" t="s">
        <v>10</v>
      </c>
      <c r="R87" s="34">
        <v>3.1</v>
      </c>
      <c r="S87" s="38"/>
      <c r="T87" s="40">
        <v>13.605442176870747</v>
      </c>
      <c r="U87" s="41">
        <f t="shared" si="12"/>
        <v>429.28726035868891</v>
      </c>
      <c r="V87" s="42">
        <f t="shared" si="7"/>
        <v>2.6830453772418057</v>
      </c>
      <c r="W87" s="43">
        <f t="shared" si="10"/>
        <v>0.40045453391668739</v>
      </c>
      <c r="X87" s="38"/>
      <c r="Y87" s="38"/>
      <c r="Z87" s="44"/>
      <c r="AA87" s="45">
        <v>46045</v>
      </c>
      <c r="AB87" s="45">
        <v>46067</v>
      </c>
      <c r="AC87" s="45"/>
      <c r="AD87" s="46" t="e">
        <f>IF(ISNA(VLOOKUP(D87,#REF!,5,0)),0,VLOOKUP(D87,#REF!,5,0))</f>
        <v>#REF!</v>
      </c>
      <c r="AE87" s="46" t="e">
        <f t="shared" si="8"/>
        <v>#REF!</v>
      </c>
      <c r="AF87" s="45">
        <v>46076</v>
      </c>
      <c r="AG87" s="33">
        <f t="shared" si="9"/>
        <v>31</v>
      </c>
      <c r="AH87" s="45">
        <v>46137</v>
      </c>
      <c r="AI87" s="39"/>
      <c r="AJ87" s="56">
        <f t="shared" si="11"/>
        <v>61</v>
      </c>
      <c r="AK87" s="39"/>
      <c r="AL87" s="35"/>
      <c r="AM87" s="34"/>
      <c r="AN87" s="34"/>
      <c r="AO87" s="39"/>
      <c r="AP87" s="47"/>
      <c r="AQ87" s="47"/>
      <c r="AR87" s="47"/>
      <c r="AS87" s="47"/>
    </row>
    <row r="88" spans="1:45" ht="12" customHeight="1" x14ac:dyDescent="0.25">
      <c r="A88" s="33">
        <v>87</v>
      </c>
      <c r="B88" s="34"/>
      <c r="C88" s="34" t="s">
        <v>106</v>
      </c>
      <c r="D88" s="35" t="s">
        <v>345</v>
      </c>
      <c r="E88" s="34" t="s">
        <v>172</v>
      </c>
      <c r="F88" s="34" t="s">
        <v>0</v>
      </c>
      <c r="G88" s="16" t="s">
        <v>266</v>
      </c>
      <c r="H88" s="34">
        <v>160</v>
      </c>
      <c r="I88" s="34" t="s">
        <v>54</v>
      </c>
      <c r="J88" s="34" t="s">
        <v>3</v>
      </c>
      <c r="K88" s="35" t="s">
        <v>22</v>
      </c>
      <c r="L88" s="36" t="e">
        <f>VLOOKUP(G88,#REF!,4,0)</f>
        <v>#REF!</v>
      </c>
      <c r="M88" s="37" t="e">
        <f>_xlfn.IFNA(VLOOKUP(G88,#REF!,2,0),"")</f>
        <v>#REF!</v>
      </c>
      <c r="N88" s="38" t="e">
        <f>_xlfn.IFNA(VLOOKUP(G88,#REF!,3,0),"")</f>
        <v>#REF!</v>
      </c>
      <c r="O88" s="39">
        <v>10</v>
      </c>
      <c r="P88" s="67">
        <v>134.09090909090909</v>
      </c>
      <c r="Q88" s="39" t="s">
        <v>10</v>
      </c>
      <c r="R88" s="34">
        <v>3.1</v>
      </c>
      <c r="S88" s="38"/>
      <c r="T88" s="40">
        <v>13.605442176870747</v>
      </c>
      <c r="U88" s="41">
        <f t="shared" si="12"/>
        <v>429.28726035868891</v>
      </c>
      <c r="V88" s="42">
        <f t="shared" si="7"/>
        <v>2.6830453772418057</v>
      </c>
      <c r="W88" s="43">
        <f t="shared" si="10"/>
        <v>0.40045453391668739</v>
      </c>
      <c r="X88" s="38"/>
      <c r="Y88" s="38"/>
      <c r="Z88" s="44"/>
      <c r="AA88" s="45">
        <v>46045</v>
      </c>
      <c r="AB88" s="45">
        <v>46067</v>
      </c>
      <c r="AC88" s="45"/>
      <c r="AD88" s="46" t="e">
        <f>IF(ISNA(VLOOKUP(D88,#REF!,5,0)),0,VLOOKUP(D88,#REF!,5,0))</f>
        <v>#REF!</v>
      </c>
      <c r="AE88" s="46" t="e">
        <f t="shared" si="8"/>
        <v>#REF!</v>
      </c>
      <c r="AF88" s="45">
        <v>46076</v>
      </c>
      <c r="AG88" s="33">
        <f t="shared" si="9"/>
        <v>31</v>
      </c>
      <c r="AH88" s="45">
        <v>46137</v>
      </c>
      <c r="AI88" s="39"/>
      <c r="AJ88" s="56">
        <f t="shared" si="11"/>
        <v>61</v>
      </c>
      <c r="AK88" s="39"/>
      <c r="AL88" s="35"/>
      <c r="AM88" s="34"/>
      <c r="AN88" s="34"/>
      <c r="AO88" s="39"/>
      <c r="AP88" s="47"/>
      <c r="AQ88" s="47"/>
      <c r="AR88" s="47"/>
      <c r="AS88" s="47"/>
    </row>
    <row r="89" spans="1:45" ht="12" customHeight="1" x14ac:dyDescent="0.25">
      <c r="A89" s="33">
        <v>88</v>
      </c>
      <c r="B89" s="34"/>
      <c r="C89" s="34" t="s">
        <v>108</v>
      </c>
      <c r="D89" s="35" t="s">
        <v>346</v>
      </c>
      <c r="E89" s="34" t="s">
        <v>230</v>
      </c>
      <c r="F89" s="34" t="s">
        <v>52</v>
      </c>
      <c r="G89" s="16" t="s">
        <v>85</v>
      </c>
      <c r="H89" s="34">
        <v>228</v>
      </c>
      <c r="I89" s="34" t="s">
        <v>54</v>
      </c>
      <c r="J89" s="34" t="s">
        <v>55</v>
      </c>
      <c r="K89" s="35" t="s">
        <v>80</v>
      </c>
      <c r="L89" s="36" t="e">
        <f>VLOOKUP(G89,#REF!,4,0)</f>
        <v>#REF!</v>
      </c>
      <c r="M89" s="37" t="e">
        <f>_xlfn.IFNA(VLOOKUP(G89,#REF!,2,0),"")</f>
        <v>#REF!</v>
      </c>
      <c r="N89" s="38" t="e">
        <f>_xlfn.IFNA(VLOOKUP(G89,#REF!,3,0),"")</f>
        <v>#REF!</v>
      </c>
      <c r="O89" s="39">
        <v>19</v>
      </c>
      <c r="P89" s="67">
        <v>266.65517241379314</v>
      </c>
      <c r="Q89" s="39" t="s">
        <v>10</v>
      </c>
      <c r="R89" s="34">
        <v>6</v>
      </c>
      <c r="S89" s="38"/>
      <c r="T89" s="40">
        <v>108.57142857142857</v>
      </c>
      <c r="U89" s="41">
        <f t="shared" si="12"/>
        <v>1708.5024630541875</v>
      </c>
      <c r="V89" s="42">
        <f t="shared" si="7"/>
        <v>7.4934318555008224</v>
      </c>
      <c r="W89" s="43">
        <f t="shared" si="10"/>
        <v>1.1184226650001228</v>
      </c>
      <c r="X89" s="38"/>
      <c r="Y89" s="38"/>
      <c r="Z89" s="44"/>
      <c r="AA89" s="45">
        <v>46045</v>
      </c>
      <c r="AB89" s="45">
        <v>46093</v>
      </c>
      <c r="AC89" s="45"/>
      <c r="AD89" s="46" t="e">
        <f>IF(ISNA(VLOOKUP(D89,#REF!,5,0)),0,VLOOKUP(D89,#REF!,5,0))</f>
        <v>#REF!</v>
      </c>
      <c r="AE89" s="46" t="e">
        <f t="shared" si="8"/>
        <v>#REF!</v>
      </c>
      <c r="AF89" s="45">
        <v>46097</v>
      </c>
      <c r="AG89" s="33">
        <f t="shared" si="9"/>
        <v>52</v>
      </c>
      <c r="AH89" s="45">
        <v>46107</v>
      </c>
      <c r="AI89" s="39">
        <v>227</v>
      </c>
      <c r="AJ89" s="56">
        <f t="shared" si="11"/>
        <v>10</v>
      </c>
      <c r="AK89" s="39"/>
      <c r="AL89" s="35"/>
      <c r="AM89" s="34"/>
      <c r="AN89" s="34"/>
      <c r="AO89" s="39"/>
      <c r="AP89" s="47"/>
      <c r="AQ89" s="47"/>
      <c r="AR89" s="47"/>
      <c r="AS89" s="47"/>
    </row>
    <row r="90" spans="1:45" ht="12" customHeight="1" x14ac:dyDescent="0.25">
      <c r="A90" s="33">
        <v>89</v>
      </c>
      <c r="B90" s="34"/>
      <c r="C90" s="34" t="s">
        <v>108</v>
      </c>
      <c r="D90" s="35" t="s">
        <v>346</v>
      </c>
      <c r="E90" s="34" t="s">
        <v>230</v>
      </c>
      <c r="F90" s="34" t="s">
        <v>52</v>
      </c>
      <c r="G90" s="16" t="s">
        <v>236</v>
      </c>
      <c r="H90" s="34">
        <v>120</v>
      </c>
      <c r="I90" s="34" t="s">
        <v>54</v>
      </c>
      <c r="J90" s="34" t="s">
        <v>55</v>
      </c>
      <c r="K90" s="35" t="s">
        <v>80</v>
      </c>
      <c r="L90" s="36" t="e">
        <f>VLOOKUP(G90,#REF!,4,0)</f>
        <v>#REF!</v>
      </c>
      <c r="M90" s="37" t="e">
        <f>_xlfn.IFNA(VLOOKUP(G90,#REF!,2,0),"")</f>
        <v>#REF!</v>
      </c>
      <c r="N90" s="38" t="e">
        <f>_xlfn.IFNA(VLOOKUP(G90,#REF!,3,0),"")</f>
        <v>#REF!</v>
      </c>
      <c r="O90" s="39">
        <v>10</v>
      </c>
      <c r="P90" s="67">
        <v>140.34482758620692</v>
      </c>
      <c r="Q90" s="39" t="s">
        <v>10</v>
      </c>
      <c r="R90" s="34">
        <v>6</v>
      </c>
      <c r="S90" s="38"/>
      <c r="T90" s="40">
        <v>57.142857142857146</v>
      </c>
      <c r="U90" s="41">
        <f t="shared" si="12"/>
        <v>899.21182266009862</v>
      </c>
      <c r="V90" s="42">
        <f t="shared" si="7"/>
        <v>7.4934318555008215</v>
      </c>
      <c r="W90" s="43">
        <f t="shared" si="10"/>
        <v>1.1184226650001226</v>
      </c>
      <c r="X90" s="38"/>
      <c r="Y90" s="38"/>
      <c r="Z90" s="44"/>
      <c r="AA90" s="45">
        <v>46045</v>
      </c>
      <c r="AB90" s="45">
        <v>46093</v>
      </c>
      <c r="AC90" s="45"/>
      <c r="AD90" s="46" t="e">
        <f>IF(ISNA(VLOOKUP(D90,#REF!,5,0)),0,VLOOKUP(D90,#REF!,5,0))</f>
        <v>#REF!</v>
      </c>
      <c r="AE90" s="46" t="e">
        <f t="shared" si="8"/>
        <v>#REF!</v>
      </c>
      <c r="AF90" s="45">
        <v>46097</v>
      </c>
      <c r="AG90" s="33">
        <f t="shared" si="9"/>
        <v>52</v>
      </c>
      <c r="AH90" s="45">
        <v>46107</v>
      </c>
      <c r="AI90" s="39">
        <v>120</v>
      </c>
      <c r="AJ90" s="56">
        <f t="shared" si="11"/>
        <v>10</v>
      </c>
      <c r="AK90" s="39"/>
      <c r="AL90" s="35"/>
      <c r="AM90" s="34"/>
      <c r="AN90" s="34"/>
      <c r="AO90" s="39"/>
      <c r="AP90" s="47"/>
      <c r="AQ90" s="47"/>
      <c r="AR90" s="47"/>
      <c r="AS90" s="47"/>
    </row>
    <row r="91" spans="1:45" ht="12" customHeight="1" x14ac:dyDescent="0.25">
      <c r="A91" s="33">
        <v>90</v>
      </c>
      <c r="B91" s="34"/>
      <c r="C91" s="34" t="s">
        <v>348</v>
      </c>
      <c r="D91" s="35" t="s">
        <v>349</v>
      </c>
      <c r="E91" s="34" t="s">
        <v>71</v>
      </c>
      <c r="F91" s="34" t="s">
        <v>72</v>
      </c>
      <c r="G91" s="16" t="s">
        <v>64</v>
      </c>
      <c r="H91" s="34">
        <v>440</v>
      </c>
      <c r="I91" s="34" t="s">
        <v>54</v>
      </c>
      <c r="J91" s="34" t="s">
        <v>255</v>
      </c>
      <c r="K91" s="35" t="s">
        <v>107</v>
      </c>
      <c r="L91" s="36" t="e">
        <f>VLOOKUP(G91,#REF!,4,0)</f>
        <v>#REF!</v>
      </c>
      <c r="M91" s="37" t="e">
        <f>_xlfn.IFNA(VLOOKUP(G91,#REF!,2,0),"")</f>
        <v>#REF!</v>
      </c>
      <c r="N91" s="38" t="e">
        <f>_xlfn.IFNA(VLOOKUP(G91,#REF!,3,0),"")</f>
        <v>#REF!</v>
      </c>
      <c r="O91" s="39">
        <v>11</v>
      </c>
      <c r="P91" s="67">
        <v>0.52433333333333332</v>
      </c>
      <c r="Q91" s="39" t="s">
        <v>420</v>
      </c>
      <c r="R91" s="34">
        <v>750</v>
      </c>
      <c r="S91" s="38">
        <v>550</v>
      </c>
      <c r="T91" s="40">
        <v>201.66666666666663</v>
      </c>
      <c r="U91" s="41">
        <f t="shared" ref="U91:U154" si="13">R91*P91+T91</f>
        <v>594.91666666666663</v>
      </c>
      <c r="V91" s="42">
        <f t="shared" si="7"/>
        <v>1.3520833333333333</v>
      </c>
      <c r="W91" s="43">
        <f t="shared" si="10"/>
        <v>0.20180348258706465</v>
      </c>
      <c r="X91" s="38"/>
      <c r="Y91" s="38"/>
      <c r="Z91" s="44" t="s">
        <v>431</v>
      </c>
      <c r="AA91" s="45">
        <v>46051</v>
      </c>
      <c r="AB91" s="45">
        <v>46094</v>
      </c>
      <c r="AC91" s="45"/>
      <c r="AD91" s="46" t="e">
        <f>IF(ISNA(VLOOKUP(D91,#REF!,5,0)),0,VLOOKUP(D91,#REF!,5,0))</f>
        <v>#REF!</v>
      </c>
      <c r="AE91" s="46" t="e">
        <f t="shared" si="8"/>
        <v>#REF!</v>
      </c>
      <c r="AF91" s="45">
        <v>46099</v>
      </c>
      <c r="AG91" s="33">
        <f t="shared" si="9"/>
        <v>48</v>
      </c>
      <c r="AH91" s="45">
        <v>46114</v>
      </c>
      <c r="AI91" s="39">
        <v>440</v>
      </c>
      <c r="AJ91" s="56">
        <f t="shared" si="11"/>
        <v>15</v>
      </c>
      <c r="AK91" s="39"/>
      <c r="AL91" s="35"/>
      <c r="AM91" s="34"/>
      <c r="AN91" s="34"/>
      <c r="AO91" s="39"/>
      <c r="AP91" s="47"/>
      <c r="AQ91" s="47"/>
      <c r="AR91" s="47"/>
      <c r="AS91" s="47"/>
    </row>
    <row r="92" spans="1:45" ht="12" customHeight="1" x14ac:dyDescent="0.25">
      <c r="A92" s="33">
        <v>91</v>
      </c>
      <c r="B92" s="34"/>
      <c r="C92" s="34" t="s">
        <v>348</v>
      </c>
      <c r="D92" s="35" t="s">
        <v>349</v>
      </c>
      <c r="E92" s="34" t="s">
        <v>71</v>
      </c>
      <c r="F92" s="34" t="s">
        <v>72</v>
      </c>
      <c r="G92" s="16" t="s">
        <v>97</v>
      </c>
      <c r="H92" s="34">
        <v>120</v>
      </c>
      <c r="I92" s="34" t="s">
        <v>54</v>
      </c>
      <c r="J92" s="34" t="s">
        <v>255</v>
      </c>
      <c r="K92" s="35" t="s">
        <v>107</v>
      </c>
      <c r="L92" s="36" t="e">
        <f>VLOOKUP(G92,#REF!,4,0)</f>
        <v>#REF!</v>
      </c>
      <c r="M92" s="37" t="e">
        <f>_xlfn.IFNA(VLOOKUP(G92,#REF!,2,0),"")</f>
        <v>#REF!</v>
      </c>
      <c r="N92" s="38" t="e">
        <f>_xlfn.IFNA(VLOOKUP(G92,#REF!,3,0),"")</f>
        <v>#REF!</v>
      </c>
      <c r="O92" s="39">
        <v>3</v>
      </c>
      <c r="P92" s="67">
        <v>0.14299999999999999</v>
      </c>
      <c r="Q92" s="39" t="s">
        <v>420</v>
      </c>
      <c r="R92" s="34">
        <v>750</v>
      </c>
      <c r="S92" s="48">
        <f>SUMIF(C:C,C91,T:T)</f>
        <v>549.99999999999989</v>
      </c>
      <c r="T92" s="40">
        <v>54.999999999999986</v>
      </c>
      <c r="U92" s="41">
        <f t="shared" si="13"/>
        <v>162.24999999999997</v>
      </c>
      <c r="V92" s="42">
        <f t="shared" si="7"/>
        <v>1.3520833333333331</v>
      </c>
      <c r="W92" s="43">
        <f t="shared" si="10"/>
        <v>0.20180348258706463</v>
      </c>
      <c r="X92" s="38"/>
      <c r="Y92" s="38"/>
      <c r="Z92" s="44" t="s">
        <v>431</v>
      </c>
      <c r="AA92" s="45">
        <v>46051</v>
      </c>
      <c r="AB92" s="45">
        <v>46094</v>
      </c>
      <c r="AC92" s="45"/>
      <c r="AD92" s="46" t="e">
        <f>IF(ISNA(VLOOKUP(D92,#REF!,5,0)),0,VLOOKUP(D92,#REF!,5,0))</f>
        <v>#REF!</v>
      </c>
      <c r="AE92" s="46" t="e">
        <f t="shared" si="8"/>
        <v>#REF!</v>
      </c>
      <c r="AF92" s="45">
        <v>46099</v>
      </c>
      <c r="AG92" s="33">
        <f t="shared" si="9"/>
        <v>48</v>
      </c>
      <c r="AH92" s="45">
        <v>46114</v>
      </c>
      <c r="AI92" s="39">
        <v>120</v>
      </c>
      <c r="AJ92" s="56">
        <f t="shared" si="11"/>
        <v>15</v>
      </c>
      <c r="AK92" s="39"/>
      <c r="AL92" s="35"/>
      <c r="AM92" s="34"/>
      <c r="AN92" s="34"/>
      <c r="AO92" s="39"/>
      <c r="AP92" s="47"/>
      <c r="AQ92" s="47"/>
      <c r="AR92" s="47"/>
      <c r="AS92" s="47"/>
    </row>
    <row r="93" spans="1:45" ht="12" customHeight="1" x14ac:dyDescent="0.25">
      <c r="A93" s="33">
        <v>92</v>
      </c>
      <c r="B93" s="34"/>
      <c r="C93" s="34" t="s">
        <v>348</v>
      </c>
      <c r="D93" s="35" t="s">
        <v>349</v>
      </c>
      <c r="E93" s="34" t="s">
        <v>71</v>
      </c>
      <c r="F93" s="34" t="s">
        <v>72</v>
      </c>
      <c r="G93" s="16" t="s">
        <v>65</v>
      </c>
      <c r="H93" s="34">
        <v>320</v>
      </c>
      <c r="I93" s="34" t="s">
        <v>54</v>
      </c>
      <c r="J93" s="34" t="s">
        <v>255</v>
      </c>
      <c r="K93" s="35" t="s">
        <v>107</v>
      </c>
      <c r="L93" s="36" t="e">
        <f>VLOOKUP(G93,#REF!,4,0)</f>
        <v>#REF!</v>
      </c>
      <c r="M93" s="37" t="e">
        <f>_xlfn.IFNA(VLOOKUP(G93,#REF!,2,0),"")</f>
        <v>#REF!</v>
      </c>
      <c r="N93" s="38" t="e">
        <f>_xlfn.IFNA(VLOOKUP(G93,#REF!,3,0),"")</f>
        <v>#REF!</v>
      </c>
      <c r="O93" s="39">
        <v>8</v>
      </c>
      <c r="P93" s="67">
        <v>0.3813333333333333</v>
      </c>
      <c r="Q93" s="39" t="s">
        <v>420</v>
      </c>
      <c r="R93" s="34">
        <v>750</v>
      </c>
      <c r="S93" s="38"/>
      <c r="T93" s="40">
        <v>146.66666666666663</v>
      </c>
      <c r="U93" s="41">
        <f t="shared" si="13"/>
        <v>432.66666666666663</v>
      </c>
      <c r="V93" s="42">
        <f t="shared" si="7"/>
        <v>1.3520833333333333</v>
      </c>
      <c r="W93" s="43">
        <f t="shared" si="10"/>
        <v>0.20180348258706465</v>
      </c>
      <c r="X93" s="38"/>
      <c r="Y93" s="38"/>
      <c r="Z93" s="44" t="s">
        <v>431</v>
      </c>
      <c r="AA93" s="45">
        <v>46051</v>
      </c>
      <c r="AB93" s="45">
        <v>46094</v>
      </c>
      <c r="AC93" s="45"/>
      <c r="AD93" s="46" t="e">
        <f>IF(ISNA(VLOOKUP(D93,#REF!,5,0)),0,VLOOKUP(D93,#REF!,5,0))</f>
        <v>#REF!</v>
      </c>
      <c r="AE93" s="46" t="e">
        <f t="shared" si="8"/>
        <v>#REF!</v>
      </c>
      <c r="AF93" s="45">
        <v>46099</v>
      </c>
      <c r="AG93" s="33">
        <f t="shared" si="9"/>
        <v>48</v>
      </c>
      <c r="AH93" s="45">
        <v>46114</v>
      </c>
      <c r="AI93" s="39">
        <v>320</v>
      </c>
      <c r="AJ93" s="56">
        <f t="shared" si="11"/>
        <v>15</v>
      </c>
      <c r="AK93" s="39"/>
      <c r="AL93" s="35"/>
      <c r="AM93" s="34"/>
      <c r="AN93" s="34"/>
      <c r="AO93" s="39"/>
      <c r="AP93" s="47"/>
      <c r="AQ93" s="47"/>
      <c r="AR93" s="47"/>
      <c r="AS93" s="47"/>
    </row>
    <row r="94" spans="1:45" ht="12" customHeight="1" x14ac:dyDescent="0.25">
      <c r="A94" s="33">
        <v>93</v>
      </c>
      <c r="B94" s="34"/>
      <c r="C94" s="34" t="s">
        <v>348</v>
      </c>
      <c r="D94" s="35" t="s">
        <v>349</v>
      </c>
      <c r="E94" s="34" t="s">
        <v>71</v>
      </c>
      <c r="F94" s="34" t="s">
        <v>72</v>
      </c>
      <c r="G94" s="16" t="s">
        <v>68</v>
      </c>
      <c r="H94" s="34">
        <v>180</v>
      </c>
      <c r="I94" s="34" t="s">
        <v>54</v>
      </c>
      <c r="J94" s="34" t="s">
        <v>255</v>
      </c>
      <c r="K94" s="35" t="s">
        <v>107</v>
      </c>
      <c r="L94" s="36" t="e">
        <f>VLOOKUP(G94,#REF!,4,0)</f>
        <v>#REF!</v>
      </c>
      <c r="M94" s="37" t="e">
        <f>_xlfn.IFNA(VLOOKUP(G94,#REF!,2,0),"")</f>
        <v>#REF!</v>
      </c>
      <c r="N94" s="38" t="e">
        <f>_xlfn.IFNA(VLOOKUP(G94,#REF!,3,0),"")</f>
        <v>#REF!</v>
      </c>
      <c r="O94" s="39">
        <v>6</v>
      </c>
      <c r="P94" s="67">
        <v>0.28599999999999998</v>
      </c>
      <c r="Q94" s="39" t="s">
        <v>420</v>
      </c>
      <c r="R94" s="34">
        <v>750</v>
      </c>
      <c r="S94" s="38"/>
      <c r="T94" s="40">
        <v>109.99999999999997</v>
      </c>
      <c r="U94" s="41">
        <f t="shared" si="13"/>
        <v>324.49999999999994</v>
      </c>
      <c r="V94" s="42">
        <f t="shared" si="7"/>
        <v>1.8027777777777774</v>
      </c>
      <c r="W94" s="43">
        <f t="shared" si="10"/>
        <v>0.26907131011608615</v>
      </c>
      <c r="X94" s="38"/>
      <c r="Y94" s="38"/>
      <c r="Z94" s="44" t="s">
        <v>431</v>
      </c>
      <c r="AA94" s="45">
        <v>46051</v>
      </c>
      <c r="AB94" s="45">
        <v>46094</v>
      </c>
      <c r="AC94" s="45"/>
      <c r="AD94" s="46" t="e">
        <f>IF(ISNA(VLOOKUP(D94,#REF!,5,0)),0,VLOOKUP(D94,#REF!,5,0))</f>
        <v>#REF!</v>
      </c>
      <c r="AE94" s="46" t="e">
        <f t="shared" si="8"/>
        <v>#REF!</v>
      </c>
      <c r="AF94" s="45">
        <v>46099</v>
      </c>
      <c r="AG94" s="33">
        <f t="shared" si="9"/>
        <v>48</v>
      </c>
      <c r="AH94" s="45">
        <v>46114</v>
      </c>
      <c r="AI94" s="39">
        <v>180</v>
      </c>
      <c r="AJ94" s="56">
        <f t="shared" si="11"/>
        <v>15</v>
      </c>
      <c r="AK94" s="39"/>
      <c r="AL94" s="35"/>
      <c r="AM94" s="34"/>
      <c r="AN94" s="34"/>
      <c r="AO94" s="39"/>
      <c r="AP94" s="47"/>
      <c r="AQ94" s="47"/>
      <c r="AR94" s="47"/>
      <c r="AS94" s="47"/>
    </row>
    <row r="95" spans="1:45" ht="12" customHeight="1" x14ac:dyDescent="0.25">
      <c r="A95" s="33">
        <v>94</v>
      </c>
      <c r="B95" s="34"/>
      <c r="C95" s="34" t="s">
        <v>348</v>
      </c>
      <c r="D95" s="35" t="s">
        <v>349</v>
      </c>
      <c r="E95" s="34" t="s">
        <v>71</v>
      </c>
      <c r="F95" s="34" t="s">
        <v>72</v>
      </c>
      <c r="G95" s="16" t="s">
        <v>69</v>
      </c>
      <c r="H95" s="34">
        <v>60</v>
      </c>
      <c r="I95" s="34" t="s">
        <v>54</v>
      </c>
      <c r="J95" s="34" t="s">
        <v>255</v>
      </c>
      <c r="K95" s="35" t="s">
        <v>107</v>
      </c>
      <c r="L95" s="36" t="e">
        <f>VLOOKUP(G95,#REF!,4,0)</f>
        <v>#REF!</v>
      </c>
      <c r="M95" s="37" t="e">
        <f>_xlfn.IFNA(VLOOKUP(G95,#REF!,2,0),"")</f>
        <v>#REF!</v>
      </c>
      <c r="N95" s="38" t="e">
        <f>_xlfn.IFNA(VLOOKUP(G95,#REF!,3,0),"")</f>
        <v>#REF!</v>
      </c>
      <c r="O95" s="39">
        <v>2</v>
      </c>
      <c r="P95" s="67">
        <v>9.5333333333333325E-2</v>
      </c>
      <c r="Q95" s="39" t="s">
        <v>420</v>
      </c>
      <c r="R95" s="34">
        <v>750</v>
      </c>
      <c r="S95" s="38"/>
      <c r="T95" s="40">
        <v>36.666666666666657</v>
      </c>
      <c r="U95" s="41">
        <f t="shared" si="13"/>
        <v>108.16666666666666</v>
      </c>
      <c r="V95" s="42">
        <f t="shared" si="7"/>
        <v>1.8027777777777776</v>
      </c>
      <c r="W95" s="43">
        <f t="shared" si="10"/>
        <v>0.2690713101160862</v>
      </c>
      <c r="X95" s="38"/>
      <c r="Y95" s="38"/>
      <c r="Z95" s="44" t="s">
        <v>431</v>
      </c>
      <c r="AA95" s="45">
        <v>46051</v>
      </c>
      <c r="AB95" s="45">
        <v>46094</v>
      </c>
      <c r="AC95" s="45"/>
      <c r="AD95" s="46" t="e">
        <f>IF(ISNA(VLOOKUP(D95,#REF!,5,0)),0,VLOOKUP(D95,#REF!,5,0))</f>
        <v>#REF!</v>
      </c>
      <c r="AE95" s="46" t="e">
        <f t="shared" si="8"/>
        <v>#REF!</v>
      </c>
      <c r="AF95" s="45">
        <v>46099</v>
      </c>
      <c r="AG95" s="33">
        <f t="shared" si="9"/>
        <v>48</v>
      </c>
      <c r="AH95" s="45">
        <v>46114</v>
      </c>
      <c r="AI95" s="39">
        <v>60</v>
      </c>
      <c r="AJ95" s="56">
        <f t="shared" si="11"/>
        <v>15</v>
      </c>
      <c r="AK95" s="39"/>
      <c r="AL95" s="35"/>
      <c r="AM95" s="34"/>
      <c r="AN95" s="34"/>
      <c r="AO95" s="39"/>
      <c r="AP95" s="47"/>
      <c r="AQ95" s="47"/>
      <c r="AR95" s="47"/>
      <c r="AS95" s="47"/>
    </row>
    <row r="96" spans="1:45" ht="12" customHeight="1" x14ac:dyDescent="0.25">
      <c r="A96" s="33">
        <v>95</v>
      </c>
      <c r="B96" s="34"/>
      <c r="C96" s="34" t="s">
        <v>350</v>
      </c>
      <c r="D96" s="35" t="s">
        <v>351</v>
      </c>
      <c r="E96" s="34" t="s">
        <v>58</v>
      </c>
      <c r="F96" s="34" t="s">
        <v>0</v>
      </c>
      <c r="G96" s="16" t="s">
        <v>285</v>
      </c>
      <c r="H96" s="34">
        <v>390</v>
      </c>
      <c r="I96" s="34" t="s">
        <v>54</v>
      </c>
      <c r="J96" s="34" t="s">
        <v>3</v>
      </c>
      <c r="K96" s="35" t="s">
        <v>9</v>
      </c>
      <c r="L96" s="36" t="e">
        <f>VLOOKUP(G96,#REF!,4,0)</f>
        <v>#REF!</v>
      </c>
      <c r="M96" s="37" t="e">
        <f>_xlfn.IFNA(VLOOKUP(G96,#REF!,2,0),"")</f>
        <v>#REF!</v>
      </c>
      <c r="N96" s="38" t="e">
        <f>_xlfn.IFNA(VLOOKUP(G96,#REF!,3,0),"")</f>
        <v>#REF!</v>
      </c>
      <c r="O96" s="39">
        <v>13</v>
      </c>
      <c r="P96" s="67">
        <v>194.69</v>
      </c>
      <c r="Q96" s="39" t="s">
        <v>10</v>
      </c>
      <c r="R96" s="34">
        <v>3.9</v>
      </c>
      <c r="S96" s="38">
        <v>200</v>
      </c>
      <c r="T96" s="40">
        <v>11.403508771929825</v>
      </c>
      <c r="U96" s="41">
        <f t="shared" si="13"/>
        <v>770.6945087719298</v>
      </c>
      <c r="V96" s="42">
        <f t="shared" si="7"/>
        <v>1.9761397660818714</v>
      </c>
      <c r="W96" s="43">
        <f t="shared" si="10"/>
        <v>0.29494623374356288</v>
      </c>
      <c r="X96" s="38"/>
      <c r="Y96" s="38"/>
      <c r="Z96" s="44"/>
      <c r="AA96" s="45">
        <v>46051</v>
      </c>
      <c r="AB96" s="45">
        <v>46075</v>
      </c>
      <c r="AC96" s="45"/>
      <c r="AD96" s="46" t="e">
        <f>IF(ISNA(VLOOKUP(D96,#REF!,5,0)),0,VLOOKUP(D96,#REF!,5,0))</f>
        <v>#REF!</v>
      </c>
      <c r="AE96" s="46" t="e">
        <f t="shared" si="8"/>
        <v>#REF!</v>
      </c>
      <c r="AF96" s="45">
        <v>46084</v>
      </c>
      <c r="AG96" s="33">
        <f t="shared" si="9"/>
        <v>33</v>
      </c>
      <c r="AH96" s="45">
        <v>46116</v>
      </c>
      <c r="AI96" s="39">
        <v>390</v>
      </c>
      <c r="AJ96" s="56">
        <f t="shared" si="11"/>
        <v>32</v>
      </c>
      <c r="AK96" s="39"/>
      <c r="AL96" s="35"/>
      <c r="AM96" s="34"/>
      <c r="AN96" s="34"/>
      <c r="AO96" s="39"/>
      <c r="AP96" s="47"/>
      <c r="AQ96" s="47"/>
      <c r="AR96" s="47"/>
      <c r="AS96" s="47"/>
    </row>
    <row r="97" spans="1:45" ht="12" customHeight="1" x14ac:dyDescent="0.25">
      <c r="A97" s="33">
        <v>96</v>
      </c>
      <c r="B97" s="34"/>
      <c r="C97" s="34" t="s">
        <v>350</v>
      </c>
      <c r="D97" s="35" t="s">
        <v>352</v>
      </c>
      <c r="E97" s="34" t="s">
        <v>58</v>
      </c>
      <c r="F97" s="34" t="s">
        <v>0</v>
      </c>
      <c r="G97" s="16" t="s">
        <v>64</v>
      </c>
      <c r="H97" s="34">
        <v>1000</v>
      </c>
      <c r="I97" s="34" t="s">
        <v>54</v>
      </c>
      <c r="J97" s="34" t="s">
        <v>3</v>
      </c>
      <c r="K97" s="35" t="s">
        <v>9</v>
      </c>
      <c r="L97" s="36" t="e">
        <f>VLOOKUP(G97,#REF!,4,0)</f>
        <v>#REF!</v>
      </c>
      <c r="M97" s="37" t="e">
        <f>_xlfn.IFNA(VLOOKUP(G97,#REF!,2,0),"")</f>
        <v>#REF!</v>
      </c>
      <c r="N97" s="38" t="e">
        <f>_xlfn.IFNA(VLOOKUP(G97,#REF!,3,0),"")</f>
        <v>#REF!</v>
      </c>
      <c r="O97" s="39">
        <v>25</v>
      </c>
      <c r="P97" s="67">
        <v>374.40517241379314</v>
      </c>
      <c r="Q97" s="39" t="s">
        <v>10</v>
      </c>
      <c r="R97" s="34">
        <v>3.9</v>
      </c>
      <c r="S97" s="48">
        <f>SUMIF(C:C,C96,T:T)</f>
        <v>199.99999999999997</v>
      </c>
      <c r="T97" s="40">
        <v>21.92982456140351</v>
      </c>
      <c r="U97" s="41">
        <f t="shared" si="13"/>
        <v>1482.1099969751967</v>
      </c>
      <c r="V97" s="42">
        <f t="shared" si="7"/>
        <v>1.4821099969751967</v>
      </c>
      <c r="W97" s="43">
        <f t="shared" si="10"/>
        <v>0.22121044730973086</v>
      </c>
      <c r="X97" s="38"/>
      <c r="Y97" s="38"/>
      <c r="Z97" s="44"/>
      <c r="AA97" s="45">
        <v>46051</v>
      </c>
      <c r="AB97" s="45">
        <v>46075</v>
      </c>
      <c r="AC97" s="45"/>
      <c r="AD97" s="46" t="e">
        <f>IF(ISNA(VLOOKUP(D97,#REF!,5,0)),0,VLOOKUP(D97,#REF!,5,0))</f>
        <v>#REF!</v>
      </c>
      <c r="AE97" s="46" t="e">
        <f t="shared" si="8"/>
        <v>#REF!</v>
      </c>
      <c r="AF97" s="45">
        <v>46084</v>
      </c>
      <c r="AG97" s="33">
        <f t="shared" si="9"/>
        <v>33</v>
      </c>
      <c r="AH97" s="45">
        <v>46119</v>
      </c>
      <c r="AI97" s="39">
        <v>1000</v>
      </c>
      <c r="AJ97" s="56">
        <f t="shared" si="11"/>
        <v>35</v>
      </c>
      <c r="AK97" s="39"/>
      <c r="AL97" s="35"/>
      <c r="AM97" s="34"/>
      <c r="AN97" s="34"/>
      <c r="AO97" s="39"/>
      <c r="AP97" s="47"/>
      <c r="AQ97" s="47"/>
      <c r="AR97" s="47"/>
      <c r="AS97" s="47"/>
    </row>
    <row r="98" spans="1:45" ht="12" customHeight="1" x14ac:dyDescent="0.25">
      <c r="A98" s="33">
        <v>97</v>
      </c>
      <c r="B98" s="34"/>
      <c r="C98" s="34" t="s">
        <v>350</v>
      </c>
      <c r="D98" s="35" t="s">
        <v>352</v>
      </c>
      <c r="E98" s="34" t="s">
        <v>58</v>
      </c>
      <c r="F98" s="34" t="s">
        <v>0</v>
      </c>
      <c r="G98" s="16" t="s">
        <v>149</v>
      </c>
      <c r="H98" s="34">
        <v>120</v>
      </c>
      <c r="I98" s="34" t="s">
        <v>54</v>
      </c>
      <c r="J98" s="34" t="s">
        <v>3</v>
      </c>
      <c r="K98" s="35" t="s">
        <v>9</v>
      </c>
      <c r="L98" s="36" t="e">
        <f>VLOOKUP(G98,#REF!,4,0)</f>
        <v>#REF!</v>
      </c>
      <c r="M98" s="37" t="e">
        <f>_xlfn.IFNA(VLOOKUP(G98,#REF!,2,0),"")</f>
        <v>#REF!</v>
      </c>
      <c r="N98" s="38" t="e">
        <f>_xlfn.IFNA(VLOOKUP(G98,#REF!,3,0),"")</f>
        <v>#REF!</v>
      </c>
      <c r="O98" s="39">
        <v>3</v>
      </c>
      <c r="P98" s="67">
        <v>44.928620689655176</v>
      </c>
      <c r="Q98" s="39" t="s">
        <v>10</v>
      </c>
      <c r="R98" s="34">
        <v>3.9</v>
      </c>
      <c r="S98" s="38"/>
      <c r="T98" s="40">
        <v>2.6315789473684212</v>
      </c>
      <c r="U98" s="41">
        <f t="shared" si="13"/>
        <v>177.85319963702361</v>
      </c>
      <c r="V98" s="42">
        <f t="shared" si="7"/>
        <v>1.4821099969751967</v>
      </c>
      <c r="W98" s="43">
        <f t="shared" si="10"/>
        <v>0.22121044730973086</v>
      </c>
      <c r="X98" s="38"/>
      <c r="Y98" s="38"/>
      <c r="Z98" s="44"/>
      <c r="AA98" s="45">
        <v>46051</v>
      </c>
      <c r="AB98" s="45">
        <v>46075</v>
      </c>
      <c r="AC98" s="45"/>
      <c r="AD98" s="46" t="e">
        <f>IF(ISNA(VLOOKUP(D98,#REF!,5,0)),0,VLOOKUP(D98,#REF!,5,0))</f>
        <v>#REF!</v>
      </c>
      <c r="AE98" s="46" t="e">
        <f t="shared" si="8"/>
        <v>#REF!</v>
      </c>
      <c r="AF98" s="45">
        <v>46084</v>
      </c>
      <c r="AG98" s="33">
        <f t="shared" si="9"/>
        <v>33</v>
      </c>
      <c r="AH98" s="45">
        <v>46119</v>
      </c>
      <c r="AI98" s="39">
        <v>120</v>
      </c>
      <c r="AJ98" s="56">
        <f t="shared" si="11"/>
        <v>35</v>
      </c>
      <c r="AK98" s="39"/>
      <c r="AL98" s="35"/>
      <c r="AM98" s="34"/>
      <c r="AN98" s="34"/>
      <c r="AO98" s="39"/>
      <c r="AP98" s="47"/>
      <c r="AQ98" s="47"/>
      <c r="AR98" s="47"/>
      <c r="AS98" s="47"/>
    </row>
    <row r="99" spans="1:45" ht="12" customHeight="1" x14ac:dyDescent="0.25">
      <c r="A99" s="33">
        <v>98</v>
      </c>
      <c r="B99" s="34"/>
      <c r="C99" s="34" t="s">
        <v>350</v>
      </c>
      <c r="D99" s="35" t="s">
        <v>352</v>
      </c>
      <c r="E99" s="34" t="s">
        <v>58</v>
      </c>
      <c r="F99" s="34" t="s">
        <v>0</v>
      </c>
      <c r="G99" s="16" t="s">
        <v>99</v>
      </c>
      <c r="H99" s="34">
        <v>200</v>
      </c>
      <c r="I99" s="34" t="s">
        <v>54</v>
      </c>
      <c r="J99" s="34" t="s">
        <v>3</v>
      </c>
      <c r="K99" s="35" t="s">
        <v>9</v>
      </c>
      <c r="L99" s="36" t="e">
        <f>VLOOKUP(G99,#REF!,4,0)</f>
        <v>#REF!</v>
      </c>
      <c r="M99" s="37" t="e">
        <f>_xlfn.IFNA(VLOOKUP(G99,#REF!,2,0),"")</f>
        <v>#REF!</v>
      </c>
      <c r="N99" s="38" t="e">
        <f>_xlfn.IFNA(VLOOKUP(G99,#REF!,3,0),"")</f>
        <v>#REF!</v>
      </c>
      <c r="O99" s="39">
        <v>1</v>
      </c>
      <c r="P99" s="67">
        <v>14.976206896551725</v>
      </c>
      <c r="Q99" s="39" t="s">
        <v>10</v>
      </c>
      <c r="R99" s="34">
        <v>3.9</v>
      </c>
      <c r="S99" s="38"/>
      <c r="T99" s="40">
        <v>0.8771929824561403</v>
      </c>
      <c r="U99" s="41">
        <f t="shared" si="13"/>
        <v>59.284399879007864</v>
      </c>
      <c r="V99" s="42">
        <f t="shared" si="7"/>
        <v>0.29642199939503933</v>
      </c>
      <c r="W99" s="43">
        <f t="shared" si="10"/>
        <v>4.4242089461946167E-2</v>
      </c>
      <c r="X99" s="38"/>
      <c r="Y99" s="38"/>
      <c r="Z99" s="44"/>
      <c r="AA99" s="45">
        <v>46051</v>
      </c>
      <c r="AB99" s="45">
        <v>46075</v>
      </c>
      <c r="AC99" s="45"/>
      <c r="AD99" s="46" t="e">
        <f>IF(ISNA(VLOOKUP(D99,#REF!,5,0)),0,VLOOKUP(D99,#REF!,5,0))</f>
        <v>#REF!</v>
      </c>
      <c r="AE99" s="46" t="e">
        <f t="shared" si="8"/>
        <v>#REF!</v>
      </c>
      <c r="AF99" s="45">
        <v>46084</v>
      </c>
      <c r="AG99" s="33">
        <f t="shared" si="9"/>
        <v>33</v>
      </c>
      <c r="AH99" s="45">
        <v>46119</v>
      </c>
      <c r="AI99" s="39">
        <v>198</v>
      </c>
      <c r="AJ99" s="56">
        <f t="shared" si="11"/>
        <v>35</v>
      </c>
      <c r="AK99" s="39"/>
      <c r="AL99" s="35"/>
      <c r="AM99" s="34"/>
      <c r="AN99" s="34"/>
      <c r="AO99" s="39"/>
      <c r="AP99" s="47"/>
      <c r="AQ99" s="47"/>
      <c r="AR99" s="47"/>
      <c r="AS99" s="47"/>
    </row>
    <row r="100" spans="1:45" ht="12" customHeight="1" x14ac:dyDescent="0.25">
      <c r="A100" s="33">
        <v>99</v>
      </c>
      <c r="B100" s="34"/>
      <c r="C100" s="34" t="s">
        <v>350</v>
      </c>
      <c r="D100" s="35" t="s">
        <v>353</v>
      </c>
      <c r="E100" s="34" t="s">
        <v>61</v>
      </c>
      <c r="F100" s="34" t="s">
        <v>0</v>
      </c>
      <c r="G100" s="16" t="s">
        <v>354</v>
      </c>
      <c r="H100" s="34">
        <v>300</v>
      </c>
      <c r="I100" s="34" t="s">
        <v>54</v>
      </c>
      <c r="J100" s="34" t="s">
        <v>3</v>
      </c>
      <c r="K100" s="35" t="s">
        <v>22</v>
      </c>
      <c r="L100" s="36" t="e">
        <f>VLOOKUP(G100,#REF!,4,0)</f>
        <v>#REF!</v>
      </c>
      <c r="M100" s="37" t="e">
        <f>_xlfn.IFNA(VLOOKUP(G100,#REF!,2,0),"")</f>
        <v>#REF!</v>
      </c>
      <c r="N100" s="38" t="e">
        <f>_xlfn.IFNA(VLOOKUP(G100,#REF!,3,0),"")</f>
        <v>#REF!</v>
      </c>
      <c r="O100" s="39">
        <v>10</v>
      </c>
      <c r="P100" s="67">
        <v>145.7138888888889</v>
      </c>
      <c r="Q100" s="39" t="s">
        <v>10</v>
      </c>
      <c r="R100" s="34">
        <v>3.6</v>
      </c>
      <c r="S100" s="38"/>
      <c r="T100" s="40">
        <v>8.7719298245614041</v>
      </c>
      <c r="U100" s="41">
        <f t="shared" si="13"/>
        <v>533.34192982456148</v>
      </c>
      <c r="V100" s="42">
        <f t="shared" si="7"/>
        <v>1.7778064327485383</v>
      </c>
      <c r="W100" s="43">
        <f t="shared" si="10"/>
        <v>0.26534424369381171</v>
      </c>
      <c r="X100" s="38"/>
      <c r="Y100" s="38"/>
      <c r="Z100" s="44"/>
      <c r="AA100" s="45">
        <v>46051</v>
      </c>
      <c r="AB100" s="45">
        <v>46075</v>
      </c>
      <c r="AC100" s="45"/>
      <c r="AD100" s="46" t="e">
        <f>IF(ISNA(VLOOKUP(D100,#REF!,5,0)),0,VLOOKUP(D100,#REF!,5,0))</f>
        <v>#REF!</v>
      </c>
      <c r="AE100" s="46" t="e">
        <f t="shared" si="8"/>
        <v>#REF!</v>
      </c>
      <c r="AF100" s="45">
        <v>46083</v>
      </c>
      <c r="AG100" s="33">
        <f t="shared" si="9"/>
        <v>32</v>
      </c>
      <c r="AH100" s="45">
        <v>46119</v>
      </c>
      <c r="AI100" s="39">
        <v>300</v>
      </c>
      <c r="AJ100" s="56">
        <f t="shared" si="11"/>
        <v>36</v>
      </c>
      <c r="AK100" s="39"/>
      <c r="AL100" s="35"/>
      <c r="AM100" s="34"/>
      <c r="AN100" s="34"/>
      <c r="AO100" s="39"/>
      <c r="AP100" s="47"/>
      <c r="AQ100" s="47"/>
      <c r="AR100" s="47"/>
      <c r="AS100" s="47"/>
    </row>
    <row r="101" spans="1:45" ht="12" customHeight="1" x14ac:dyDescent="0.25">
      <c r="A101" s="33">
        <v>100</v>
      </c>
      <c r="B101" s="34"/>
      <c r="C101" s="34" t="s">
        <v>350</v>
      </c>
      <c r="D101" s="35" t="s">
        <v>353</v>
      </c>
      <c r="E101" s="34" t="s">
        <v>61</v>
      </c>
      <c r="F101" s="34" t="s">
        <v>0</v>
      </c>
      <c r="G101" s="16" t="s">
        <v>355</v>
      </c>
      <c r="H101" s="34">
        <v>180</v>
      </c>
      <c r="I101" s="34" t="s">
        <v>54</v>
      </c>
      <c r="J101" s="34" t="s">
        <v>3</v>
      </c>
      <c r="K101" s="35" t="s">
        <v>22</v>
      </c>
      <c r="L101" s="36" t="e">
        <f>VLOOKUP(G101,#REF!,4,0)</f>
        <v>#REF!</v>
      </c>
      <c r="M101" s="37" t="e">
        <f>_xlfn.IFNA(VLOOKUP(G101,#REF!,2,0),"")</f>
        <v>#REF!</v>
      </c>
      <c r="N101" s="38" t="e">
        <f>_xlfn.IFNA(VLOOKUP(G101,#REF!,3,0),"")</f>
        <v>#REF!</v>
      </c>
      <c r="O101" s="39">
        <v>6</v>
      </c>
      <c r="P101" s="67">
        <v>87.428333333333342</v>
      </c>
      <c r="Q101" s="39" t="s">
        <v>10</v>
      </c>
      <c r="R101" s="34">
        <v>3.6</v>
      </c>
      <c r="S101" s="38"/>
      <c r="T101" s="40">
        <v>5.2631578947368425</v>
      </c>
      <c r="U101" s="41">
        <f t="shared" si="13"/>
        <v>320.00515789473684</v>
      </c>
      <c r="V101" s="42">
        <f t="shared" si="7"/>
        <v>1.7778064327485379</v>
      </c>
      <c r="W101" s="43">
        <f t="shared" si="10"/>
        <v>0.2653442436938116</v>
      </c>
      <c r="X101" s="38"/>
      <c r="Y101" s="38"/>
      <c r="Z101" s="44"/>
      <c r="AA101" s="45">
        <v>46051</v>
      </c>
      <c r="AB101" s="45">
        <v>46075</v>
      </c>
      <c r="AC101" s="45"/>
      <c r="AD101" s="46" t="e">
        <f>IF(ISNA(VLOOKUP(D101,#REF!,5,0)),0,VLOOKUP(D101,#REF!,5,0))</f>
        <v>#REF!</v>
      </c>
      <c r="AE101" s="46" t="e">
        <f t="shared" si="8"/>
        <v>#REF!</v>
      </c>
      <c r="AF101" s="45">
        <v>46083</v>
      </c>
      <c r="AG101" s="33">
        <f t="shared" si="9"/>
        <v>32</v>
      </c>
      <c r="AH101" s="45">
        <v>46119</v>
      </c>
      <c r="AI101" s="39">
        <v>180</v>
      </c>
      <c r="AJ101" s="56">
        <f t="shared" si="11"/>
        <v>36</v>
      </c>
      <c r="AK101" s="39"/>
      <c r="AL101" s="35"/>
      <c r="AM101" s="34"/>
      <c r="AN101" s="34"/>
      <c r="AO101" s="39"/>
      <c r="AP101" s="47"/>
      <c r="AQ101" s="47"/>
      <c r="AR101" s="47"/>
      <c r="AS101" s="47"/>
    </row>
    <row r="102" spans="1:45" ht="12" customHeight="1" x14ac:dyDescent="0.25">
      <c r="A102" s="33">
        <v>101</v>
      </c>
      <c r="B102" s="34"/>
      <c r="C102" s="34" t="s">
        <v>350</v>
      </c>
      <c r="D102" s="35" t="s">
        <v>353</v>
      </c>
      <c r="E102" s="34" t="s">
        <v>61</v>
      </c>
      <c r="F102" s="34" t="s">
        <v>0</v>
      </c>
      <c r="G102" s="16" t="s">
        <v>282</v>
      </c>
      <c r="H102" s="34">
        <v>600</v>
      </c>
      <c r="I102" s="34" t="s">
        <v>54</v>
      </c>
      <c r="J102" s="34" t="s">
        <v>3</v>
      </c>
      <c r="K102" s="35" t="s">
        <v>22</v>
      </c>
      <c r="L102" s="36" t="e">
        <f>VLOOKUP(G102,#REF!,4,0)</f>
        <v>#REF!</v>
      </c>
      <c r="M102" s="37" t="e">
        <f>_xlfn.IFNA(VLOOKUP(G102,#REF!,2,0),"")</f>
        <v>#REF!</v>
      </c>
      <c r="N102" s="38" t="e">
        <f>_xlfn.IFNA(VLOOKUP(G102,#REF!,3,0),"")</f>
        <v>#REF!</v>
      </c>
      <c r="O102" s="39">
        <v>20</v>
      </c>
      <c r="P102" s="67">
        <v>291.42777777777781</v>
      </c>
      <c r="Q102" s="39" t="s">
        <v>10</v>
      </c>
      <c r="R102" s="34">
        <v>3.6</v>
      </c>
      <c r="S102" s="38"/>
      <c r="T102" s="40">
        <v>17.543859649122808</v>
      </c>
      <c r="U102" s="41">
        <f t="shared" si="13"/>
        <v>1066.683859649123</v>
      </c>
      <c r="V102" s="42">
        <f t="shared" si="7"/>
        <v>1.7778064327485383</v>
      </c>
      <c r="W102" s="43">
        <f t="shared" si="10"/>
        <v>0.26534424369381171</v>
      </c>
      <c r="X102" s="38"/>
      <c r="Y102" s="38"/>
      <c r="Z102" s="44"/>
      <c r="AA102" s="45">
        <v>46051</v>
      </c>
      <c r="AB102" s="45">
        <v>46075</v>
      </c>
      <c r="AC102" s="45"/>
      <c r="AD102" s="46" t="e">
        <f>IF(ISNA(VLOOKUP(D102,#REF!,5,0)),0,VLOOKUP(D102,#REF!,5,0))</f>
        <v>#REF!</v>
      </c>
      <c r="AE102" s="46" t="e">
        <f t="shared" si="8"/>
        <v>#REF!</v>
      </c>
      <c r="AF102" s="45">
        <v>46083</v>
      </c>
      <c r="AG102" s="33">
        <f t="shared" si="9"/>
        <v>32</v>
      </c>
      <c r="AH102" s="45">
        <v>46119</v>
      </c>
      <c r="AI102" s="39">
        <v>564</v>
      </c>
      <c r="AJ102" s="56">
        <f t="shared" si="11"/>
        <v>36</v>
      </c>
      <c r="AK102" s="39"/>
      <c r="AL102" s="35"/>
      <c r="AM102" s="34"/>
      <c r="AN102" s="34"/>
      <c r="AO102" s="39"/>
      <c r="AP102" s="47"/>
      <c r="AQ102" s="47"/>
      <c r="AR102" s="47"/>
      <c r="AS102" s="47"/>
    </row>
    <row r="103" spans="1:45" ht="12" customHeight="1" x14ac:dyDescent="0.25">
      <c r="A103" s="33">
        <v>102</v>
      </c>
      <c r="B103" s="34"/>
      <c r="C103" s="34" t="s">
        <v>350</v>
      </c>
      <c r="D103" s="35" t="s">
        <v>356</v>
      </c>
      <c r="E103" s="34" t="s">
        <v>61</v>
      </c>
      <c r="F103" s="34" t="s">
        <v>0</v>
      </c>
      <c r="G103" s="16" t="s">
        <v>68</v>
      </c>
      <c r="H103" s="34">
        <v>510</v>
      </c>
      <c r="I103" s="34" t="s">
        <v>54</v>
      </c>
      <c r="J103" s="34" t="s">
        <v>3</v>
      </c>
      <c r="K103" s="35" t="s">
        <v>22</v>
      </c>
      <c r="L103" s="36" t="e">
        <f>VLOOKUP(G103,#REF!,4,0)</f>
        <v>#REF!</v>
      </c>
      <c r="M103" s="37" t="e">
        <f>_xlfn.IFNA(VLOOKUP(G103,#REF!,2,0),"")</f>
        <v>#REF!</v>
      </c>
      <c r="N103" s="38" t="e">
        <f>_xlfn.IFNA(VLOOKUP(G103,#REF!,3,0),"")</f>
        <v>#REF!</v>
      </c>
      <c r="O103" s="39">
        <v>17</v>
      </c>
      <c r="P103" s="67">
        <v>247.71463768115939</v>
      </c>
      <c r="Q103" s="39" t="s">
        <v>10</v>
      </c>
      <c r="R103" s="34">
        <v>3.6</v>
      </c>
      <c r="S103" s="38"/>
      <c r="T103" s="40">
        <v>14.912280701754385</v>
      </c>
      <c r="U103" s="41">
        <f t="shared" si="13"/>
        <v>906.68497635392828</v>
      </c>
      <c r="V103" s="42">
        <f t="shared" si="7"/>
        <v>1.7778136791253496</v>
      </c>
      <c r="W103" s="43">
        <f t="shared" si="10"/>
        <v>0.26534532524258947</v>
      </c>
      <c r="X103" s="38"/>
      <c r="Y103" s="38"/>
      <c r="Z103" s="44"/>
      <c r="AA103" s="45">
        <v>46051</v>
      </c>
      <c r="AB103" s="45">
        <v>46075</v>
      </c>
      <c r="AC103" s="45"/>
      <c r="AD103" s="46" t="e">
        <f>IF(ISNA(VLOOKUP(D103,#REF!,5,0)),0,VLOOKUP(D103,#REF!,5,0))</f>
        <v>#REF!</v>
      </c>
      <c r="AE103" s="46" t="e">
        <f t="shared" si="8"/>
        <v>#REF!</v>
      </c>
      <c r="AF103" s="45">
        <v>46083</v>
      </c>
      <c r="AG103" s="33">
        <f t="shared" si="9"/>
        <v>32</v>
      </c>
      <c r="AH103" s="45">
        <v>46117</v>
      </c>
      <c r="AI103" s="39">
        <v>512</v>
      </c>
      <c r="AJ103" s="56">
        <f t="shared" si="11"/>
        <v>34</v>
      </c>
      <c r="AK103" s="39"/>
      <c r="AL103" s="35"/>
      <c r="AM103" s="34"/>
      <c r="AN103" s="34"/>
      <c r="AO103" s="39"/>
      <c r="AP103" s="47"/>
      <c r="AQ103" s="47"/>
      <c r="AR103" s="47"/>
      <c r="AS103" s="47"/>
    </row>
    <row r="104" spans="1:45" ht="12" customHeight="1" x14ac:dyDescent="0.25">
      <c r="A104" s="33">
        <v>103</v>
      </c>
      <c r="B104" s="34"/>
      <c r="C104" s="34" t="s">
        <v>350</v>
      </c>
      <c r="D104" s="35" t="s">
        <v>356</v>
      </c>
      <c r="E104" s="34" t="s">
        <v>61</v>
      </c>
      <c r="F104" s="34" t="s">
        <v>0</v>
      </c>
      <c r="G104" s="16" t="s">
        <v>181</v>
      </c>
      <c r="H104" s="34">
        <v>90</v>
      </c>
      <c r="I104" s="34" t="s">
        <v>54</v>
      </c>
      <c r="J104" s="34" t="s">
        <v>3</v>
      </c>
      <c r="K104" s="35" t="s">
        <v>22</v>
      </c>
      <c r="L104" s="36" t="e">
        <f>VLOOKUP(G104,#REF!,4,0)</f>
        <v>#REF!</v>
      </c>
      <c r="M104" s="37" t="e">
        <f>_xlfn.IFNA(VLOOKUP(G104,#REF!,2,0),"")</f>
        <v>#REF!</v>
      </c>
      <c r="N104" s="38" t="e">
        <f>_xlfn.IFNA(VLOOKUP(G104,#REF!,3,0),"")</f>
        <v>#REF!</v>
      </c>
      <c r="O104" s="39">
        <v>3</v>
      </c>
      <c r="P104" s="67">
        <v>43.71434782608695</v>
      </c>
      <c r="Q104" s="39" t="s">
        <v>10</v>
      </c>
      <c r="R104" s="34">
        <v>3.6</v>
      </c>
      <c r="S104" s="38"/>
      <c r="T104" s="40">
        <v>2.6315789473684212</v>
      </c>
      <c r="U104" s="41">
        <f t="shared" si="13"/>
        <v>160.00323112128143</v>
      </c>
      <c r="V104" s="42">
        <f t="shared" si="7"/>
        <v>1.7778136791253492</v>
      </c>
      <c r="W104" s="43">
        <f t="shared" si="10"/>
        <v>0.26534532524258941</v>
      </c>
      <c r="X104" s="38"/>
      <c r="Y104" s="38"/>
      <c r="Z104" s="44"/>
      <c r="AA104" s="45">
        <v>46051</v>
      </c>
      <c r="AB104" s="45">
        <v>46075</v>
      </c>
      <c r="AC104" s="45"/>
      <c r="AD104" s="46" t="e">
        <f>IF(ISNA(VLOOKUP(D104,#REF!,5,0)),0,VLOOKUP(D104,#REF!,5,0))</f>
        <v>#REF!</v>
      </c>
      <c r="AE104" s="46" t="e">
        <f t="shared" si="8"/>
        <v>#REF!</v>
      </c>
      <c r="AF104" s="45">
        <v>46083</v>
      </c>
      <c r="AG104" s="33">
        <f t="shared" si="9"/>
        <v>32</v>
      </c>
      <c r="AH104" s="45">
        <v>46117</v>
      </c>
      <c r="AI104" s="39">
        <v>90</v>
      </c>
      <c r="AJ104" s="56">
        <f t="shared" si="11"/>
        <v>34</v>
      </c>
      <c r="AK104" s="39"/>
      <c r="AL104" s="35"/>
      <c r="AM104" s="34"/>
      <c r="AN104" s="34"/>
      <c r="AO104" s="39"/>
      <c r="AP104" s="47"/>
      <c r="AQ104" s="47"/>
      <c r="AR104" s="47"/>
      <c r="AS104" s="47"/>
    </row>
    <row r="105" spans="1:45" ht="12" customHeight="1" x14ac:dyDescent="0.25">
      <c r="A105" s="33">
        <v>104</v>
      </c>
      <c r="B105" s="34"/>
      <c r="C105" s="34" t="s">
        <v>350</v>
      </c>
      <c r="D105" s="35" t="s">
        <v>356</v>
      </c>
      <c r="E105" s="34" t="s">
        <v>61</v>
      </c>
      <c r="F105" s="34" t="s">
        <v>0</v>
      </c>
      <c r="G105" s="16" t="s">
        <v>242</v>
      </c>
      <c r="H105" s="34">
        <v>1000</v>
      </c>
      <c r="I105" s="34" t="s">
        <v>54</v>
      </c>
      <c r="J105" s="34" t="s">
        <v>3</v>
      </c>
      <c r="K105" s="35" t="s">
        <v>22</v>
      </c>
      <c r="L105" s="36" t="e">
        <f>VLOOKUP(G105,#REF!,4,0)</f>
        <v>#REF!</v>
      </c>
      <c r="M105" s="37" t="e">
        <f>_xlfn.IFNA(VLOOKUP(G105,#REF!,2,0),"")</f>
        <v>#REF!</v>
      </c>
      <c r="N105" s="38" t="e">
        <f>_xlfn.IFNA(VLOOKUP(G105,#REF!,3,0),"")</f>
        <v>#REF!</v>
      </c>
      <c r="O105" s="39">
        <v>25</v>
      </c>
      <c r="P105" s="67">
        <v>364.28623188405794</v>
      </c>
      <c r="Q105" s="39" t="s">
        <v>10</v>
      </c>
      <c r="R105" s="34">
        <v>3.6</v>
      </c>
      <c r="S105" s="38"/>
      <c r="T105" s="40">
        <v>21.92982456140351</v>
      </c>
      <c r="U105" s="41">
        <f t="shared" si="13"/>
        <v>1333.3602593440123</v>
      </c>
      <c r="V105" s="42">
        <f t="shared" si="7"/>
        <v>1.3333602593440124</v>
      </c>
      <c r="W105" s="43">
        <f t="shared" si="10"/>
        <v>0.19900899393194213</v>
      </c>
      <c r="X105" s="38"/>
      <c r="Y105" s="38"/>
      <c r="Z105" s="44"/>
      <c r="AA105" s="45">
        <v>46051</v>
      </c>
      <c r="AB105" s="45">
        <v>46075</v>
      </c>
      <c r="AC105" s="45"/>
      <c r="AD105" s="46" t="e">
        <f>IF(ISNA(VLOOKUP(D105,#REF!,5,0)),0,VLOOKUP(D105,#REF!,5,0))</f>
        <v>#REF!</v>
      </c>
      <c r="AE105" s="46" t="e">
        <f t="shared" si="8"/>
        <v>#REF!</v>
      </c>
      <c r="AF105" s="45">
        <v>46083</v>
      </c>
      <c r="AG105" s="33">
        <f t="shared" si="9"/>
        <v>32</v>
      </c>
      <c r="AH105" s="45">
        <v>46117</v>
      </c>
      <c r="AI105" s="39">
        <v>1004</v>
      </c>
      <c r="AJ105" s="56">
        <f t="shared" si="11"/>
        <v>34</v>
      </c>
      <c r="AK105" s="39"/>
      <c r="AL105" s="35"/>
      <c r="AM105" s="34"/>
      <c r="AN105" s="34"/>
      <c r="AO105" s="39"/>
      <c r="AP105" s="47"/>
      <c r="AQ105" s="47"/>
      <c r="AR105" s="47"/>
      <c r="AS105" s="47"/>
    </row>
    <row r="106" spans="1:45" ht="12" customHeight="1" x14ac:dyDescent="0.25">
      <c r="A106" s="33">
        <v>105</v>
      </c>
      <c r="B106" s="34"/>
      <c r="C106" s="34" t="s">
        <v>350</v>
      </c>
      <c r="D106" s="35" t="s">
        <v>356</v>
      </c>
      <c r="E106" s="34" t="s">
        <v>61</v>
      </c>
      <c r="F106" s="34" t="s">
        <v>0</v>
      </c>
      <c r="G106" s="16" t="s">
        <v>243</v>
      </c>
      <c r="H106" s="34">
        <v>400</v>
      </c>
      <c r="I106" s="34" t="s">
        <v>54</v>
      </c>
      <c r="J106" s="34" t="s">
        <v>3</v>
      </c>
      <c r="K106" s="35" t="s">
        <v>22</v>
      </c>
      <c r="L106" s="36" t="e">
        <f>VLOOKUP(G106,#REF!,4,0)</f>
        <v>#REF!</v>
      </c>
      <c r="M106" s="37" t="e">
        <f>_xlfn.IFNA(VLOOKUP(G106,#REF!,2,0),"")</f>
        <v>#REF!</v>
      </c>
      <c r="N106" s="38" t="e">
        <f>_xlfn.IFNA(VLOOKUP(G106,#REF!,3,0),"")</f>
        <v>#REF!</v>
      </c>
      <c r="O106" s="39">
        <v>10</v>
      </c>
      <c r="P106" s="67">
        <v>145.71449275362318</v>
      </c>
      <c r="Q106" s="39" t="s">
        <v>10</v>
      </c>
      <c r="R106" s="34">
        <v>3.6</v>
      </c>
      <c r="S106" s="38"/>
      <c r="T106" s="40">
        <v>8.7719298245614041</v>
      </c>
      <c r="U106" s="41">
        <f t="shared" si="13"/>
        <v>533.34410373760488</v>
      </c>
      <c r="V106" s="42">
        <f t="shared" si="7"/>
        <v>1.3333602593440121</v>
      </c>
      <c r="W106" s="43">
        <f t="shared" si="10"/>
        <v>0.1990089939319421</v>
      </c>
      <c r="X106" s="38"/>
      <c r="Y106" s="38"/>
      <c r="Z106" s="44"/>
      <c r="AA106" s="45">
        <v>46051</v>
      </c>
      <c r="AB106" s="45">
        <v>46075</v>
      </c>
      <c r="AC106" s="45"/>
      <c r="AD106" s="46" t="e">
        <f>IF(ISNA(VLOOKUP(D106,#REF!,5,0)),0,VLOOKUP(D106,#REF!,5,0))</f>
        <v>#REF!</v>
      </c>
      <c r="AE106" s="46" t="e">
        <f t="shared" si="8"/>
        <v>#REF!</v>
      </c>
      <c r="AF106" s="45">
        <v>46083</v>
      </c>
      <c r="AG106" s="33">
        <f t="shared" si="9"/>
        <v>32</v>
      </c>
      <c r="AH106" s="45">
        <v>46117</v>
      </c>
      <c r="AI106" s="39">
        <v>404</v>
      </c>
      <c r="AJ106" s="56">
        <f t="shared" si="11"/>
        <v>34</v>
      </c>
      <c r="AK106" s="39"/>
      <c r="AL106" s="35"/>
      <c r="AM106" s="34"/>
      <c r="AN106" s="34"/>
      <c r="AO106" s="39"/>
      <c r="AP106" s="47"/>
      <c r="AQ106" s="47"/>
      <c r="AR106" s="47"/>
      <c r="AS106" s="47"/>
    </row>
    <row r="107" spans="1:45" s="64" customFormat="1" ht="12" customHeight="1" x14ac:dyDescent="0.25">
      <c r="A107" s="50">
        <v>106</v>
      </c>
      <c r="B107" s="51"/>
      <c r="C107" s="51" t="s">
        <v>357</v>
      </c>
      <c r="D107" s="52" t="s">
        <v>358</v>
      </c>
      <c r="E107" s="51" t="s">
        <v>273</v>
      </c>
      <c r="F107" s="51" t="s">
        <v>178</v>
      </c>
      <c r="G107" s="53" t="s">
        <v>158</v>
      </c>
      <c r="H107" s="51">
        <v>30</v>
      </c>
      <c r="I107" s="51" t="s">
        <v>179</v>
      </c>
      <c r="J107" s="51" t="s">
        <v>235</v>
      </c>
      <c r="K107" s="52" t="s">
        <v>180</v>
      </c>
      <c r="L107" s="54" t="e">
        <f>VLOOKUP(G107,#REF!,4,0)</f>
        <v>#REF!</v>
      </c>
      <c r="M107" s="55" t="e">
        <f>_xlfn.IFNA(VLOOKUP(G107,#REF!,2,0),"")</f>
        <v>#REF!</v>
      </c>
      <c r="N107" s="51" t="e">
        <f>_xlfn.IFNA(VLOOKUP(G107,#REF!,3,0),"")</f>
        <v>#REF!</v>
      </c>
      <c r="O107" s="56">
        <v>1</v>
      </c>
      <c r="P107" s="67">
        <v>12.545454545454545</v>
      </c>
      <c r="Q107" s="56" t="s">
        <v>10</v>
      </c>
      <c r="R107" s="51">
        <v>7</v>
      </c>
      <c r="S107" s="51">
        <v>350</v>
      </c>
      <c r="T107" s="57">
        <v>31.818181818181817</v>
      </c>
      <c r="U107" s="58">
        <f t="shared" si="13"/>
        <v>119.63636363636363</v>
      </c>
      <c r="V107" s="59">
        <f t="shared" si="7"/>
        <v>3.9878787878787874</v>
      </c>
      <c r="W107" s="60">
        <f t="shared" si="10"/>
        <v>0.59520578923563994</v>
      </c>
      <c r="X107" s="51"/>
      <c r="Y107" s="51"/>
      <c r="Z107" s="57"/>
      <c r="AA107" s="61">
        <v>46050</v>
      </c>
      <c r="AB107" s="61">
        <v>46087</v>
      </c>
      <c r="AC107" s="61"/>
      <c r="AD107" s="62" t="e">
        <f>IF(ISNA(VLOOKUP(D107,#REF!,5,0)),0,VLOOKUP(D107,#REF!,5,0))</f>
        <v>#REF!</v>
      </c>
      <c r="AE107" s="62" t="e">
        <f t="shared" si="8"/>
        <v>#REF!</v>
      </c>
      <c r="AF107" s="61">
        <v>46098</v>
      </c>
      <c r="AG107" s="50">
        <f t="shared" si="9"/>
        <v>48</v>
      </c>
      <c r="AH107" s="61">
        <v>46117</v>
      </c>
      <c r="AI107" s="56">
        <v>30</v>
      </c>
      <c r="AJ107" s="56">
        <f t="shared" si="11"/>
        <v>19</v>
      </c>
      <c r="AK107" s="56"/>
      <c r="AL107" s="52"/>
      <c r="AM107" s="51"/>
      <c r="AN107" s="51"/>
      <c r="AO107" s="56"/>
      <c r="AP107" s="63"/>
      <c r="AQ107" s="63"/>
      <c r="AR107" s="63"/>
      <c r="AS107" s="63"/>
    </row>
    <row r="108" spans="1:45" s="64" customFormat="1" ht="12" customHeight="1" x14ac:dyDescent="0.25">
      <c r="A108" s="50">
        <v>107</v>
      </c>
      <c r="B108" s="51"/>
      <c r="C108" s="51" t="s">
        <v>357</v>
      </c>
      <c r="D108" s="52" t="s">
        <v>358</v>
      </c>
      <c r="E108" s="51" t="s">
        <v>273</v>
      </c>
      <c r="F108" s="51" t="s">
        <v>178</v>
      </c>
      <c r="G108" s="53" t="s">
        <v>68</v>
      </c>
      <c r="H108" s="51">
        <v>120</v>
      </c>
      <c r="I108" s="51" t="s">
        <v>179</v>
      </c>
      <c r="J108" s="51" t="s">
        <v>235</v>
      </c>
      <c r="K108" s="52" t="s">
        <v>180</v>
      </c>
      <c r="L108" s="54" t="e">
        <f>VLOOKUP(G108,#REF!,4,0)</f>
        <v>#REF!</v>
      </c>
      <c r="M108" s="55" t="e">
        <f>_xlfn.IFNA(VLOOKUP(G108,#REF!,2,0),"")</f>
        <v>#REF!</v>
      </c>
      <c r="N108" s="51" t="e">
        <f>_xlfn.IFNA(VLOOKUP(G108,#REF!,3,0),"")</f>
        <v>#REF!</v>
      </c>
      <c r="O108" s="56">
        <v>4</v>
      </c>
      <c r="P108" s="67">
        <v>50.18181818181818</v>
      </c>
      <c r="Q108" s="56" t="s">
        <v>10</v>
      </c>
      <c r="R108" s="51">
        <v>7</v>
      </c>
      <c r="S108" s="65">
        <f>SUMIF(C:C,C107,T:T)</f>
        <v>350</v>
      </c>
      <c r="T108" s="57">
        <v>127.27272727272727</v>
      </c>
      <c r="U108" s="58">
        <f t="shared" si="13"/>
        <v>478.5454545454545</v>
      </c>
      <c r="V108" s="59">
        <f t="shared" si="7"/>
        <v>3.9878787878787874</v>
      </c>
      <c r="W108" s="60">
        <f t="shared" si="10"/>
        <v>0.59520578923563994</v>
      </c>
      <c r="X108" s="51"/>
      <c r="Y108" s="51"/>
      <c r="Z108" s="57"/>
      <c r="AA108" s="61">
        <v>46050</v>
      </c>
      <c r="AB108" s="61">
        <v>46087</v>
      </c>
      <c r="AC108" s="61"/>
      <c r="AD108" s="62" t="e">
        <f>IF(ISNA(VLOOKUP(D108,#REF!,5,0)),0,VLOOKUP(D108,#REF!,5,0))</f>
        <v>#REF!</v>
      </c>
      <c r="AE108" s="62" t="e">
        <f t="shared" si="8"/>
        <v>#REF!</v>
      </c>
      <c r="AF108" s="61">
        <v>46098</v>
      </c>
      <c r="AG108" s="50">
        <f t="shared" si="9"/>
        <v>48</v>
      </c>
      <c r="AH108" s="61">
        <v>46117</v>
      </c>
      <c r="AI108" s="56">
        <v>120</v>
      </c>
      <c r="AJ108" s="56">
        <f t="shared" si="11"/>
        <v>19</v>
      </c>
      <c r="AK108" s="56"/>
      <c r="AL108" s="52"/>
      <c r="AM108" s="51"/>
      <c r="AN108" s="51"/>
      <c r="AO108" s="56"/>
      <c r="AP108" s="63"/>
      <c r="AQ108" s="63"/>
      <c r="AR108" s="63"/>
      <c r="AS108" s="63"/>
    </row>
    <row r="109" spans="1:45" s="64" customFormat="1" ht="12" customHeight="1" x14ac:dyDescent="0.25">
      <c r="A109" s="50">
        <v>108</v>
      </c>
      <c r="B109" s="51"/>
      <c r="C109" s="51" t="s">
        <v>357</v>
      </c>
      <c r="D109" s="52" t="s">
        <v>358</v>
      </c>
      <c r="E109" s="51" t="s">
        <v>273</v>
      </c>
      <c r="F109" s="51" t="s">
        <v>178</v>
      </c>
      <c r="G109" s="53" t="s">
        <v>69</v>
      </c>
      <c r="H109" s="51">
        <v>60</v>
      </c>
      <c r="I109" s="51" t="s">
        <v>179</v>
      </c>
      <c r="J109" s="51" t="s">
        <v>235</v>
      </c>
      <c r="K109" s="52" t="s">
        <v>180</v>
      </c>
      <c r="L109" s="54" t="e">
        <f>VLOOKUP(G109,#REF!,4,0)</f>
        <v>#REF!</v>
      </c>
      <c r="M109" s="55" t="e">
        <f>_xlfn.IFNA(VLOOKUP(G109,#REF!,2,0),"")</f>
        <v>#REF!</v>
      </c>
      <c r="N109" s="51" t="e">
        <f>_xlfn.IFNA(VLOOKUP(G109,#REF!,3,0),"")</f>
        <v>#REF!</v>
      </c>
      <c r="O109" s="56">
        <v>2</v>
      </c>
      <c r="P109" s="67">
        <v>25.09090909090909</v>
      </c>
      <c r="Q109" s="56" t="s">
        <v>10</v>
      </c>
      <c r="R109" s="51">
        <v>7</v>
      </c>
      <c r="S109" s="51"/>
      <c r="T109" s="57">
        <v>63.636363636363633</v>
      </c>
      <c r="U109" s="58">
        <f t="shared" si="13"/>
        <v>239.27272727272725</v>
      </c>
      <c r="V109" s="59">
        <f t="shared" si="7"/>
        <v>3.9878787878787874</v>
      </c>
      <c r="W109" s="60">
        <f t="shared" si="10"/>
        <v>0.59520578923563994</v>
      </c>
      <c r="X109" s="51"/>
      <c r="Y109" s="51"/>
      <c r="Z109" s="57"/>
      <c r="AA109" s="61">
        <v>46050</v>
      </c>
      <c r="AB109" s="61">
        <v>46087</v>
      </c>
      <c r="AC109" s="61"/>
      <c r="AD109" s="62" t="e">
        <f>IF(ISNA(VLOOKUP(D109,#REF!,5,0)),0,VLOOKUP(D109,#REF!,5,0))</f>
        <v>#REF!</v>
      </c>
      <c r="AE109" s="62" t="e">
        <f t="shared" si="8"/>
        <v>#REF!</v>
      </c>
      <c r="AF109" s="61">
        <v>46098</v>
      </c>
      <c r="AG109" s="50">
        <f t="shared" si="9"/>
        <v>48</v>
      </c>
      <c r="AH109" s="61">
        <v>46117</v>
      </c>
      <c r="AI109" s="56">
        <v>60</v>
      </c>
      <c r="AJ109" s="56">
        <f t="shared" si="11"/>
        <v>19</v>
      </c>
      <c r="AK109" s="56"/>
      <c r="AL109" s="52"/>
      <c r="AM109" s="51"/>
      <c r="AN109" s="51"/>
      <c r="AO109" s="56"/>
      <c r="AP109" s="63"/>
      <c r="AQ109" s="63"/>
      <c r="AR109" s="63"/>
      <c r="AS109" s="63"/>
    </row>
    <row r="110" spans="1:45" s="64" customFormat="1" ht="12" customHeight="1" x14ac:dyDescent="0.25">
      <c r="A110" s="50">
        <v>109</v>
      </c>
      <c r="B110" s="51"/>
      <c r="C110" s="51" t="s">
        <v>357</v>
      </c>
      <c r="D110" s="52" t="s">
        <v>358</v>
      </c>
      <c r="E110" s="51" t="s">
        <v>273</v>
      </c>
      <c r="F110" s="51" t="s">
        <v>178</v>
      </c>
      <c r="G110" s="53" t="s">
        <v>118</v>
      </c>
      <c r="H110" s="51">
        <v>60</v>
      </c>
      <c r="I110" s="51" t="s">
        <v>179</v>
      </c>
      <c r="J110" s="51" t="s">
        <v>235</v>
      </c>
      <c r="K110" s="52" t="s">
        <v>180</v>
      </c>
      <c r="L110" s="54" t="e">
        <f>VLOOKUP(G110,#REF!,4,0)</f>
        <v>#REF!</v>
      </c>
      <c r="M110" s="55" t="e">
        <f>_xlfn.IFNA(VLOOKUP(G110,#REF!,2,0),"")</f>
        <v>#REF!</v>
      </c>
      <c r="N110" s="51" t="e">
        <f>_xlfn.IFNA(VLOOKUP(G110,#REF!,3,0),"")</f>
        <v>#REF!</v>
      </c>
      <c r="O110" s="56">
        <v>2</v>
      </c>
      <c r="P110" s="67">
        <v>25.09090909090909</v>
      </c>
      <c r="Q110" s="56" t="s">
        <v>10</v>
      </c>
      <c r="R110" s="51">
        <v>7</v>
      </c>
      <c r="S110" s="51"/>
      <c r="T110" s="57">
        <v>63.636363636363633</v>
      </c>
      <c r="U110" s="58">
        <f t="shared" si="13"/>
        <v>239.27272727272725</v>
      </c>
      <c r="V110" s="59">
        <f t="shared" si="7"/>
        <v>3.9878787878787874</v>
      </c>
      <c r="W110" s="60">
        <f t="shared" si="10"/>
        <v>0.59520578923563994</v>
      </c>
      <c r="X110" s="51"/>
      <c r="Y110" s="51"/>
      <c r="Z110" s="57"/>
      <c r="AA110" s="61">
        <v>46050</v>
      </c>
      <c r="AB110" s="61">
        <v>46087</v>
      </c>
      <c r="AC110" s="61"/>
      <c r="AD110" s="62" t="e">
        <f>IF(ISNA(VLOOKUP(D110,#REF!,5,0)),0,VLOOKUP(D110,#REF!,5,0))</f>
        <v>#REF!</v>
      </c>
      <c r="AE110" s="62" t="e">
        <f t="shared" si="8"/>
        <v>#REF!</v>
      </c>
      <c r="AF110" s="61">
        <v>46098</v>
      </c>
      <c r="AG110" s="50">
        <f t="shared" si="9"/>
        <v>48</v>
      </c>
      <c r="AH110" s="61">
        <v>46117</v>
      </c>
      <c r="AI110" s="56">
        <v>60</v>
      </c>
      <c r="AJ110" s="56">
        <f t="shared" si="11"/>
        <v>19</v>
      </c>
      <c r="AK110" s="56"/>
      <c r="AL110" s="52"/>
      <c r="AM110" s="51"/>
      <c r="AN110" s="51"/>
      <c r="AO110" s="56"/>
      <c r="AP110" s="63"/>
      <c r="AQ110" s="63"/>
      <c r="AR110" s="63"/>
      <c r="AS110" s="63"/>
    </row>
    <row r="111" spans="1:45" s="64" customFormat="1" ht="12" customHeight="1" x14ac:dyDescent="0.25">
      <c r="A111" s="50">
        <v>110</v>
      </c>
      <c r="B111" s="51"/>
      <c r="C111" s="51" t="s">
        <v>357</v>
      </c>
      <c r="D111" s="52" t="s">
        <v>358</v>
      </c>
      <c r="E111" s="51" t="s">
        <v>273</v>
      </c>
      <c r="F111" s="51" t="s">
        <v>178</v>
      </c>
      <c r="G111" s="53" t="s">
        <v>181</v>
      </c>
      <c r="H111" s="51">
        <v>60</v>
      </c>
      <c r="I111" s="51" t="s">
        <v>179</v>
      </c>
      <c r="J111" s="51" t="s">
        <v>235</v>
      </c>
      <c r="K111" s="52" t="s">
        <v>180</v>
      </c>
      <c r="L111" s="54" t="e">
        <f>VLOOKUP(G111,#REF!,4,0)</f>
        <v>#REF!</v>
      </c>
      <c r="M111" s="55" t="e">
        <f>_xlfn.IFNA(VLOOKUP(G111,#REF!,2,0),"")</f>
        <v>#REF!</v>
      </c>
      <c r="N111" s="51" t="e">
        <f>_xlfn.IFNA(VLOOKUP(G111,#REF!,3,0),"")</f>
        <v>#REF!</v>
      </c>
      <c r="O111" s="56">
        <v>2</v>
      </c>
      <c r="P111" s="67">
        <v>25.09090909090909</v>
      </c>
      <c r="Q111" s="56" t="s">
        <v>10</v>
      </c>
      <c r="R111" s="51">
        <v>7</v>
      </c>
      <c r="S111" s="51"/>
      <c r="T111" s="57">
        <v>63.636363636363633</v>
      </c>
      <c r="U111" s="58">
        <f t="shared" si="13"/>
        <v>239.27272727272725</v>
      </c>
      <c r="V111" s="59">
        <f t="shared" si="7"/>
        <v>3.9878787878787874</v>
      </c>
      <c r="W111" s="60">
        <f t="shared" si="10"/>
        <v>0.59520578923563994</v>
      </c>
      <c r="X111" s="51"/>
      <c r="Y111" s="51"/>
      <c r="Z111" s="57"/>
      <c r="AA111" s="61">
        <v>46050</v>
      </c>
      <c r="AB111" s="61">
        <v>46087</v>
      </c>
      <c r="AC111" s="61"/>
      <c r="AD111" s="62" t="e">
        <f>IF(ISNA(VLOOKUP(D111,#REF!,5,0)),0,VLOOKUP(D111,#REF!,5,0))</f>
        <v>#REF!</v>
      </c>
      <c r="AE111" s="62" t="e">
        <f t="shared" si="8"/>
        <v>#REF!</v>
      </c>
      <c r="AF111" s="61">
        <v>46098</v>
      </c>
      <c r="AG111" s="50">
        <f t="shared" si="9"/>
        <v>48</v>
      </c>
      <c r="AH111" s="61">
        <v>46117</v>
      </c>
      <c r="AI111" s="56">
        <v>60</v>
      </c>
      <c r="AJ111" s="56">
        <f t="shared" si="11"/>
        <v>19</v>
      </c>
      <c r="AK111" s="56"/>
      <c r="AL111" s="52"/>
      <c r="AM111" s="51"/>
      <c r="AN111" s="51"/>
      <c r="AO111" s="56"/>
      <c r="AP111" s="63"/>
      <c r="AQ111" s="63"/>
      <c r="AR111" s="63"/>
      <c r="AS111" s="63"/>
    </row>
    <row r="112" spans="1:45" ht="12" customHeight="1" x14ac:dyDescent="0.25">
      <c r="A112" s="33">
        <v>111</v>
      </c>
      <c r="B112" s="34"/>
      <c r="C112" s="34" t="s">
        <v>350</v>
      </c>
      <c r="D112" s="35" t="s">
        <v>356</v>
      </c>
      <c r="E112" s="34" t="s">
        <v>61</v>
      </c>
      <c r="F112" s="34" t="s">
        <v>0</v>
      </c>
      <c r="G112" s="16" t="s">
        <v>120</v>
      </c>
      <c r="H112" s="34">
        <v>180</v>
      </c>
      <c r="I112" s="34" t="s">
        <v>54</v>
      </c>
      <c r="J112" s="34" t="s">
        <v>3</v>
      </c>
      <c r="K112" s="35" t="s">
        <v>22</v>
      </c>
      <c r="L112" s="36" t="e">
        <f>VLOOKUP(G112,#REF!,4,0)</f>
        <v>#REF!</v>
      </c>
      <c r="M112" s="37" t="e">
        <f>_xlfn.IFNA(VLOOKUP(G112,#REF!,2,0),"")</f>
        <v>#REF!</v>
      </c>
      <c r="N112" s="38" t="e">
        <f>_xlfn.IFNA(VLOOKUP(G112,#REF!,3,0),"")</f>
        <v>#REF!</v>
      </c>
      <c r="O112" s="39">
        <v>5</v>
      </c>
      <c r="P112" s="67">
        <v>72.857246376811588</v>
      </c>
      <c r="Q112" s="39" t="s">
        <v>10</v>
      </c>
      <c r="R112" s="34">
        <v>3.6</v>
      </c>
      <c r="S112" s="38" t="s">
        <v>215</v>
      </c>
      <c r="T112" s="40">
        <v>4.3859649122807021</v>
      </c>
      <c r="U112" s="41">
        <f t="shared" si="13"/>
        <v>266.67205186880244</v>
      </c>
      <c r="V112" s="42">
        <f t="shared" si="7"/>
        <v>1.4815113992711246</v>
      </c>
      <c r="W112" s="43">
        <f t="shared" si="10"/>
        <v>0.22112110436882457</v>
      </c>
      <c r="X112" s="38"/>
      <c r="Y112" s="38"/>
      <c r="Z112" s="44"/>
      <c r="AA112" s="45">
        <v>46051</v>
      </c>
      <c r="AB112" s="45">
        <v>46075</v>
      </c>
      <c r="AC112" s="45"/>
      <c r="AD112" s="46" t="e">
        <f>IF(ISNA(VLOOKUP(D112,#REF!,5,0)),0,VLOOKUP(D112,#REF!,5,0))</f>
        <v>#REF!</v>
      </c>
      <c r="AE112" s="46" t="e">
        <f t="shared" si="8"/>
        <v>#REF!</v>
      </c>
      <c r="AF112" s="45">
        <v>46083</v>
      </c>
      <c r="AG112" s="33">
        <f t="shared" si="9"/>
        <v>32</v>
      </c>
      <c r="AH112" s="45">
        <v>46117</v>
      </c>
      <c r="AI112" s="39">
        <v>180</v>
      </c>
      <c r="AJ112" s="56">
        <f t="shared" si="11"/>
        <v>34</v>
      </c>
      <c r="AK112" s="39"/>
      <c r="AL112" s="35"/>
      <c r="AM112" s="34"/>
      <c r="AN112" s="34"/>
      <c r="AO112" s="39"/>
      <c r="AP112" s="47"/>
      <c r="AQ112" s="47"/>
      <c r="AR112" s="47"/>
      <c r="AS112" s="47"/>
    </row>
    <row r="113" spans="1:45" ht="12" customHeight="1" x14ac:dyDescent="0.25">
      <c r="A113" s="33">
        <v>112</v>
      </c>
      <c r="B113" s="34"/>
      <c r="C113" s="34" t="s">
        <v>350</v>
      </c>
      <c r="D113" s="35" t="s">
        <v>356</v>
      </c>
      <c r="E113" s="34" t="s">
        <v>61</v>
      </c>
      <c r="F113" s="34" t="s">
        <v>0</v>
      </c>
      <c r="G113" s="16" t="s">
        <v>120</v>
      </c>
      <c r="H113" s="34">
        <v>72</v>
      </c>
      <c r="I113" s="34" t="s">
        <v>54</v>
      </c>
      <c r="J113" s="34" t="s">
        <v>3</v>
      </c>
      <c r="K113" s="35" t="s">
        <v>22</v>
      </c>
      <c r="L113" s="36" t="e">
        <f>VLOOKUP(G113,#REF!,4,0)</f>
        <v>#REF!</v>
      </c>
      <c r="M113" s="37" t="e">
        <f>_xlfn.IFNA(VLOOKUP(G113,#REF!,2,0),"")</f>
        <v>#REF!</v>
      </c>
      <c r="N113" s="38" t="e">
        <f>_xlfn.IFNA(VLOOKUP(G113,#REF!,3,0),"")</f>
        <v>#REF!</v>
      </c>
      <c r="O113" s="39">
        <v>2</v>
      </c>
      <c r="P113" s="67">
        <v>29.142898550724635</v>
      </c>
      <c r="Q113" s="39" t="s">
        <v>10</v>
      </c>
      <c r="R113" s="34">
        <v>3.6</v>
      </c>
      <c r="S113" s="38" t="s">
        <v>215</v>
      </c>
      <c r="T113" s="40">
        <v>1.7543859649122806</v>
      </c>
      <c r="U113" s="41">
        <f t="shared" si="13"/>
        <v>106.66882074752095</v>
      </c>
      <c r="V113" s="42">
        <f t="shared" si="7"/>
        <v>1.4815113992711244</v>
      </c>
      <c r="W113" s="43">
        <f t="shared" si="10"/>
        <v>0.22112110436882454</v>
      </c>
      <c r="X113" s="38"/>
      <c r="Y113" s="38"/>
      <c r="Z113" s="44"/>
      <c r="AA113" s="45">
        <v>46051</v>
      </c>
      <c r="AB113" s="45">
        <v>46075</v>
      </c>
      <c r="AC113" s="45"/>
      <c r="AD113" s="46" t="e">
        <f>IF(ISNA(VLOOKUP(D113,#REF!,5,0)),0,VLOOKUP(D113,#REF!,5,0))</f>
        <v>#REF!</v>
      </c>
      <c r="AE113" s="46" t="e">
        <f t="shared" si="8"/>
        <v>#REF!</v>
      </c>
      <c r="AF113" s="45">
        <v>46083</v>
      </c>
      <c r="AG113" s="33">
        <f t="shared" si="9"/>
        <v>32</v>
      </c>
      <c r="AH113" s="45">
        <v>46117</v>
      </c>
      <c r="AI113" s="39">
        <v>71</v>
      </c>
      <c r="AJ113" s="56">
        <f t="shared" si="11"/>
        <v>34</v>
      </c>
      <c r="AK113" s="39"/>
      <c r="AL113" s="35"/>
      <c r="AM113" s="34"/>
      <c r="AN113" s="34"/>
      <c r="AO113" s="39"/>
      <c r="AP113" s="47"/>
      <c r="AQ113" s="47"/>
      <c r="AR113" s="47"/>
      <c r="AS113" s="47"/>
    </row>
    <row r="114" spans="1:45" ht="12" customHeight="1" x14ac:dyDescent="0.25">
      <c r="A114" s="33">
        <v>113</v>
      </c>
      <c r="B114" s="34"/>
      <c r="C114" s="34" t="s">
        <v>350</v>
      </c>
      <c r="D114" s="35" t="s">
        <v>356</v>
      </c>
      <c r="E114" s="34" t="s">
        <v>61</v>
      </c>
      <c r="F114" s="34" t="s">
        <v>0</v>
      </c>
      <c r="G114" s="16" t="s">
        <v>117</v>
      </c>
      <c r="H114" s="34">
        <v>252</v>
      </c>
      <c r="I114" s="34" t="s">
        <v>54</v>
      </c>
      <c r="J114" s="34" t="s">
        <v>3</v>
      </c>
      <c r="K114" s="35" t="s">
        <v>22</v>
      </c>
      <c r="L114" s="36" t="e">
        <f>VLOOKUP(G114,#REF!,4,0)</f>
        <v>#REF!</v>
      </c>
      <c r="M114" s="37" t="e">
        <f>_xlfn.IFNA(VLOOKUP(G114,#REF!,2,0),"")</f>
        <v>#REF!</v>
      </c>
      <c r="N114" s="38" t="e">
        <f>_xlfn.IFNA(VLOOKUP(G114,#REF!,3,0),"")</f>
        <v>#REF!</v>
      </c>
      <c r="O114" s="39">
        <v>7</v>
      </c>
      <c r="P114" s="67">
        <v>102.00014492753623</v>
      </c>
      <c r="Q114" s="39" t="s">
        <v>10</v>
      </c>
      <c r="R114" s="34">
        <v>3.6</v>
      </c>
      <c r="S114" s="38"/>
      <c r="T114" s="40">
        <v>6.1403508771929829</v>
      </c>
      <c r="U114" s="41">
        <f t="shared" si="13"/>
        <v>373.3408726163234</v>
      </c>
      <c r="V114" s="42">
        <f t="shared" si="7"/>
        <v>1.4815113992711246</v>
      </c>
      <c r="W114" s="43">
        <f t="shared" si="10"/>
        <v>0.22112110436882457</v>
      </c>
      <c r="X114" s="38"/>
      <c r="Y114" s="38"/>
      <c r="Z114" s="44"/>
      <c r="AA114" s="45">
        <v>46051</v>
      </c>
      <c r="AB114" s="45">
        <v>46075</v>
      </c>
      <c r="AC114" s="45"/>
      <c r="AD114" s="46" t="e">
        <f>IF(ISNA(VLOOKUP(D114,#REF!,5,0)),0,VLOOKUP(D114,#REF!,5,0))</f>
        <v>#REF!</v>
      </c>
      <c r="AE114" s="46" t="e">
        <f t="shared" si="8"/>
        <v>#REF!</v>
      </c>
      <c r="AF114" s="45">
        <v>46083</v>
      </c>
      <c r="AG114" s="33">
        <f t="shared" si="9"/>
        <v>32</v>
      </c>
      <c r="AH114" s="45">
        <v>46117</v>
      </c>
      <c r="AI114" s="39">
        <v>250</v>
      </c>
      <c r="AJ114" s="56">
        <f t="shared" si="11"/>
        <v>34</v>
      </c>
      <c r="AK114" s="39"/>
      <c r="AL114" s="35"/>
      <c r="AM114" s="34"/>
      <c r="AN114" s="34"/>
      <c r="AO114" s="39"/>
      <c r="AP114" s="47"/>
      <c r="AQ114" s="47"/>
      <c r="AR114" s="47"/>
      <c r="AS114" s="47"/>
    </row>
    <row r="115" spans="1:45" s="64" customFormat="1" ht="12" customHeight="1" x14ac:dyDescent="0.25">
      <c r="A115" s="50">
        <v>114</v>
      </c>
      <c r="B115" s="51"/>
      <c r="C115" s="51" t="s">
        <v>359</v>
      </c>
      <c r="D115" s="52" t="s">
        <v>360</v>
      </c>
      <c r="E115" s="51" t="s">
        <v>58</v>
      </c>
      <c r="F115" s="51" t="s">
        <v>0</v>
      </c>
      <c r="G115" s="53" t="s">
        <v>313</v>
      </c>
      <c r="H115" s="51">
        <v>840</v>
      </c>
      <c r="I115" s="51" t="s">
        <v>66</v>
      </c>
      <c r="J115" s="51" t="s">
        <v>3</v>
      </c>
      <c r="K115" s="52" t="s">
        <v>7</v>
      </c>
      <c r="L115" s="54" t="e">
        <f>VLOOKUP(G115,#REF!,4,0)</f>
        <v>#REF!</v>
      </c>
      <c r="M115" s="55" t="e">
        <f>_xlfn.IFNA(VLOOKUP(G115,#REF!,2,0),"")</f>
        <v>#REF!</v>
      </c>
      <c r="N115" s="51" t="e">
        <f>_xlfn.IFNA(VLOOKUP(G115,#REF!,3,0),"")</f>
        <v>#REF!</v>
      </c>
      <c r="O115" s="56">
        <v>28</v>
      </c>
      <c r="P115" s="67">
        <v>460.72727272727269</v>
      </c>
      <c r="Q115" s="56" t="s">
        <v>10</v>
      </c>
      <c r="R115" s="51">
        <v>3.9</v>
      </c>
      <c r="S115" s="51">
        <v>200</v>
      </c>
      <c r="T115" s="57">
        <v>17.721518987341771</v>
      </c>
      <c r="U115" s="58">
        <f>R115*P115+T115</f>
        <v>1814.5578826237054</v>
      </c>
      <c r="V115" s="59">
        <f t="shared" si="7"/>
        <v>2.1601879555044112</v>
      </c>
      <c r="W115" s="60">
        <f t="shared" si="10"/>
        <v>0.32241611276185239</v>
      </c>
      <c r="X115" s="51"/>
      <c r="Y115" s="51"/>
      <c r="Z115" s="57"/>
      <c r="AA115" s="61">
        <v>46051</v>
      </c>
      <c r="AB115" s="61">
        <v>46075</v>
      </c>
      <c r="AC115" s="61"/>
      <c r="AD115" s="62" t="e">
        <f>IF(ISNA(VLOOKUP(D115,#REF!,5,0)),0,VLOOKUP(D115,#REF!,5,0))</f>
        <v>#REF!</v>
      </c>
      <c r="AE115" s="62" t="e">
        <f t="shared" si="8"/>
        <v>#REF!</v>
      </c>
      <c r="AF115" s="61">
        <v>46079</v>
      </c>
      <c r="AG115" s="33">
        <f t="shared" si="9"/>
        <v>28</v>
      </c>
      <c r="AH115" s="61">
        <v>46113</v>
      </c>
      <c r="AI115" s="56">
        <v>845</v>
      </c>
      <c r="AJ115" s="56">
        <f t="shared" si="11"/>
        <v>34</v>
      </c>
      <c r="AK115" s="56"/>
      <c r="AL115" s="52"/>
      <c r="AM115" s="51"/>
      <c r="AN115" s="51"/>
      <c r="AO115" s="56"/>
      <c r="AP115" s="63"/>
      <c r="AQ115" s="63"/>
      <c r="AR115" s="63"/>
      <c r="AS115" s="63"/>
    </row>
    <row r="116" spans="1:45" s="64" customFormat="1" ht="12" customHeight="1" x14ac:dyDescent="0.25">
      <c r="A116" s="50">
        <v>115</v>
      </c>
      <c r="B116" s="51"/>
      <c r="C116" s="51" t="s">
        <v>359</v>
      </c>
      <c r="D116" s="52" t="s">
        <v>360</v>
      </c>
      <c r="E116" s="51" t="s">
        <v>58</v>
      </c>
      <c r="F116" s="51" t="s">
        <v>0</v>
      </c>
      <c r="G116" s="53" t="s">
        <v>314</v>
      </c>
      <c r="H116" s="51">
        <v>480</v>
      </c>
      <c r="I116" s="51" t="s">
        <v>66</v>
      </c>
      <c r="J116" s="51" t="s">
        <v>3</v>
      </c>
      <c r="K116" s="52" t="s">
        <v>7</v>
      </c>
      <c r="L116" s="54" t="e">
        <f>VLOOKUP(G116,#REF!,4,0)</f>
        <v>#REF!</v>
      </c>
      <c r="M116" s="55" t="e">
        <f>_xlfn.IFNA(VLOOKUP(G116,#REF!,2,0),"")</f>
        <v>#REF!</v>
      </c>
      <c r="N116" s="51" t="e">
        <f>_xlfn.IFNA(VLOOKUP(G116,#REF!,3,0),"")</f>
        <v>#REF!</v>
      </c>
      <c r="O116" s="56">
        <v>16</v>
      </c>
      <c r="P116" s="67">
        <v>263.27272727272725</v>
      </c>
      <c r="Q116" s="56" t="s">
        <v>10</v>
      </c>
      <c r="R116" s="51">
        <v>3.9</v>
      </c>
      <c r="S116" s="65">
        <f>SUMIF(C:C,C115,T:T)</f>
        <v>200.00000000000006</v>
      </c>
      <c r="T116" s="57">
        <v>10.126582278481013</v>
      </c>
      <c r="U116" s="58">
        <f t="shared" si="13"/>
        <v>1036.8902186421174</v>
      </c>
      <c r="V116" s="59">
        <f t="shared" si="7"/>
        <v>2.1601879555044112</v>
      </c>
      <c r="W116" s="60">
        <f t="shared" si="10"/>
        <v>0.32241611276185239</v>
      </c>
      <c r="X116" s="51"/>
      <c r="Y116" s="51"/>
      <c r="Z116" s="57"/>
      <c r="AA116" s="61">
        <v>46051</v>
      </c>
      <c r="AB116" s="61">
        <v>46075</v>
      </c>
      <c r="AC116" s="61"/>
      <c r="AD116" s="62" t="e">
        <f>IF(ISNA(VLOOKUP(D116,#REF!,5,0)),0,VLOOKUP(D116,#REF!,5,0))</f>
        <v>#REF!</v>
      </c>
      <c r="AE116" s="62" t="e">
        <f t="shared" si="8"/>
        <v>#REF!</v>
      </c>
      <c r="AF116" s="61">
        <v>46079</v>
      </c>
      <c r="AG116" s="33">
        <f t="shared" si="9"/>
        <v>28</v>
      </c>
      <c r="AH116" s="61">
        <v>46113</v>
      </c>
      <c r="AI116" s="56">
        <v>480</v>
      </c>
      <c r="AJ116" s="56">
        <f t="shared" si="11"/>
        <v>34</v>
      </c>
      <c r="AK116" s="56"/>
      <c r="AL116" s="52"/>
      <c r="AM116" s="51"/>
      <c r="AN116" s="51"/>
      <c r="AO116" s="56"/>
      <c r="AP116" s="63"/>
      <c r="AQ116" s="63"/>
      <c r="AR116" s="63"/>
      <c r="AS116" s="63"/>
    </row>
    <row r="117" spans="1:45" s="64" customFormat="1" ht="12" customHeight="1" x14ac:dyDescent="0.25">
      <c r="A117" s="50">
        <v>116</v>
      </c>
      <c r="B117" s="51"/>
      <c r="C117" s="51" t="s">
        <v>359</v>
      </c>
      <c r="D117" s="52" t="s">
        <v>361</v>
      </c>
      <c r="E117" s="51" t="s">
        <v>58</v>
      </c>
      <c r="F117" s="51" t="s">
        <v>0</v>
      </c>
      <c r="G117" s="53" t="s">
        <v>57</v>
      </c>
      <c r="H117" s="51">
        <v>1344</v>
      </c>
      <c r="I117" s="51" t="s">
        <v>66</v>
      </c>
      <c r="J117" s="51" t="s">
        <v>3</v>
      </c>
      <c r="K117" s="52" t="s">
        <v>9</v>
      </c>
      <c r="L117" s="54" t="e">
        <f>VLOOKUP(G117,#REF!,4,0)</f>
        <v>#REF!</v>
      </c>
      <c r="M117" s="55" t="e">
        <f>_xlfn.IFNA(VLOOKUP(G117,#REF!,2,0),"")</f>
        <v>#REF!</v>
      </c>
      <c r="N117" s="51" t="e">
        <f>_xlfn.IFNA(VLOOKUP(G117,#REF!,3,0),"")</f>
        <v>#REF!</v>
      </c>
      <c r="O117" s="56">
        <v>112</v>
      </c>
      <c r="P117" s="67">
        <v>1704.55</v>
      </c>
      <c r="Q117" s="56" t="s">
        <v>10</v>
      </c>
      <c r="R117" s="51">
        <v>4.4000000000000004</v>
      </c>
      <c r="S117" s="51"/>
      <c r="T117" s="57">
        <v>70.886075949367083</v>
      </c>
      <c r="U117" s="58">
        <f t="shared" si="13"/>
        <v>7570.9060759493677</v>
      </c>
      <c r="V117" s="59">
        <f t="shared" si="7"/>
        <v>5.6331146398432796</v>
      </c>
      <c r="W117" s="60">
        <f t="shared" si="10"/>
        <v>0.84076337908108645</v>
      </c>
      <c r="X117" s="51"/>
      <c r="Y117" s="51"/>
      <c r="Z117" s="57"/>
      <c r="AA117" s="61">
        <v>46051</v>
      </c>
      <c r="AB117" s="61">
        <v>46075</v>
      </c>
      <c r="AC117" s="61"/>
      <c r="AD117" s="62" t="e">
        <f>IF(ISNA(VLOOKUP(D117,#REF!,5,0)),0,VLOOKUP(D117,#REF!,5,0))</f>
        <v>#REF!</v>
      </c>
      <c r="AE117" s="62" t="e">
        <f t="shared" si="8"/>
        <v>#REF!</v>
      </c>
      <c r="AF117" s="61">
        <v>46079</v>
      </c>
      <c r="AG117" s="33">
        <f t="shared" si="9"/>
        <v>28</v>
      </c>
      <c r="AH117" s="61">
        <v>46112</v>
      </c>
      <c r="AI117" s="56">
        <v>1357</v>
      </c>
      <c r="AJ117" s="56">
        <f t="shared" si="11"/>
        <v>33</v>
      </c>
      <c r="AK117" s="56"/>
      <c r="AL117" s="52"/>
      <c r="AM117" s="51"/>
      <c r="AN117" s="51"/>
      <c r="AO117" s="56"/>
      <c r="AP117" s="63"/>
      <c r="AQ117" s="63"/>
      <c r="AR117" s="63"/>
      <c r="AS117" s="63"/>
    </row>
    <row r="118" spans="1:45" s="64" customFormat="1" ht="12" customHeight="1" x14ac:dyDescent="0.25">
      <c r="A118" s="50">
        <v>117</v>
      </c>
      <c r="B118" s="51"/>
      <c r="C118" s="51" t="s">
        <v>359</v>
      </c>
      <c r="D118" s="52" t="s">
        <v>362</v>
      </c>
      <c r="E118" s="51" t="s">
        <v>58</v>
      </c>
      <c r="F118" s="51" t="s">
        <v>0</v>
      </c>
      <c r="G118" s="53" t="s">
        <v>257</v>
      </c>
      <c r="H118" s="51">
        <v>240</v>
      </c>
      <c r="I118" s="51" t="s">
        <v>66</v>
      </c>
      <c r="J118" s="51" t="s">
        <v>3</v>
      </c>
      <c r="K118" s="52" t="s">
        <v>9</v>
      </c>
      <c r="L118" s="54" t="e">
        <f>VLOOKUP(G118,#REF!,4,0)</f>
        <v>#REF!</v>
      </c>
      <c r="M118" s="55" t="e">
        <f>_xlfn.IFNA(VLOOKUP(G118,#REF!,2,0),"")</f>
        <v>#REF!</v>
      </c>
      <c r="N118" s="51" t="e">
        <f>_xlfn.IFNA(VLOOKUP(G118,#REF!,3,0),"")</f>
        <v>#REF!</v>
      </c>
      <c r="O118" s="56">
        <v>20</v>
      </c>
      <c r="P118" s="67">
        <v>304.38235294117652</v>
      </c>
      <c r="Q118" s="56" t="s">
        <v>10</v>
      </c>
      <c r="R118" s="51">
        <v>4.4000000000000004</v>
      </c>
      <c r="S118" s="51"/>
      <c r="T118" s="57">
        <v>12.658227848101266</v>
      </c>
      <c r="U118" s="58">
        <f t="shared" si="13"/>
        <v>1351.9405807892781</v>
      </c>
      <c r="V118" s="59">
        <f t="shared" si="7"/>
        <v>5.6330857532886585</v>
      </c>
      <c r="W118" s="60">
        <f t="shared" si="10"/>
        <v>0.84075906765502362</v>
      </c>
      <c r="X118" s="51"/>
      <c r="Y118" s="51"/>
      <c r="Z118" s="57"/>
      <c r="AA118" s="61">
        <v>46051</v>
      </c>
      <c r="AB118" s="61">
        <v>46075</v>
      </c>
      <c r="AC118" s="61"/>
      <c r="AD118" s="62" t="e">
        <f>IF(ISNA(VLOOKUP(D118,#REF!,5,0)),0,VLOOKUP(D118,#REF!,5,0))</f>
        <v>#REF!</v>
      </c>
      <c r="AE118" s="62" t="e">
        <f t="shared" si="8"/>
        <v>#REF!</v>
      </c>
      <c r="AF118" s="61">
        <v>46079</v>
      </c>
      <c r="AG118" s="33">
        <f t="shared" si="9"/>
        <v>28</v>
      </c>
      <c r="AH118" s="61">
        <v>46110</v>
      </c>
      <c r="AI118" s="56">
        <v>240</v>
      </c>
      <c r="AJ118" s="56">
        <f t="shared" si="11"/>
        <v>31</v>
      </c>
      <c r="AK118" s="56"/>
      <c r="AL118" s="52"/>
      <c r="AM118" s="51"/>
      <c r="AN118" s="51"/>
      <c r="AO118" s="56"/>
      <c r="AP118" s="63"/>
      <c r="AQ118" s="63"/>
      <c r="AR118" s="63"/>
      <c r="AS118" s="63"/>
    </row>
    <row r="119" spans="1:45" s="64" customFormat="1" ht="12" customHeight="1" x14ac:dyDescent="0.25">
      <c r="A119" s="50">
        <v>118</v>
      </c>
      <c r="B119" s="51"/>
      <c r="C119" s="51" t="s">
        <v>359</v>
      </c>
      <c r="D119" s="52" t="s">
        <v>362</v>
      </c>
      <c r="E119" s="51" t="s">
        <v>58</v>
      </c>
      <c r="F119" s="51" t="s">
        <v>0</v>
      </c>
      <c r="G119" s="53" t="s">
        <v>258</v>
      </c>
      <c r="H119" s="51">
        <v>168</v>
      </c>
      <c r="I119" s="51" t="s">
        <v>66</v>
      </c>
      <c r="J119" s="51" t="s">
        <v>3</v>
      </c>
      <c r="K119" s="52" t="s">
        <v>9</v>
      </c>
      <c r="L119" s="54" t="e">
        <f>VLOOKUP(G119,#REF!,4,0)</f>
        <v>#REF!</v>
      </c>
      <c r="M119" s="55" t="e">
        <f>_xlfn.IFNA(VLOOKUP(G119,#REF!,2,0),"")</f>
        <v>#REF!</v>
      </c>
      <c r="N119" s="51" t="e">
        <f>_xlfn.IFNA(VLOOKUP(G119,#REF!,3,0),"")</f>
        <v>#REF!</v>
      </c>
      <c r="O119" s="56">
        <v>14</v>
      </c>
      <c r="P119" s="67">
        <v>213.06764705882355</v>
      </c>
      <c r="Q119" s="56" t="s">
        <v>10</v>
      </c>
      <c r="R119" s="51">
        <v>4.4000000000000004</v>
      </c>
      <c r="S119" s="51"/>
      <c r="T119" s="57">
        <v>8.8607594936708853</v>
      </c>
      <c r="U119" s="58">
        <f t="shared" si="13"/>
        <v>946.35840655249467</v>
      </c>
      <c r="V119" s="59">
        <f t="shared" si="7"/>
        <v>5.6330857532886585</v>
      </c>
      <c r="W119" s="60">
        <f t="shared" si="10"/>
        <v>0.84075906765502362</v>
      </c>
      <c r="X119" s="51"/>
      <c r="Y119" s="51"/>
      <c r="Z119" s="57"/>
      <c r="AA119" s="61">
        <v>46051</v>
      </c>
      <c r="AB119" s="61">
        <v>46075</v>
      </c>
      <c r="AC119" s="61"/>
      <c r="AD119" s="62" t="e">
        <f>IF(ISNA(VLOOKUP(D119,#REF!,5,0)),0,VLOOKUP(D119,#REF!,5,0))</f>
        <v>#REF!</v>
      </c>
      <c r="AE119" s="62" t="e">
        <f t="shared" si="8"/>
        <v>#REF!</v>
      </c>
      <c r="AF119" s="61">
        <v>46079</v>
      </c>
      <c r="AG119" s="33">
        <f t="shared" si="9"/>
        <v>28</v>
      </c>
      <c r="AH119" s="61">
        <v>46110</v>
      </c>
      <c r="AI119" s="56">
        <v>156</v>
      </c>
      <c r="AJ119" s="56">
        <f t="shared" si="11"/>
        <v>31</v>
      </c>
      <c r="AK119" s="56"/>
      <c r="AL119" s="52"/>
      <c r="AM119" s="51"/>
      <c r="AN119" s="51"/>
      <c r="AO119" s="56"/>
      <c r="AP119" s="63"/>
      <c r="AQ119" s="63"/>
      <c r="AR119" s="63"/>
      <c r="AS119" s="63"/>
    </row>
    <row r="120" spans="1:45" ht="12" customHeight="1" x14ac:dyDescent="0.25">
      <c r="A120" s="33">
        <v>119</v>
      </c>
      <c r="B120" s="34"/>
      <c r="C120" s="34" t="s">
        <v>363</v>
      </c>
      <c r="D120" s="35" t="s">
        <v>364</v>
      </c>
      <c r="E120" s="34" t="s">
        <v>271</v>
      </c>
      <c r="F120" s="34" t="s">
        <v>52</v>
      </c>
      <c r="G120" s="16" t="s">
        <v>150</v>
      </c>
      <c r="H120" s="34">
        <v>64</v>
      </c>
      <c r="I120" s="34" t="s">
        <v>54</v>
      </c>
      <c r="J120" s="34" t="s">
        <v>55</v>
      </c>
      <c r="K120" s="35" t="s">
        <v>80</v>
      </c>
      <c r="L120" s="36" t="e">
        <f>VLOOKUP(G120,#REF!,4,0)</f>
        <v>#REF!</v>
      </c>
      <c r="M120" s="37" t="e">
        <f>_xlfn.IFNA(VLOOKUP(G120,#REF!,2,0),"")</f>
        <v>#REF!</v>
      </c>
      <c r="N120" s="38" t="e">
        <f>_xlfn.IFNA(VLOOKUP(G120,#REF!,3,0),"")</f>
        <v>#REF!</v>
      </c>
      <c r="O120" s="39">
        <v>4</v>
      </c>
      <c r="P120" s="67">
        <v>69</v>
      </c>
      <c r="Q120" s="39" t="s">
        <v>10</v>
      </c>
      <c r="R120" s="34">
        <v>6</v>
      </c>
      <c r="S120" s="38">
        <v>200</v>
      </c>
      <c r="T120" s="40">
        <v>200</v>
      </c>
      <c r="U120" s="41">
        <f t="shared" si="13"/>
        <v>614</v>
      </c>
      <c r="V120" s="42">
        <f t="shared" si="7"/>
        <v>9.59375</v>
      </c>
      <c r="W120" s="43">
        <f t="shared" si="10"/>
        <v>1.4319029850746268</v>
      </c>
      <c r="X120" s="38"/>
      <c r="Y120" s="38"/>
      <c r="Z120" s="44"/>
      <c r="AA120" s="45">
        <v>46051</v>
      </c>
      <c r="AB120" s="45">
        <v>46087</v>
      </c>
      <c r="AC120" s="45"/>
      <c r="AD120" s="46" t="e">
        <f>IF(ISNA(VLOOKUP(D120,#REF!,5,0)),0,VLOOKUP(D120,#REF!,5,0))</f>
        <v>#REF!</v>
      </c>
      <c r="AE120" s="46" t="e">
        <f t="shared" si="8"/>
        <v>#REF!</v>
      </c>
      <c r="AF120" s="45">
        <v>46104</v>
      </c>
      <c r="AG120" s="33">
        <f t="shared" si="9"/>
        <v>53</v>
      </c>
      <c r="AH120" s="45">
        <v>46117</v>
      </c>
      <c r="AI120" s="39">
        <v>64</v>
      </c>
      <c r="AJ120" s="56">
        <f t="shared" si="11"/>
        <v>13</v>
      </c>
      <c r="AK120" s="39"/>
      <c r="AL120" s="35"/>
      <c r="AM120" s="34"/>
      <c r="AN120" s="34"/>
      <c r="AO120" s="39"/>
      <c r="AP120" s="47"/>
      <c r="AQ120" s="47"/>
      <c r="AR120" s="47"/>
      <c r="AS120" s="47"/>
    </row>
    <row r="121" spans="1:45" ht="12" customHeight="1" x14ac:dyDescent="0.25">
      <c r="A121" s="33">
        <v>120</v>
      </c>
      <c r="B121" s="34"/>
      <c r="C121" s="34" t="s">
        <v>350</v>
      </c>
      <c r="D121" s="35" t="s">
        <v>365</v>
      </c>
      <c r="E121" s="34" t="s">
        <v>172</v>
      </c>
      <c r="F121" s="34" t="s">
        <v>0</v>
      </c>
      <c r="G121" s="16" t="s">
        <v>150</v>
      </c>
      <c r="H121" s="34">
        <v>816</v>
      </c>
      <c r="I121" s="34" t="s">
        <v>54</v>
      </c>
      <c r="J121" s="34" t="s">
        <v>3</v>
      </c>
      <c r="K121" s="35" t="s">
        <v>9</v>
      </c>
      <c r="L121" s="36" t="e">
        <f>VLOOKUP(G121,#REF!,4,0)</f>
        <v>#REF!</v>
      </c>
      <c r="M121" s="37" t="e">
        <f>_xlfn.IFNA(VLOOKUP(G121,#REF!,2,0),"")</f>
        <v>#REF!</v>
      </c>
      <c r="N121" s="38" t="e">
        <f>_xlfn.IFNA(VLOOKUP(G121,#REF!,3,0),"")</f>
        <v>#REF!</v>
      </c>
      <c r="O121" s="39">
        <v>51</v>
      </c>
      <c r="P121" s="67">
        <v>873.29629629629619</v>
      </c>
      <c r="Q121" s="39" t="s">
        <v>10</v>
      </c>
      <c r="R121" s="34">
        <v>3.7</v>
      </c>
      <c r="S121" s="48">
        <f>SUMIF(C:C,C120,T:T)</f>
        <v>200</v>
      </c>
      <c r="T121" s="40">
        <v>44.736842105263158</v>
      </c>
      <c r="U121" s="41">
        <f t="shared" si="13"/>
        <v>3275.9331384015595</v>
      </c>
      <c r="V121" s="42">
        <f t="shared" si="7"/>
        <v>4.0146239441195579</v>
      </c>
      <c r="W121" s="43">
        <f t="shared" si="10"/>
        <v>0.59919760359993401</v>
      </c>
      <c r="X121" s="38"/>
      <c r="Y121" s="38"/>
      <c r="Z121" s="44"/>
      <c r="AA121" s="45">
        <v>46051</v>
      </c>
      <c r="AB121" s="45">
        <v>46075</v>
      </c>
      <c r="AC121" s="45"/>
      <c r="AD121" s="46" t="e">
        <f>IF(ISNA(VLOOKUP(D121,#REF!,5,0)),0,VLOOKUP(D121,#REF!,5,0))</f>
        <v>#REF!</v>
      </c>
      <c r="AE121" s="46" t="e">
        <f t="shared" si="8"/>
        <v>#REF!</v>
      </c>
      <c r="AF121" s="45">
        <v>46084</v>
      </c>
      <c r="AG121" s="33">
        <f t="shared" si="9"/>
        <v>33</v>
      </c>
      <c r="AH121" s="45">
        <v>46120</v>
      </c>
      <c r="AI121" s="39">
        <v>816</v>
      </c>
      <c r="AJ121" s="56">
        <f t="shared" si="11"/>
        <v>36</v>
      </c>
      <c r="AK121" s="39"/>
      <c r="AL121" s="35"/>
      <c r="AM121" s="34"/>
      <c r="AN121" s="34"/>
      <c r="AO121" s="39"/>
      <c r="AP121" s="47"/>
      <c r="AQ121" s="47"/>
      <c r="AR121" s="47"/>
      <c r="AS121" s="47"/>
    </row>
    <row r="122" spans="1:45" ht="12" customHeight="1" x14ac:dyDescent="0.25">
      <c r="A122" s="33">
        <v>121</v>
      </c>
      <c r="B122" s="34"/>
      <c r="C122" s="34" t="s">
        <v>350</v>
      </c>
      <c r="D122" s="35" t="s">
        <v>365</v>
      </c>
      <c r="E122" s="34" t="s">
        <v>172</v>
      </c>
      <c r="F122" s="34" t="s">
        <v>0</v>
      </c>
      <c r="G122" s="16" t="s">
        <v>171</v>
      </c>
      <c r="H122" s="34">
        <v>384</v>
      </c>
      <c r="I122" s="34" t="s">
        <v>54</v>
      </c>
      <c r="J122" s="34" t="s">
        <v>3</v>
      </c>
      <c r="K122" s="35" t="s">
        <v>9</v>
      </c>
      <c r="L122" s="36" t="e">
        <f>VLOOKUP(G122,#REF!,4,0)</f>
        <v>#REF!</v>
      </c>
      <c r="M122" s="37" t="e">
        <f>_xlfn.IFNA(VLOOKUP(G122,#REF!,2,0),"")</f>
        <v>#REF!</v>
      </c>
      <c r="N122" s="38" t="e">
        <f>_xlfn.IFNA(VLOOKUP(G122,#REF!,3,0),"")</f>
        <v>#REF!</v>
      </c>
      <c r="O122" s="39">
        <v>24</v>
      </c>
      <c r="P122" s="67">
        <v>410.96296296296293</v>
      </c>
      <c r="Q122" s="39" t="s">
        <v>10</v>
      </c>
      <c r="R122" s="34">
        <v>3.7</v>
      </c>
      <c r="S122" s="38"/>
      <c r="T122" s="40">
        <v>21.05263157894737</v>
      </c>
      <c r="U122" s="41">
        <f t="shared" si="13"/>
        <v>1541.6155945419102</v>
      </c>
      <c r="V122" s="42">
        <f t="shared" si="7"/>
        <v>4.0146239441195579</v>
      </c>
      <c r="W122" s="43">
        <f t="shared" si="10"/>
        <v>0.59919760359993401</v>
      </c>
      <c r="X122" s="38"/>
      <c r="Y122" s="38"/>
      <c r="Z122" s="44"/>
      <c r="AA122" s="45">
        <v>46051</v>
      </c>
      <c r="AB122" s="45">
        <v>46075</v>
      </c>
      <c r="AC122" s="45"/>
      <c r="AD122" s="46" t="e">
        <f>IF(ISNA(VLOOKUP(D122,#REF!,5,0)),0,VLOOKUP(D122,#REF!,5,0))</f>
        <v>#REF!</v>
      </c>
      <c r="AE122" s="46" t="e">
        <f t="shared" si="8"/>
        <v>#REF!</v>
      </c>
      <c r="AF122" s="45">
        <v>46084</v>
      </c>
      <c r="AG122" s="33">
        <f t="shared" si="9"/>
        <v>33</v>
      </c>
      <c r="AH122" s="45">
        <v>46120</v>
      </c>
      <c r="AI122" s="39">
        <v>384</v>
      </c>
      <c r="AJ122" s="56">
        <f t="shared" si="11"/>
        <v>36</v>
      </c>
      <c r="AK122" s="39"/>
      <c r="AL122" s="35"/>
      <c r="AM122" s="34"/>
      <c r="AN122" s="34"/>
      <c r="AO122" s="39"/>
      <c r="AP122" s="47"/>
      <c r="AQ122" s="47"/>
      <c r="AR122" s="47"/>
      <c r="AS122" s="47"/>
    </row>
    <row r="123" spans="1:45" ht="12" customHeight="1" x14ac:dyDescent="0.25">
      <c r="A123" s="33">
        <v>122</v>
      </c>
      <c r="B123" s="34"/>
      <c r="C123" s="34" t="s">
        <v>350</v>
      </c>
      <c r="D123" s="35" t="s">
        <v>365</v>
      </c>
      <c r="E123" s="34" t="s">
        <v>172</v>
      </c>
      <c r="F123" s="34" t="s">
        <v>0</v>
      </c>
      <c r="G123" s="16" t="s">
        <v>233</v>
      </c>
      <c r="H123" s="34">
        <v>96</v>
      </c>
      <c r="I123" s="34" t="s">
        <v>54</v>
      </c>
      <c r="J123" s="34" t="s">
        <v>3</v>
      </c>
      <c r="K123" s="35" t="s">
        <v>9</v>
      </c>
      <c r="L123" s="36" t="e">
        <f>VLOOKUP(G123,#REF!,4,0)</f>
        <v>#REF!</v>
      </c>
      <c r="M123" s="37" t="e">
        <f>_xlfn.IFNA(VLOOKUP(G123,#REF!,2,0),"")</f>
        <v>#REF!</v>
      </c>
      <c r="N123" s="38" t="e">
        <f>_xlfn.IFNA(VLOOKUP(G123,#REF!,3,0),"")</f>
        <v>#REF!</v>
      </c>
      <c r="O123" s="39">
        <v>6</v>
      </c>
      <c r="P123" s="67">
        <v>102.74074074074073</v>
      </c>
      <c r="Q123" s="39" t="s">
        <v>10</v>
      </c>
      <c r="R123" s="34">
        <v>3.7</v>
      </c>
      <c r="S123" s="38"/>
      <c r="T123" s="40">
        <v>5.2631578947368425</v>
      </c>
      <c r="U123" s="41">
        <f t="shared" si="13"/>
        <v>385.40389863547756</v>
      </c>
      <c r="V123" s="42">
        <f t="shared" si="7"/>
        <v>4.0146239441195579</v>
      </c>
      <c r="W123" s="43">
        <f t="shared" si="10"/>
        <v>0.59919760359993401</v>
      </c>
      <c r="X123" s="38"/>
      <c r="Y123" s="38"/>
      <c r="Z123" s="44"/>
      <c r="AA123" s="45">
        <v>46051</v>
      </c>
      <c r="AB123" s="45">
        <v>46075</v>
      </c>
      <c r="AC123" s="45"/>
      <c r="AD123" s="46" t="e">
        <f>IF(ISNA(VLOOKUP(D123,#REF!,5,0)),0,VLOOKUP(D123,#REF!,5,0))</f>
        <v>#REF!</v>
      </c>
      <c r="AE123" s="46" t="e">
        <f t="shared" si="8"/>
        <v>#REF!</v>
      </c>
      <c r="AF123" s="45">
        <v>46084</v>
      </c>
      <c r="AG123" s="33">
        <f t="shared" si="9"/>
        <v>33</v>
      </c>
      <c r="AH123" s="45">
        <v>46120</v>
      </c>
      <c r="AI123" s="39">
        <v>96</v>
      </c>
      <c r="AJ123" s="56">
        <f t="shared" si="11"/>
        <v>36</v>
      </c>
      <c r="AK123" s="39"/>
      <c r="AL123" s="35"/>
      <c r="AM123" s="34"/>
      <c r="AN123" s="34"/>
      <c r="AO123" s="39"/>
      <c r="AP123" s="47"/>
      <c r="AQ123" s="47"/>
      <c r="AR123" s="47"/>
      <c r="AS123" s="47"/>
    </row>
    <row r="124" spans="1:45" ht="12" customHeight="1" x14ac:dyDescent="0.25">
      <c r="A124" s="33">
        <v>123</v>
      </c>
      <c r="B124" s="34"/>
      <c r="C124" s="34" t="s">
        <v>359</v>
      </c>
      <c r="D124" s="35" t="s">
        <v>366</v>
      </c>
      <c r="E124" s="34" t="s">
        <v>172</v>
      </c>
      <c r="F124" s="34" t="s">
        <v>0</v>
      </c>
      <c r="G124" s="16" t="s">
        <v>81</v>
      </c>
      <c r="H124" s="34">
        <v>80</v>
      </c>
      <c r="I124" s="34" t="s">
        <v>66</v>
      </c>
      <c r="J124" s="34" t="s">
        <v>3</v>
      </c>
      <c r="K124" s="35" t="s">
        <v>9</v>
      </c>
      <c r="L124" s="36" t="e">
        <f>VLOOKUP(G124,#REF!,4,0)</f>
        <v>#REF!</v>
      </c>
      <c r="M124" s="37" t="e">
        <f>_xlfn.IFNA(VLOOKUP(G124,#REF!,2,0),"")</f>
        <v>#REF!</v>
      </c>
      <c r="N124" s="38" t="e">
        <f>_xlfn.IFNA(VLOOKUP(G124,#REF!,3,0),"")</f>
        <v>#REF!</v>
      </c>
      <c r="O124" s="39">
        <v>5</v>
      </c>
      <c r="P124" s="67">
        <v>75.039682539682545</v>
      </c>
      <c r="Q124" s="39" t="s">
        <v>10</v>
      </c>
      <c r="R124" s="34">
        <v>3.9</v>
      </c>
      <c r="S124" s="38"/>
      <c r="T124" s="40">
        <v>3.1645569620253164</v>
      </c>
      <c r="U124" s="41">
        <f t="shared" si="13"/>
        <v>295.81931886678723</v>
      </c>
      <c r="V124" s="42">
        <f t="shared" si="7"/>
        <v>3.6977414858348405</v>
      </c>
      <c r="W124" s="43">
        <f t="shared" si="10"/>
        <v>0.55190171430370749</v>
      </c>
      <c r="X124" s="38"/>
      <c r="Y124" s="38"/>
      <c r="Z124" s="44"/>
      <c r="AA124" s="45">
        <v>46051</v>
      </c>
      <c r="AB124" s="45">
        <v>46075</v>
      </c>
      <c r="AC124" s="45"/>
      <c r="AD124" s="46" t="e">
        <f>IF(ISNA(VLOOKUP(D124,#REF!,5,0)),0,VLOOKUP(D124,#REF!,5,0))</f>
        <v>#REF!</v>
      </c>
      <c r="AE124" s="46" t="e">
        <f t="shared" si="8"/>
        <v>#REF!</v>
      </c>
      <c r="AF124" s="45">
        <v>46079</v>
      </c>
      <c r="AG124" s="33">
        <f t="shared" si="9"/>
        <v>28</v>
      </c>
      <c r="AH124" s="45">
        <v>46112</v>
      </c>
      <c r="AI124" s="39">
        <v>94</v>
      </c>
      <c r="AJ124" s="56">
        <f t="shared" si="11"/>
        <v>33</v>
      </c>
      <c r="AK124" s="39"/>
      <c r="AL124" s="35"/>
      <c r="AM124" s="34"/>
      <c r="AN124" s="34"/>
      <c r="AO124" s="39"/>
      <c r="AP124" s="47"/>
      <c r="AQ124" s="47"/>
      <c r="AR124" s="47"/>
      <c r="AS124" s="47"/>
    </row>
    <row r="125" spans="1:45" ht="12" customHeight="1" x14ac:dyDescent="0.25">
      <c r="A125" s="33">
        <v>124</v>
      </c>
      <c r="B125" s="34"/>
      <c r="C125" s="34" t="s">
        <v>359</v>
      </c>
      <c r="D125" s="35" t="s">
        <v>366</v>
      </c>
      <c r="E125" s="34" t="s">
        <v>172</v>
      </c>
      <c r="F125" s="34" t="s">
        <v>0</v>
      </c>
      <c r="G125" s="16" t="s">
        <v>79</v>
      </c>
      <c r="H125" s="34">
        <v>672</v>
      </c>
      <c r="I125" s="34" t="s">
        <v>66</v>
      </c>
      <c r="J125" s="34" t="s">
        <v>3</v>
      </c>
      <c r="K125" s="35" t="s">
        <v>9</v>
      </c>
      <c r="L125" s="36" t="e">
        <f>VLOOKUP(G125,#REF!,4,0)</f>
        <v>#REF!</v>
      </c>
      <c r="M125" s="37" t="e">
        <f>_xlfn.IFNA(VLOOKUP(G125,#REF!,2,0),"")</f>
        <v>#REF!</v>
      </c>
      <c r="N125" s="38" t="e">
        <f>_xlfn.IFNA(VLOOKUP(G125,#REF!,3,0),"")</f>
        <v>#REF!</v>
      </c>
      <c r="O125" s="39">
        <v>42</v>
      </c>
      <c r="P125" s="67">
        <v>630.33333333333337</v>
      </c>
      <c r="Q125" s="39" t="s">
        <v>10</v>
      </c>
      <c r="R125" s="34">
        <v>3.9</v>
      </c>
      <c r="S125" s="38"/>
      <c r="T125" s="40">
        <v>26.582278481012658</v>
      </c>
      <c r="U125" s="41">
        <f t="shared" si="13"/>
        <v>2484.8822784810127</v>
      </c>
      <c r="V125" s="42">
        <f t="shared" si="7"/>
        <v>3.6977414858348405</v>
      </c>
      <c r="W125" s="43">
        <f t="shared" si="10"/>
        <v>0.55190171430370749</v>
      </c>
      <c r="X125" s="38"/>
      <c r="Y125" s="38"/>
      <c r="Z125" s="44"/>
      <c r="AA125" s="45">
        <v>46051</v>
      </c>
      <c r="AB125" s="45">
        <v>46075</v>
      </c>
      <c r="AC125" s="45"/>
      <c r="AD125" s="46" t="e">
        <f>IF(ISNA(VLOOKUP(D125,#REF!,5,0)),0,VLOOKUP(D125,#REF!,5,0))</f>
        <v>#REF!</v>
      </c>
      <c r="AE125" s="46" t="e">
        <f t="shared" si="8"/>
        <v>#REF!</v>
      </c>
      <c r="AF125" s="45">
        <v>46079</v>
      </c>
      <c r="AG125" s="33">
        <f t="shared" si="9"/>
        <v>28</v>
      </c>
      <c r="AH125" s="45">
        <v>46112</v>
      </c>
      <c r="AI125" s="39">
        <v>672</v>
      </c>
      <c r="AJ125" s="56">
        <f t="shared" si="11"/>
        <v>33</v>
      </c>
      <c r="AK125" s="39"/>
      <c r="AL125" s="35"/>
      <c r="AM125" s="34"/>
      <c r="AN125" s="34"/>
      <c r="AO125" s="39"/>
      <c r="AP125" s="47"/>
      <c r="AQ125" s="47"/>
      <c r="AR125" s="47"/>
      <c r="AS125" s="47"/>
    </row>
    <row r="126" spans="1:45" ht="12" customHeight="1" x14ac:dyDescent="0.25">
      <c r="A126" s="33">
        <v>125</v>
      </c>
      <c r="B126" s="34"/>
      <c r="C126" s="34" t="s">
        <v>359</v>
      </c>
      <c r="D126" s="35" t="s">
        <v>366</v>
      </c>
      <c r="E126" s="34" t="s">
        <v>172</v>
      </c>
      <c r="F126" s="34" t="s">
        <v>0</v>
      </c>
      <c r="G126" s="16" t="s">
        <v>82</v>
      </c>
      <c r="H126" s="34">
        <v>592</v>
      </c>
      <c r="I126" s="34" t="s">
        <v>66</v>
      </c>
      <c r="J126" s="34" t="s">
        <v>3</v>
      </c>
      <c r="K126" s="35" t="s">
        <v>9</v>
      </c>
      <c r="L126" s="36" t="e">
        <f>VLOOKUP(G126,#REF!,4,0)</f>
        <v>#REF!</v>
      </c>
      <c r="M126" s="37" t="e">
        <f>_xlfn.IFNA(VLOOKUP(G126,#REF!,2,0),"")</f>
        <v>#REF!</v>
      </c>
      <c r="N126" s="38" t="e">
        <f>_xlfn.IFNA(VLOOKUP(G126,#REF!,3,0),"")</f>
        <v>#REF!</v>
      </c>
      <c r="O126" s="39">
        <v>37</v>
      </c>
      <c r="P126" s="67">
        <v>555.29365079365084</v>
      </c>
      <c r="Q126" s="39" t="s">
        <v>10</v>
      </c>
      <c r="R126" s="34">
        <v>3.9</v>
      </c>
      <c r="S126" s="38"/>
      <c r="T126" s="40">
        <v>23.417721518987342</v>
      </c>
      <c r="U126" s="41">
        <f t="shared" si="13"/>
        <v>2189.0629596142257</v>
      </c>
      <c r="V126" s="42">
        <f t="shared" si="7"/>
        <v>3.697741485834841</v>
      </c>
      <c r="W126" s="43">
        <f t="shared" si="10"/>
        <v>0.5519017143037076</v>
      </c>
      <c r="X126" s="38"/>
      <c r="Y126" s="38"/>
      <c r="Z126" s="44"/>
      <c r="AA126" s="45">
        <v>46051</v>
      </c>
      <c r="AB126" s="45">
        <v>46075</v>
      </c>
      <c r="AC126" s="45"/>
      <c r="AD126" s="46" t="e">
        <f>IF(ISNA(VLOOKUP(D126,#REF!,5,0)),0,VLOOKUP(D126,#REF!,5,0))</f>
        <v>#REF!</v>
      </c>
      <c r="AE126" s="46" t="e">
        <f t="shared" si="8"/>
        <v>#REF!</v>
      </c>
      <c r="AF126" s="45">
        <v>46079</v>
      </c>
      <c r="AG126" s="33">
        <f t="shared" si="9"/>
        <v>28</v>
      </c>
      <c r="AH126" s="45">
        <v>46112</v>
      </c>
      <c r="AI126" s="39">
        <v>592</v>
      </c>
      <c r="AJ126" s="56">
        <f t="shared" si="11"/>
        <v>33</v>
      </c>
      <c r="AK126" s="39"/>
      <c r="AL126" s="35"/>
      <c r="AM126" s="34"/>
      <c r="AN126" s="34"/>
      <c r="AO126" s="39"/>
      <c r="AP126" s="47"/>
      <c r="AQ126" s="47"/>
      <c r="AR126" s="47"/>
      <c r="AS126" s="47"/>
    </row>
    <row r="127" spans="1:45" ht="12" customHeight="1" x14ac:dyDescent="0.25">
      <c r="A127" s="33">
        <v>126</v>
      </c>
      <c r="B127" s="34"/>
      <c r="C127" s="34" t="s">
        <v>359</v>
      </c>
      <c r="D127" s="35" t="s">
        <v>366</v>
      </c>
      <c r="E127" s="34" t="s">
        <v>172</v>
      </c>
      <c r="F127" s="34" t="s">
        <v>0</v>
      </c>
      <c r="G127" s="16" t="s">
        <v>123</v>
      </c>
      <c r="H127" s="34">
        <v>240</v>
      </c>
      <c r="I127" s="34" t="s">
        <v>66</v>
      </c>
      <c r="J127" s="34" t="s">
        <v>3</v>
      </c>
      <c r="K127" s="35" t="s">
        <v>9</v>
      </c>
      <c r="L127" s="36" t="e">
        <f>VLOOKUP(G127,#REF!,4,0)</f>
        <v>#REF!</v>
      </c>
      <c r="M127" s="37" t="e">
        <f>_xlfn.IFNA(VLOOKUP(G127,#REF!,2,0),"")</f>
        <v>#REF!</v>
      </c>
      <c r="N127" s="38" t="e">
        <f>_xlfn.IFNA(VLOOKUP(G127,#REF!,3,0),"")</f>
        <v>#REF!</v>
      </c>
      <c r="O127" s="39">
        <v>15</v>
      </c>
      <c r="P127" s="67">
        <v>225.11904761904762</v>
      </c>
      <c r="Q127" s="39" t="s">
        <v>10</v>
      </c>
      <c r="R127" s="34">
        <v>3.9</v>
      </c>
      <c r="S127" s="38"/>
      <c r="T127" s="40">
        <v>9.4936708860759502</v>
      </c>
      <c r="U127" s="41">
        <f t="shared" si="13"/>
        <v>887.45795660036163</v>
      </c>
      <c r="V127" s="42">
        <f t="shared" si="7"/>
        <v>3.6977414858348401</v>
      </c>
      <c r="W127" s="43">
        <f t="shared" si="10"/>
        <v>0.55190171430370749</v>
      </c>
      <c r="X127" s="38"/>
      <c r="Y127" s="38"/>
      <c r="Z127" s="44"/>
      <c r="AA127" s="45">
        <v>46051</v>
      </c>
      <c r="AB127" s="45">
        <v>46075</v>
      </c>
      <c r="AC127" s="45"/>
      <c r="AD127" s="46" t="e">
        <f>IF(ISNA(VLOOKUP(D127,#REF!,5,0)),0,VLOOKUP(D127,#REF!,5,0))</f>
        <v>#REF!</v>
      </c>
      <c r="AE127" s="46" t="e">
        <f t="shared" si="8"/>
        <v>#REF!</v>
      </c>
      <c r="AF127" s="45">
        <v>46079</v>
      </c>
      <c r="AG127" s="33">
        <f t="shared" si="9"/>
        <v>28</v>
      </c>
      <c r="AH127" s="45">
        <v>46112</v>
      </c>
      <c r="AI127" s="39">
        <v>240</v>
      </c>
      <c r="AJ127" s="56">
        <f t="shared" si="11"/>
        <v>33</v>
      </c>
      <c r="AK127" s="39"/>
      <c r="AL127" s="35"/>
      <c r="AM127" s="34"/>
      <c r="AN127" s="34"/>
      <c r="AO127" s="39"/>
      <c r="AP127" s="47"/>
      <c r="AQ127" s="47"/>
      <c r="AR127" s="47"/>
      <c r="AS127" s="47"/>
    </row>
    <row r="128" spans="1:45" ht="12" customHeight="1" x14ac:dyDescent="0.25">
      <c r="A128" s="33">
        <v>127</v>
      </c>
      <c r="B128" s="34"/>
      <c r="C128" s="34" t="s">
        <v>359</v>
      </c>
      <c r="D128" s="35" t="s">
        <v>366</v>
      </c>
      <c r="E128" s="34" t="s">
        <v>172</v>
      </c>
      <c r="F128" s="34" t="s">
        <v>0</v>
      </c>
      <c r="G128" s="16" t="s">
        <v>115</v>
      </c>
      <c r="H128" s="34">
        <v>272</v>
      </c>
      <c r="I128" s="34" t="s">
        <v>66</v>
      </c>
      <c r="J128" s="34" t="s">
        <v>3</v>
      </c>
      <c r="K128" s="35" t="s">
        <v>9</v>
      </c>
      <c r="L128" s="36" t="e">
        <f>VLOOKUP(G128,#REF!,4,0)</f>
        <v>#REF!</v>
      </c>
      <c r="M128" s="37" t="e">
        <f>_xlfn.IFNA(VLOOKUP(G128,#REF!,2,0),"")</f>
        <v>#REF!</v>
      </c>
      <c r="N128" s="38" t="e">
        <f>_xlfn.IFNA(VLOOKUP(G128,#REF!,3,0),"")</f>
        <v>#REF!</v>
      </c>
      <c r="O128" s="39">
        <v>17</v>
      </c>
      <c r="P128" s="67">
        <v>255.13492063492063</v>
      </c>
      <c r="Q128" s="39" t="s">
        <v>10</v>
      </c>
      <c r="R128" s="34">
        <v>3.9</v>
      </c>
      <c r="S128" s="38"/>
      <c r="T128" s="40">
        <v>10.759493670886076</v>
      </c>
      <c r="U128" s="41">
        <f t="shared" si="13"/>
        <v>1005.7856841470765</v>
      </c>
      <c r="V128" s="42">
        <f t="shared" si="7"/>
        <v>3.6977414858348401</v>
      </c>
      <c r="W128" s="43">
        <f t="shared" si="10"/>
        <v>0.55190171430370749</v>
      </c>
      <c r="X128" s="38"/>
      <c r="Y128" s="38"/>
      <c r="Z128" s="44"/>
      <c r="AA128" s="45">
        <v>46051</v>
      </c>
      <c r="AB128" s="45">
        <v>46075</v>
      </c>
      <c r="AC128" s="45"/>
      <c r="AD128" s="46" t="e">
        <f>IF(ISNA(VLOOKUP(D128,#REF!,5,0)),0,VLOOKUP(D128,#REF!,5,0))</f>
        <v>#REF!</v>
      </c>
      <c r="AE128" s="46" t="e">
        <f t="shared" si="8"/>
        <v>#REF!</v>
      </c>
      <c r="AF128" s="45">
        <v>46079</v>
      </c>
      <c r="AG128" s="33">
        <f t="shared" si="9"/>
        <v>28</v>
      </c>
      <c r="AH128" s="45">
        <v>46112</v>
      </c>
      <c r="AI128" s="39">
        <v>272</v>
      </c>
      <c r="AJ128" s="56">
        <f t="shared" si="11"/>
        <v>33</v>
      </c>
      <c r="AK128" s="39"/>
      <c r="AL128" s="35"/>
      <c r="AM128" s="34"/>
      <c r="AN128" s="34"/>
      <c r="AO128" s="39"/>
      <c r="AP128" s="47"/>
      <c r="AQ128" s="47"/>
      <c r="AR128" s="47"/>
      <c r="AS128" s="47"/>
    </row>
    <row r="129" spans="1:45" ht="12" customHeight="1" x14ac:dyDescent="0.25">
      <c r="A129" s="33">
        <v>128</v>
      </c>
      <c r="B129" s="34"/>
      <c r="C129" s="34" t="s">
        <v>359</v>
      </c>
      <c r="D129" s="35" t="s">
        <v>366</v>
      </c>
      <c r="E129" s="34" t="s">
        <v>172</v>
      </c>
      <c r="F129" s="34" t="s">
        <v>0</v>
      </c>
      <c r="G129" s="16" t="s">
        <v>133</v>
      </c>
      <c r="H129" s="34">
        <v>16</v>
      </c>
      <c r="I129" s="34" t="s">
        <v>66</v>
      </c>
      <c r="J129" s="34" t="s">
        <v>3</v>
      </c>
      <c r="K129" s="35" t="s">
        <v>9</v>
      </c>
      <c r="L129" s="36" t="e">
        <f>VLOOKUP(G129,#REF!,4,0)</f>
        <v>#REF!</v>
      </c>
      <c r="M129" s="37" t="e">
        <f>_xlfn.IFNA(VLOOKUP(G129,#REF!,2,0),"")</f>
        <v>#REF!</v>
      </c>
      <c r="N129" s="38" t="e">
        <f>_xlfn.IFNA(VLOOKUP(G129,#REF!,3,0),"")</f>
        <v>#REF!</v>
      </c>
      <c r="O129" s="39">
        <v>1</v>
      </c>
      <c r="P129" s="67">
        <v>15.007936507936508</v>
      </c>
      <c r="Q129" s="39" t="s">
        <v>10</v>
      </c>
      <c r="R129" s="34">
        <v>3.9</v>
      </c>
      <c r="S129" s="38"/>
      <c r="T129" s="40">
        <v>0.63291139240506333</v>
      </c>
      <c r="U129" s="41">
        <f t="shared" si="13"/>
        <v>59.163863773357441</v>
      </c>
      <c r="V129" s="42">
        <f t="shared" si="7"/>
        <v>3.6977414858348401</v>
      </c>
      <c r="W129" s="43">
        <f t="shared" si="10"/>
        <v>0.55190171430370749</v>
      </c>
      <c r="X129" s="38"/>
      <c r="Y129" s="38"/>
      <c r="Z129" s="44"/>
      <c r="AA129" s="45">
        <v>46051</v>
      </c>
      <c r="AB129" s="45">
        <v>46075</v>
      </c>
      <c r="AC129" s="45"/>
      <c r="AD129" s="46" t="e">
        <f>IF(ISNA(VLOOKUP(D129,#REF!,5,0)),0,VLOOKUP(D129,#REF!,5,0))</f>
        <v>#REF!</v>
      </c>
      <c r="AE129" s="46" t="e">
        <f t="shared" si="8"/>
        <v>#REF!</v>
      </c>
      <c r="AF129" s="45">
        <v>46079</v>
      </c>
      <c r="AG129" s="33">
        <f t="shared" si="9"/>
        <v>28</v>
      </c>
      <c r="AH129" s="45">
        <v>46112</v>
      </c>
      <c r="AI129" s="39">
        <v>16</v>
      </c>
      <c r="AJ129" s="56">
        <f t="shared" si="11"/>
        <v>33</v>
      </c>
      <c r="AK129" s="39"/>
      <c r="AL129" s="35"/>
      <c r="AM129" s="34"/>
      <c r="AN129" s="34"/>
      <c r="AO129" s="39"/>
      <c r="AP129" s="47"/>
      <c r="AQ129" s="47"/>
      <c r="AR129" s="47"/>
      <c r="AS129" s="47"/>
    </row>
    <row r="130" spans="1:45" ht="12" customHeight="1" x14ac:dyDescent="0.25">
      <c r="A130" s="33">
        <v>129</v>
      </c>
      <c r="B130" s="34"/>
      <c r="C130" s="34" t="s">
        <v>359</v>
      </c>
      <c r="D130" s="35" t="s">
        <v>366</v>
      </c>
      <c r="E130" s="34" t="s">
        <v>172</v>
      </c>
      <c r="F130" s="34" t="s">
        <v>0</v>
      </c>
      <c r="G130" s="16" t="s">
        <v>113</v>
      </c>
      <c r="H130" s="34">
        <v>80</v>
      </c>
      <c r="I130" s="34" t="s">
        <v>66</v>
      </c>
      <c r="J130" s="34" t="s">
        <v>3</v>
      </c>
      <c r="K130" s="35" t="s">
        <v>9</v>
      </c>
      <c r="L130" s="36" t="e">
        <f>VLOOKUP(G130,#REF!,4,0)</f>
        <v>#REF!</v>
      </c>
      <c r="M130" s="37" t="e">
        <f>_xlfn.IFNA(VLOOKUP(G130,#REF!,2,0),"")</f>
        <v>#REF!</v>
      </c>
      <c r="N130" s="38" t="e">
        <f>_xlfn.IFNA(VLOOKUP(G130,#REF!,3,0),"")</f>
        <v>#REF!</v>
      </c>
      <c r="O130" s="39">
        <v>5</v>
      </c>
      <c r="P130" s="67">
        <v>75.039682539682545</v>
      </c>
      <c r="Q130" s="39" t="s">
        <v>10</v>
      </c>
      <c r="R130" s="34">
        <v>3.9</v>
      </c>
      <c r="S130" s="38"/>
      <c r="T130" s="40">
        <v>3.1645569620253164</v>
      </c>
      <c r="U130" s="41">
        <f t="shared" si="13"/>
        <v>295.81931886678723</v>
      </c>
      <c r="V130" s="42">
        <f t="shared" ref="V130:V193" si="14">U130/H130</f>
        <v>3.6977414858348405</v>
      </c>
      <c r="W130" s="43">
        <f t="shared" si="10"/>
        <v>0.55190171430370749</v>
      </c>
      <c r="X130" s="38"/>
      <c r="Y130" s="38"/>
      <c r="Z130" s="44"/>
      <c r="AA130" s="45">
        <v>46051</v>
      </c>
      <c r="AB130" s="45">
        <v>46075</v>
      </c>
      <c r="AC130" s="45"/>
      <c r="AD130" s="46" t="e">
        <f>IF(ISNA(VLOOKUP(D130,#REF!,5,0)),0,VLOOKUP(D130,#REF!,5,0))</f>
        <v>#REF!</v>
      </c>
      <c r="AE130" s="46" t="e">
        <f t="shared" ref="AE130:AE193" si="15">AD130*H130</f>
        <v>#REF!</v>
      </c>
      <c r="AF130" s="45">
        <v>46079</v>
      </c>
      <c r="AG130" s="33">
        <f t="shared" ref="AG130:AG193" si="16">AF130-AA130</f>
        <v>28</v>
      </c>
      <c r="AH130" s="45">
        <v>46112</v>
      </c>
      <c r="AI130" s="39">
        <v>80</v>
      </c>
      <c r="AJ130" s="56">
        <f t="shared" si="11"/>
        <v>33</v>
      </c>
      <c r="AK130" s="39"/>
      <c r="AL130" s="35"/>
      <c r="AM130" s="34"/>
      <c r="AN130" s="34"/>
      <c r="AO130" s="39"/>
      <c r="AP130" s="47"/>
      <c r="AQ130" s="47"/>
      <c r="AR130" s="47"/>
      <c r="AS130" s="47"/>
    </row>
    <row r="131" spans="1:45" ht="12" customHeight="1" x14ac:dyDescent="0.25">
      <c r="A131" s="33">
        <v>130</v>
      </c>
      <c r="B131" s="34"/>
      <c r="C131" s="34" t="s">
        <v>359</v>
      </c>
      <c r="D131" s="35" t="s">
        <v>366</v>
      </c>
      <c r="E131" s="34" t="s">
        <v>172</v>
      </c>
      <c r="F131" s="34" t="s">
        <v>0</v>
      </c>
      <c r="G131" s="16" t="s">
        <v>114</v>
      </c>
      <c r="H131" s="34">
        <v>64</v>
      </c>
      <c r="I131" s="34" t="s">
        <v>66</v>
      </c>
      <c r="J131" s="34" t="s">
        <v>3</v>
      </c>
      <c r="K131" s="35" t="s">
        <v>9</v>
      </c>
      <c r="L131" s="36" t="e">
        <f>VLOOKUP(G131,#REF!,4,0)</f>
        <v>#REF!</v>
      </c>
      <c r="M131" s="37" t="e">
        <f>_xlfn.IFNA(VLOOKUP(G131,#REF!,2,0),"")</f>
        <v>#REF!</v>
      </c>
      <c r="N131" s="38" t="e">
        <f>_xlfn.IFNA(VLOOKUP(G131,#REF!,3,0),"")</f>
        <v>#REF!</v>
      </c>
      <c r="O131" s="39">
        <v>4</v>
      </c>
      <c r="P131" s="67">
        <v>60.031746031746032</v>
      </c>
      <c r="Q131" s="39" t="s">
        <v>10</v>
      </c>
      <c r="R131" s="34">
        <v>3.9</v>
      </c>
      <c r="S131" s="38"/>
      <c r="T131" s="40">
        <v>2.5316455696202533</v>
      </c>
      <c r="U131" s="41">
        <f t="shared" si="13"/>
        <v>236.65545509342977</v>
      </c>
      <c r="V131" s="42">
        <f t="shared" si="14"/>
        <v>3.6977414858348401</v>
      </c>
      <c r="W131" s="43">
        <f t="shared" ref="W131:W179" si="17">V131/6.7</f>
        <v>0.55190171430370749</v>
      </c>
      <c r="X131" s="38"/>
      <c r="Y131" s="38"/>
      <c r="Z131" s="44"/>
      <c r="AA131" s="45">
        <v>46051</v>
      </c>
      <c r="AB131" s="45">
        <v>46075</v>
      </c>
      <c r="AC131" s="45"/>
      <c r="AD131" s="46" t="e">
        <f>IF(ISNA(VLOOKUP(D131,#REF!,5,0)),0,VLOOKUP(D131,#REF!,5,0))</f>
        <v>#REF!</v>
      </c>
      <c r="AE131" s="46" t="e">
        <f t="shared" si="15"/>
        <v>#REF!</v>
      </c>
      <c r="AF131" s="45">
        <v>46079</v>
      </c>
      <c r="AG131" s="33">
        <f t="shared" si="16"/>
        <v>28</v>
      </c>
      <c r="AH131" s="45">
        <v>46112</v>
      </c>
      <c r="AI131" s="39">
        <v>64</v>
      </c>
      <c r="AJ131" s="56">
        <f t="shared" ref="AJ131:AJ194" si="18">AH131-AF131</f>
        <v>33</v>
      </c>
      <c r="AK131" s="39"/>
      <c r="AL131" s="35"/>
      <c r="AM131" s="34"/>
      <c r="AN131" s="34"/>
      <c r="AO131" s="39"/>
      <c r="AP131" s="47"/>
      <c r="AQ131" s="47"/>
      <c r="AR131" s="47"/>
      <c r="AS131" s="47"/>
    </row>
    <row r="132" spans="1:45" s="64" customFormat="1" ht="12" customHeight="1" x14ac:dyDescent="0.25">
      <c r="A132" s="50">
        <v>131</v>
      </c>
      <c r="B132" s="51"/>
      <c r="C132" s="51" t="s">
        <v>367</v>
      </c>
      <c r="D132" s="52" t="s">
        <v>368</v>
      </c>
      <c r="E132" s="51" t="s">
        <v>58</v>
      </c>
      <c r="F132" s="51" t="s">
        <v>0</v>
      </c>
      <c r="G132" s="53" t="s">
        <v>88</v>
      </c>
      <c r="H132" s="51">
        <v>450</v>
      </c>
      <c r="I132" s="51" t="s">
        <v>87</v>
      </c>
      <c r="J132" s="51" t="s">
        <v>3</v>
      </c>
      <c r="K132" s="52" t="s">
        <v>9</v>
      </c>
      <c r="L132" s="54" t="e">
        <f>VLOOKUP(G132,#REF!,4,0)</f>
        <v>#REF!</v>
      </c>
      <c r="M132" s="55" t="e">
        <f>_xlfn.IFNA(VLOOKUP(G132,#REF!,2,0),"")</f>
        <v>#REF!</v>
      </c>
      <c r="N132" s="51" t="e">
        <f>_xlfn.IFNA(VLOOKUP(G132,#REF!,3,0),"")</f>
        <v>#REF!</v>
      </c>
      <c r="O132" s="56">
        <v>5</v>
      </c>
      <c r="P132" s="67">
        <v>80</v>
      </c>
      <c r="Q132" s="56" t="s">
        <v>10</v>
      </c>
      <c r="R132" s="51">
        <v>5.6</v>
      </c>
      <c r="S132" s="51">
        <v>200</v>
      </c>
      <c r="T132" s="57">
        <v>90.909090909090907</v>
      </c>
      <c r="U132" s="58">
        <f t="shared" si="13"/>
        <v>538.90909090909088</v>
      </c>
      <c r="V132" s="59">
        <f t="shared" si="14"/>
        <v>1.1975757575757575</v>
      </c>
      <c r="W132" s="60">
        <f t="shared" si="17"/>
        <v>0.17874265038444143</v>
      </c>
      <c r="X132" s="51"/>
      <c r="Y132" s="51"/>
      <c r="Z132" s="57"/>
      <c r="AA132" s="61">
        <v>46052</v>
      </c>
      <c r="AB132" s="61">
        <v>46072</v>
      </c>
      <c r="AC132" s="61"/>
      <c r="AD132" s="62" t="e">
        <f>IF(ISNA(VLOOKUP(D132,#REF!,5,0)),0,VLOOKUP(D132,#REF!,5,0))</f>
        <v>#REF!</v>
      </c>
      <c r="AE132" s="62" t="e">
        <f t="shared" si="15"/>
        <v>#REF!</v>
      </c>
      <c r="AF132" s="61">
        <v>46086</v>
      </c>
      <c r="AG132" s="33">
        <f t="shared" si="16"/>
        <v>34</v>
      </c>
      <c r="AH132" s="61">
        <v>46118</v>
      </c>
      <c r="AI132" s="56">
        <v>450</v>
      </c>
      <c r="AJ132" s="56">
        <f t="shared" si="18"/>
        <v>32</v>
      </c>
      <c r="AK132" s="56"/>
      <c r="AL132" s="52"/>
      <c r="AM132" s="51"/>
      <c r="AN132" s="51"/>
      <c r="AO132" s="56"/>
      <c r="AP132" s="63"/>
      <c r="AQ132" s="63"/>
      <c r="AR132" s="63"/>
      <c r="AS132" s="63"/>
    </row>
    <row r="133" spans="1:45" s="64" customFormat="1" ht="12" customHeight="1" x14ac:dyDescent="0.25">
      <c r="A133" s="50">
        <v>132</v>
      </c>
      <c r="B133" s="51"/>
      <c r="C133" s="51" t="s">
        <v>367</v>
      </c>
      <c r="D133" s="52" t="s">
        <v>368</v>
      </c>
      <c r="E133" s="51" t="s">
        <v>58</v>
      </c>
      <c r="F133" s="51" t="s">
        <v>0</v>
      </c>
      <c r="G133" s="53" t="s">
        <v>212</v>
      </c>
      <c r="H133" s="51">
        <v>120</v>
      </c>
      <c r="I133" s="51" t="s">
        <v>87</v>
      </c>
      <c r="J133" s="51" t="s">
        <v>3</v>
      </c>
      <c r="K133" s="52" t="s">
        <v>9</v>
      </c>
      <c r="L133" s="54" t="e">
        <f>VLOOKUP(G133,#REF!,4,0)</f>
        <v>#REF!</v>
      </c>
      <c r="M133" s="55" t="e">
        <f>_xlfn.IFNA(VLOOKUP(G133,#REF!,2,0),"")</f>
        <v>#REF!</v>
      </c>
      <c r="N133" s="51" t="e">
        <f>_xlfn.IFNA(VLOOKUP(G133,#REF!,3,0),"")</f>
        <v>#REF!</v>
      </c>
      <c r="O133" s="56">
        <v>6</v>
      </c>
      <c r="P133" s="67">
        <v>96</v>
      </c>
      <c r="Q133" s="56" t="s">
        <v>10</v>
      </c>
      <c r="R133" s="51">
        <v>5.6</v>
      </c>
      <c r="S133" s="65">
        <f>SUMIF(C:C,C132,T:T)</f>
        <v>200</v>
      </c>
      <c r="T133" s="57">
        <v>109.09090909090909</v>
      </c>
      <c r="U133" s="58">
        <f t="shared" si="13"/>
        <v>646.69090909090903</v>
      </c>
      <c r="V133" s="59">
        <f t="shared" si="14"/>
        <v>5.3890909090909087</v>
      </c>
      <c r="W133" s="60">
        <f t="shared" si="17"/>
        <v>0.80434192672998639</v>
      </c>
      <c r="X133" s="51"/>
      <c r="Y133" s="51"/>
      <c r="Z133" s="57"/>
      <c r="AA133" s="61">
        <v>46052</v>
      </c>
      <c r="AB133" s="61">
        <v>46072</v>
      </c>
      <c r="AC133" s="61"/>
      <c r="AD133" s="62" t="e">
        <f>IF(ISNA(VLOOKUP(D133,#REF!,5,0)),0,VLOOKUP(D133,#REF!,5,0))</f>
        <v>#REF!</v>
      </c>
      <c r="AE133" s="62" t="e">
        <f t="shared" si="15"/>
        <v>#REF!</v>
      </c>
      <c r="AF133" s="61">
        <v>46086</v>
      </c>
      <c r="AG133" s="33">
        <f t="shared" si="16"/>
        <v>34</v>
      </c>
      <c r="AH133" s="61">
        <v>46118</v>
      </c>
      <c r="AI133" s="56">
        <v>120</v>
      </c>
      <c r="AJ133" s="56">
        <f t="shared" si="18"/>
        <v>32</v>
      </c>
      <c r="AK133" s="56"/>
      <c r="AL133" s="52"/>
      <c r="AM133" s="51"/>
      <c r="AN133" s="51"/>
      <c r="AO133" s="56"/>
      <c r="AP133" s="63"/>
      <c r="AQ133" s="63"/>
      <c r="AR133" s="63"/>
      <c r="AS133" s="63"/>
    </row>
    <row r="134" spans="1:45" s="64" customFormat="1" ht="12" customHeight="1" x14ac:dyDescent="0.25">
      <c r="A134" s="50">
        <v>133</v>
      </c>
      <c r="B134" s="51"/>
      <c r="C134" s="51" t="s">
        <v>369</v>
      </c>
      <c r="D134" s="52" t="s">
        <v>370</v>
      </c>
      <c r="E134" s="51" t="s">
        <v>61</v>
      </c>
      <c r="F134" s="51" t="s">
        <v>0</v>
      </c>
      <c r="G134" s="53" t="s">
        <v>245</v>
      </c>
      <c r="H134" s="51">
        <v>360</v>
      </c>
      <c r="I134" s="51" t="s">
        <v>218</v>
      </c>
      <c r="J134" s="51" t="s">
        <v>3</v>
      </c>
      <c r="K134" s="52" t="s">
        <v>6</v>
      </c>
      <c r="L134" s="54" t="e">
        <f>VLOOKUP(G134,#REF!,4,0)</f>
        <v>#REF!</v>
      </c>
      <c r="M134" s="55" t="e">
        <f>_xlfn.IFNA(VLOOKUP(G134,#REF!,2,0),"")</f>
        <v>#REF!</v>
      </c>
      <c r="N134" s="51" t="e">
        <f>_xlfn.IFNA(VLOOKUP(G134,#REF!,3,0),"")</f>
        <v>#REF!</v>
      </c>
      <c r="O134" s="56">
        <v>4</v>
      </c>
      <c r="P134" s="67">
        <v>0.33333333333333331</v>
      </c>
      <c r="Q134" s="56" t="s">
        <v>420</v>
      </c>
      <c r="R134" s="51">
        <v>1150</v>
      </c>
      <c r="S134" s="51">
        <f>180*1.06</f>
        <v>190.8</v>
      </c>
      <c r="T134" s="57">
        <v>63.6</v>
      </c>
      <c r="U134" s="58">
        <f t="shared" si="13"/>
        <v>446.93333333333334</v>
      </c>
      <c r="V134" s="59">
        <f t="shared" si="14"/>
        <v>1.2414814814814814</v>
      </c>
      <c r="W134" s="60">
        <f t="shared" si="17"/>
        <v>0.18529574350469871</v>
      </c>
      <c r="X134" s="51"/>
      <c r="Y134" s="51"/>
      <c r="Z134" s="57"/>
      <c r="AA134" s="61">
        <v>46052</v>
      </c>
      <c r="AB134" s="61">
        <v>46075</v>
      </c>
      <c r="AC134" s="61"/>
      <c r="AD134" s="62" t="e">
        <f>IF(ISNA(VLOOKUP(D134,#REF!,5,0)),0,VLOOKUP(D134,#REF!,5,0))</f>
        <v>#REF!</v>
      </c>
      <c r="AE134" s="62" t="e">
        <f t="shared" si="15"/>
        <v>#REF!</v>
      </c>
      <c r="AF134" s="61">
        <v>46084</v>
      </c>
      <c r="AG134" s="33">
        <f t="shared" si="16"/>
        <v>32</v>
      </c>
      <c r="AH134" s="61">
        <v>46113</v>
      </c>
      <c r="AI134" s="56">
        <v>359</v>
      </c>
      <c r="AJ134" s="56">
        <f t="shared" si="18"/>
        <v>29</v>
      </c>
      <c r="AK134" s="56"/>
      <c r="AL134" s="52"/>
      <c r="AM134" s="51"/>
      <c r="AN134" s="51"/>
      <c r="AO134" s="56"/>
      <c r="AP134" s="63"/>
      <c r="AQ134" s="63"/>
      <c r="AR134" s="63"/>
      <c r="AS134" s="63"/>
    </row>
    <row r="135" spans="1:45" s="64" customFormat="1" ht="12" customHeight="1" x14ac:dyDescent="0.25">
      <c r="A135" s="50">
        <v>134</v>
      </c>
      <c r="B135" s="51"/>
      <c r="C135" s="51" t="s">
        <v>369</v>
      </c>
      <c r="D135" s="52" t="s">
        <v>370</v>
      </c>
      <c r="E135" s="51" t="s">
        <v>61</v>
      </c>
      <c r="F135" s="51" t="s">
        <v>0</v>
      </c>
      <c r="G135" s="53" t="s">
        <v>329</v>
      </c>
      <c r="H135" s="51">
        <v>608</v>
      </c>
      <c r="I135" s="51" t="s">
        <v>218</v>
      </c>
      <c r="J135" s="51" t="s">
        <v>3</v>
      </c>
      <c r="K135" s="52" t="s">
        <v>6</v>
      </c>
      <c r="L135" s="54" t="e">
        <f>VLOOKUP(G135,#REF!,4,0)</f>
        <v>#REF!</v>
      </c>
      <c r="M135" s="55" t="e">
        <f>_xlfn.IFNA(VLOOKUP(G135,#REF!,2,0),"")</f>
        <v>#REF!</v>
      </c>
      <c r="N135" s="51" t="e">
        <f>_xlfn.IFNA(VLOOKUP(G135,#REF!,3,0),"")</f>
        <v>#REF!</v>
      </c>
      <c r="O135" s="56">
        <v>8</v>
      </c>
      <c r="P135" s="67">
        <v>0.66666666666666663</v>
      </c>
      <c r="Q135" s="56" t="s">
        <v>420</v>
      </c>
      <c r="R135" s="51">
        <v>1150</v>
      </c>
      <c r="S135" s="65">
        <f>SUMIF(C:C,C134,T:T)</f>
        <v>190.8</v>
      </c>
      <c r="T135" s="57">
        <v>127.2</v>
      </c>
      <c r="U135" s="58">
        <f t="shared" si="13"/>
        <v>893.86666666666667</v>
      </c>
      <c r="V135" s="59">
        <f t="shared" si="14"/>
        <v>1.4701754385964911</v>
      </c>
      <c r="W135" s="60">
        <f t="shared" si="17"/>
        <v>0.21942916993977479</v>
      </c>
      <c r="X135" s="51"/>
      <c r="Y135" s="51"/>
      <c r="Z135" s="57"/>
      <c r="AA135" s="61">
        <v>46052</v>
      </c>
      <c r="AB135" s="61">
        <v>46075</v>
      </c>
      <c r="AC135" s="61"/>
      <c r="AD135" s="62" t="e">
        <f>IF(ISNA(VLOOKUP(D135,#REF!,5,0)),0,VLOOKUP(D135,#REF!,5,0))</f>
        <v>#REF!</v>
      </c>
      <c r="AE135" s="62" t="e">
        <f t="shared" si="15"/>
        <v>#REF!</v>
      </c>
      <c r="AF135" s="61">
        <v>46084</v>
      </c>
      <c r="AG135" s="33">
        <f t="shared" si="16"/>
        <v>32</v>
      </c>
      <c r="AH135" s="61">
        <v>46113</v>
      </c>
      <c r="AI135" s="56">
        <v>607</v>
      </c>
      <c r="AJ135" s="56">
        <f t="shared" si="18"/>
        <v>29</v>
      </c>
      <c r="AK135" s="56"/>
      <c r="AL135" s="52"/>
      <c r="AM135" s="51"/>
      <c r="AN135" s="51"/>
      <c r="AO135" s="56"/>
      <c r="AP135" s="63"/>
      <c r="AQ135" s="63"/>
      <c r="AR135" s="63"/>
      <c r="AS135" s="63"/>
    </row>
    <row r="136" spans="1:45" s="64" customFormat="1" ht="12" customHeight="1" x14ac:dyDescent="0.25">
      <c r="A136" s="50">
        <v>135</v>
      </c>
      <c r="B136" s="51"/>
      <c r="C136" s="51" t="s">
        <v>219</v>
      </c>
      <c r="D136" s="52" t="s">
        <v>371</v>
      </c>
      <c r="E136" s="51" t="s">
        <v>61</v>
      </c>
      <c r="F136" s="51" t="s">
        <v>0</v>
      </c>
      <c r="G136" s="53" t="s">
        <v>121</v>
      </c>
      <c r="H136" s="51">
        <v>270</v>
      </c>
      <c r="I136" s="51" t="s">
        <v>218</v>
      </c>
      <c r="J136" s="51" t="s">
        <v>3</v>
      </c>
      <c r="K136" s="52" t="s">
        <v>6</v>
      </c>
      <c r="L136" s="54" t="e">
        <f>VLOOKUP(G136,#REF!,4,0)</f>
        <v>#REF!</v>
      </c>
      <c r="M136" s="55" t="e">
        <f>_xlfn.IFNA(VLOOKUP(G136,#REF!,2,0),"")</f>
        <v>#REF!</v>
      </c>
      <c r="N136" s="51" t="e">
        <f>_xlfn.IFNA(VLOOKUP(G136,#REF!,3,0),"")</f>
        <v>#REF!</v>
      </c>
      <c r="O136" s="56">
        <v>3</v>
      </c>
      <c r="P136" s="67">
        <v>57.5</v>
      </c>
      <c r="Q136" s="56" t="s">
        <v>429</v>
      </c>
      <c r="R136" s="51">
        <v>5.8</v>
      </c>
      <c r="S136" s="65"/>
      <c r="T136" s="57"/>
      <c r="U136" s="58">
        <f t="shared" si="13"/>
        <v>333.5</v>
      </c>
      <c r="V136" s="59">
        <f t="shared" si="14"/>
        <v>1.2351851851851852</v>
      </c>
      <c r="W136" s="60">
        <f t="shared" si="17"/>
        <v>0.1843559977888336</v>
      </c>
      <c r="X136" s="51"/>
      <c r="Y136" s="51"/>
      <c r="Z136" s="57"/>
      <c r="AA136" s="61">
        <v>46052</v>
      </c>
      <c r="AB136" s="61">
        <v>46072</v>
      </c>
      <c r="AC136" s="61"/>
      <c r="AD136" s="62" t="e">
        <f>IF(ISNA(VLOOKUP(D136,#REF!,5,0)),0,VLOOKUP(D136,#REF!,5,0))</f>
        <v>#REF!</v>
      </c>
      <c r="AE136" s="62" t="e">
        <f t="shared" si="15"/>
        <v>#REF!</v>
      </c>
      <c r="AF136" s="61">
        <v>46084</v>
      </c>
      <c r="AG136" s="33">
        <f t="shared" si="16"/>
        <v>32</v>
      </c>
      <c r="AH136" s="61">
        <v>46113</v>
      </c>
      <c r="AI136" s="56">
        <v>90</v>
      </c>
      <c r="AJ136" s="56">
        <f t="shared" si="18"/>
        <v>29</v>
      </c>
      <c r="AK136" s="56"/>
      <c r="AL136" s="52"/>
      <c r="AM136" s="51"/>
      <c r="AN136" s="51"/>
      <c r="AO136" s="56"/>
      <c r="AP136" s="63"/>
      <c r="AQ136" s="63"/>
      <c r="AR136" s="63"/>
      <c r="AS136" s="63"/>
    </row>
    <row r="137" spans="1:45" s="64" customFormat="1" ht="12" customHeight="1" x14ac:dyDescent="0.25">
      <c r="A137" s="50">
        <v>136</v>
      </c>
      <c r="B137" s="51"/>
      <c r="C137" s="51" t="s">
        <v>219</v>
      </c>
      <c r="D137" s="52" t="s">
        <v>371</v>
      </c>
      <c r="E137" s="51" t="s">
        <v>61</v>
      </c>
      <c r="F137" s="51" t="s">
        <v>0</v>
      </c>
      <c r="G137" s="53" t="s">
        <v>176</v>
      </c>
      <c r="H137" s="51">
        <v>90</v>
      </c>
      <c r="I137" s="51" t="s">
        <v>218</v>
      </c>
      <c r="J137" s="51" t="s">
        <v>3</v>
      </c>
      <c r="K137" s="52" t="s">
        <v>6</v>
      </c>
      <c r="L137" s="54" t="e">
        <f>VLOOKUP(G137,#REF!,4,0)</f>
        <v>#REF!</v>
      </c>
      <c r="M137" s="55" t="e">
        <f>_xlfn.IFNA(VLOOKUP(G137,#REF!,2,0),"")</f>
        <v>#REF!</v>
      </c>
      <c r="N137" s="51" t="e">
        <f>_xlfn.IFNA(VLOOKUP(G137,#REF!,3,0),"")</f>
        <v>#REF!</v>
      </c>
      <c r="O137" s="56">
        <v>1</v>
      </c>
      <c r="P137" s="67">
        <v>19.166666666666668</v>
      </c>
      <c r="Q137" s="56" t="s">
        <v>429</v>
      </c>
      <c r="R137" s="51">
        <v>5.8</v>
      </c>
      <c r="S137" s="51"/>
      <c r="T137" s="57"/>
      <c r="U137" s="58">
        <f t="shared" si="13"/>
        <v>111.16666666666667</v>
      </c>
      <c r="V137" s="59">
        <f t="shared" si="14"/>
        <v>1.2351851851851852</v>
      </c>
      <c r="W137" s="60">
        <f t="shared" si="17"/>
        <v>0.1843559977888336</v>
      </c>
      <c r="X137" s="51"/>
      <c r="Y137" s="51"/>
      <c r="Z137" s="57"/>
      <c r="AA137" s="61">
        <v>46052</v>
      </c>
      <c r="AB137" s="61">
        <v>46072</v>
      </c>
      <c r="AC137" s="61"/>
      <c r="AD137" s="62" t="e">
        <f>IF(ISNA(VLOOKUP(D137,#REF!,5,0)),0,VLOOKUP(D137,#REF!,5,0))</f>
        <v>#REF!</v>
      </c>
      <c r="AE137" s="62" t="e">
        <f t="shared" si="15"/>
        <v>#REF!</v>
      </c>
      <c r="AF137" s="61">
        <v>46084</v>
      </c>
      <c r="AG137" s="33">
        <f t="shared" si="16"/>
        <v>32</v>
      </c>
      <c r="AH137" s="61">
        <v>46113</v>
      </c>
      <c r="AI137" s="56">
        <v>270</v>
      </c>
      <c r="AJ137" s="56">
        <f t="shared" si="18"/>
        <v>29</v>
      </c>
      <c r="AK137" s="56"/>
      <c r="AL137" s="52"/>
      <c r="AM137" s="51"/>
      <c r="AN137" s="51"/>
      <c r="AO137" s="56"/>
      <c r="AP137" s="63"/>
      <c r="AQ137" s="63"/>
      <c r="AR137" s="63"/>
      <c r="AS137" s="63"/>
    </row>
    <row r="138" spans="1:45" s="64" customFormat="1" ht="12" customHeight="1" x14ac:dyDescent="0.25">
      <c r="A138" s="50">
        <v>137</v>
      </c>
      <c r="B138" s="51"/>
      <c r="C138" s="51" t="s">
        <v>219</v>
      </c>
      <c r="D138" s="52" t="s">
        <v>371</v>
      </c>
      <c r="E138" s="51" t="s">
        <v>61</v>
      </c>
      <c r="F138" s="51" t="s">
        <v>0</v>
      </c>
      <c r="G138" s="53" t="s">
        <v>246</v>
      </c>
      <c r="H138" s="51">
        <v>180</v>
      </c>
      <c r="I138" s="51" t="s">
        <v>218</v>
      </c>
      <c r="J138" s="51" t="s">
        <v>3</v>
      </c>
      <c r="K138" s="52" t="s">
        <v>6</v>
      </c>
      <c r="L138" s="54" t="e">
        <f>VLOOKUP(G138,#REF!,4,0)</f>
        <v>#REF!</v>
      </c>
      <c r="M138" s="55" t="e">
        <f>_xlfn.IFNA(VLOOKUP(G138,#REF!,2,0),"")</f>
        <v>#REF!</v>
      </c>
      <c r="N138" s="51" t="e">
        <f>_xlfn.IFNA(VLOOKUP(G138,#REF!,3,0),"")</f>
        <v>#REF!</v>
      </c>
      <c r="O138" s="56">
        <v>2</v>
      </c>
      <c r="P138" s="67">
        <v>38.333333333333336</v>
      </c>
      <c r="Q138" s="56" t="s">
        <v>429</v>
      </c>
      <c r="R138" s="51">
        <v>5.8</v>
      </c>
      <c r="S138" s="51"/>
      <c r="T138" s="57"/>
      <c r="U138" s="58">
        <f t="shared" si="13"/>
        <v>222.33333333333334</v>
      </c>
      <c r="V138" s="59">
        <f t="shared" si="14"/>
        <v>1.2351851851851852</v>
      </c>
      <c r="W138" s="60">
        <f t="shared" si="17"/>
        <v>0.1843559977888336</v>
      </c>
      <c r="X138" s="51"/>
      <c r="Y138" s="51"/>
      <c r="Z138" s="57"/>
      <c r="AA138" s="61">
        <v>46052</v>
      </c>
      <c r="AB138" s="61">
        <v>46072</v>
      </c>
      <c r="AC138" s="61"/>
      <c r="AD138" s="62" t="e">
        <f>IF(ISNA(VLOOKUP(D138,#REF!,5,0)),0,VLOOKUP(D138,#REF!,5,0))</f>
        <v>#REF!</v>
      </c>
      <c r="AE138" s="62" t="e">
        <f t="shared" si="15"/>
        <v>#REF!</v>
      </c>
      <c r="AF138" s="61">
        <v>46084</v>
      </c>
      <c r="AG138" s="33">
        <f t="shared" si="16"/>
        <v>32</v>
      </c>
      <c r="AH138" s="61">
        <v>46113</v>
      </c>
      <c r="AI138" s="56">
        <v>179</v>
      </c>
      <c r="AJ138" s="56">
        <f t="shared" si="18"/>
        <v>29</v>
      </c>
      <c r="AK138" s="56"/>
      <c r="AL138" s="52"/>
      <c r="AM138" s="51"/>
      <c r="AN138" s="51"/>
      <c r="AO138" s="56"/>
      <c r="AP138" s="63"/>
      <c r="AQ138" s="63"/>
      <c r="AR138" s="63"/>
      <c r="AS138" s="63"/>
    </row>
    <row r="139" spans="1:45" s="64" customFormat="1" ht="12" customHeight="1" x14ac:dyDescent="0.25">
      <c r="A139" s="50">
        <v>138</v>
      </c>
      <c r="B139" s="51"/>
      <c r="C139" s="51" t="s">
        <v>372</v>
      </c>
      <c r="D139" s="52" t="s">
        <v>373</v>
      </c>
      <c r="E139" s="51" t="s">
        <v>61</v>
      </c>
      <c r="F139" s="51" t="s">
        <v>0</v>
      </c>
      <c r="G139" s="53" t="s">
        <v>277</v>
      </c>
      <c r="H139" s="51">
        <v>192</v>
      </c>
      <c r="I139" s="51" t="s">
        <v>87</v>
      </c>
      <c r="J139" s="51" t="s">
        <v>3</v>
      </c>
      <c r="K139" s="52" t="s">
        <v>22</v>
      </c>
      <c r="L139" s="54" t="e">
        <f>VLOOKUP(G139,#REF!,4,0)</f>
        <v>#REF!</v>
      </c>
      <c r="M139" s="55" t="e">
        <f>_xlfn.IFNA(VLOOKUP(G139,#REF!,2,0),"")</f>
        <v>#REF!</v>
      </c>
      <c r="N139" s="51" t="e">
        <f>_xlfn.IFNA(VLOOKUP(G139,#REF!,3,0),"")</f>
        <v>#REF!</v>
      </c>
      <c r="O139" s="56">
        <v>3</v>
      </c>
      <c r="P139" s="67">
        <v>43.748571428571424</v>
      </c>
      <c r="Q139" s="56" t="s">
        <v>10</v>
      </c>
      <c r="R139" s="51">
        <v>5.6</v>
      </c>
      <c r="S139" s="51">
        <v>200</v>
      </c>
      <c r="T139" s="57">
        <v>50</v>
      </c>
      <c r="U139" s="58">
        <f t="shared" si="13"/>
        <v>294.99199999999996</v>
      </c>
      <c r="V139" s="59">
        <f t="shared" si="14"/>
        <v>1.5364166666666665</v>
      </c>
      <c r="W139" s="60">
        <f t="shared" si="17"/>
        <v>0.22931592039800994</v>
      </c>
      <c r="X139" s="51"/>
      <c r="Y139" s="51"/>
      <c r="Z139" s="57"/>
      <c r="AA139" s="61">
        <v>46051</v>
      </c>
      <c r="AB139" s="61">
        <v>46072</v>
      </c>
      <c r="AC139" s="61"/>
      <c r="AD139" s="62" t="e">
        <f>IF(ISNA(VLOOKUP(D139,#REF!,5,0)),0,VLOOKUP(D139,#REF!,5,0))</f>
        <v>#REF!</v>
      </c>
      <c r="AE139" s="62" t="e">
        <f t="shared" si="15"/>
        <v>#REF!</v>
      </c>
      <c r="AF139" s="61">
        <v>46089</v>
      </c>
      <c r="AG139" s="33">
        <f t="shared" si="16"/>
        <v>38</v>
      </c>
      <c r="AH139" s="61">
        <v>46118</v>
      </c>
      <c r="AI139" s="56">
        <v>192</v>
      </c>
      <c r="AJ139" s="56">
        <f t="shared" si="18"/>
        <v>29</v>
      </c>
      <c r="AK139" s="56"/>
      <c r="AL139" s="52"/>
      <c r="AM139" s="51"/>
      <c r="AN139" s="51"/>
      <c r="AO139" s="56"/>
      <c r="AP139" s="63"/>
      <c r="AQ139" s="63"/>
      <c r="AR139" s="63"/>
      <c r="AS139" s="63"/>
    </row>
    <row r="140" spans="1:45" s="64" customFormat="1" ht="12" customHeight="1" x14ac:dyDescent="0.25">
      <c r="A140" s="50">
        <v>139</v>
      </c>
      <c r="B140" s="51"/>
      <c r="C140" s="51" t="s">
        <v>372</v>
      </c>
      <c r="D140" s="52" t="s">
        <v>373</v>
      </c>
      <c r="E140" s="51" t="s">
        <v>61</v>
      </c>
      <c r="F140" s="51" t="s">
        <v>0</v>
      </c>
      <c r="G140" s="53" t="s">
        <v>254</v>
      </c>
      <c r="H140" s="51">
        <v>256</v>
      </c>
      <c r="I140" s="51" t="s">
        <v>87</v>
      </c>
      <c r="J140" s="51" t="s">
        <v>3</v>
      </c>
      <c r="K140" s="52" t="s">
        <v>22</v>
      </c>
      <c r="L140" s="54" t="e">
        <f>VLOOKUP(G140,#REF!,4,0)</f>
        <v>#REF!</v>
      </c>
      <c r="M140" s="55" t="e">
        <f>_xlfn.IFNA(VLOOKUP(G140,#REF!,2,0),"")</f>
        <v>#REF!</v>
      </c>
      <c r="N140" s="51" t="e">
        <f>_xlfn.IFNA(VLOOKUP(G140,#REF!,3,0),"")</f>
        <v>#REF!</v>
      </c>
      <c r="O140" s="56">
        <v>4</v>
      </c>
      <c r="P140" s="67">
        <v>58.331428571428567</v>
      </c>
      <c r="Q140" s="56" t="s">
        <v>10</v>
      </c>
      <c r="R140" s="51">
        <v>5.6</v>
      </c>
      <c r="S140" s="65">
        <f>SUMIF(C:C,C139,T:T)</f>
        <v>200.00000000000003</v>
      </c>
      <c r="T140" s="57">
        <v>66.666666666666671</v>
      </c>
      <c r="U140" s="58">
        <f t="shared" si="13"/>
        <v>393.32266666666663</v>
      </c>
      <c r="V140" s="59">
        <f t="shared" si="14"/>
        <v>1.5364166666666665</v>
      </c>
      <c r="W140" s="60">
        <f t="shared" si="17"/>
        <v>0.22931592039800994</v>
      </c>
      <c r="X140" s="51"/>
      <c r="Y140" s="51"/>
      <c r="Z140" s="57"/>
      <c r="AA140" s="61">
        <v>46051</v>
      </c>
      <c r="AB140" s="61">
        <v>46072</v>
      </c>
      <c r="AC140" s="61"/>
      <c r="AD140" s="62" t="e">
        <f>IF(ISNA(VLOOKUP(D140,#REF!,5,0)),0,VLOOKUP(D140,#REF!,5,0))</f>
        <v>#REF!</v>
      </c>
      <c r="AE140" s="62" t="e">
        <f t="shared" si="15"/>
        <v>#REF!</v>
      </c>
      <c r="AF140" s="61">
        <v>46089</v>
      </c>
      <c r="AG140" s="33">
        <f t="shared" si="16"/>
        <v>38</v>
      </c>
      <c r="AH140" s="61">
        <v>46118</v>
      </c>
      <c r="AI140" s="56">
        <v>256</v>
      </c>
      <c r="AJ140" s="56">
        <f t="shared" si="18"/>
        <v>29</v>
      </c>
      <c r="AK140" s="56"/>
      <c r="AL140" s="52"/>
      <c r="AM140" s="51"/>
      <c r="AN140" s="51"/>
      <c r="AO140" s="56"/>
      <c r="AP140" s="63"/>
      <c r="AQ140" s="63"/>
      <c r="AR140" s="63"/>
      <c r="AS140" s="63"/>
    </row>
    <row r="141" spans="1:45" s="64" customFormat="1" ht="12" customHeight="1" x14ac:dyDescent="0.25">
      <c r="A141" s="50">
        <v>140</v>
      </c>
      <c r="B141" s="51"/>
      <c r="C141" s="51" t="s">
        <v>372</v>
      </c>
      <c r="D141" s="52" t="s">
        <v>374</v>
      </c>
      <c r="E141" s="51" t="s">
        <v>61</v>
      </c>
      <c r="F141" s="51" t="s">
        <v>0</v>
      </c>
      <c r="G141" s="53" t="s">
        <v>293</v>
      </c>
      <c r="H141" s="51">
        <v>192</v>
      </c>
      <c r="I141" s="51" t="s">
        <v>87</v>
      </c>
      <c r="J141" s="51" t="s">
        <v>3</v>
      </c>
      <c r="K141" s="52" t="s">
        <v>22</v>
      </c>
      <c r="L141" s="54" t="e">
        <f>VLOOKUP(G141,#REF!,4,0)</f>
        <v>#REF!</v>
      </c>
      <c r="M141" s="55" t="e">
        <f>_xlfn.IFNA(VLOOKUP(G141,#REF!,2,0),"")</f>
        <v>#REF!</v>
      </c>
      <c r="N141" s="51" t="e">
        <f>_xlfn.IFNA(VLOOKUP(G141,#REF!,3,0),"")</f>
        <v>#REF!</v>
      </c>
      <c r="O141" s="56">
        <v>3</v>
      </c>
      <c r="P141" s="67">
        <v>43.751999999999995</v>
      </c>
      <c r="Q141" s="56" t="s">
        <v>10</v>
      </c>
      <c r="R141" s="51">
        <v>5.6</v>
      </c>
      <c r="S141" s="51"/>
      <c r="T141" s="57">
        <v>50</v>
      </c>
      <c r="U141" s="58">
        <f t="shared" si="13"/>
        <v>295.01119999999992</v>
      </c>
      <c r="V141" s="59">
        <f t="shared" si="14"/>
        <v>1.5365166666666663</v>
      </c>
      <c r="W141" s="60">
        <f t="shared" si="17"/>
        <v>0.22933084577114421</v>
      </c>
      <c r="X141" s="51"/>
      <c r="Y141" s="51"/>
      <c r="Z141" s="57"/>
      <c r="AA141" s="61">
        <v>46051</v>
      </c>
      <c r="AB141" s="61">
        <v>46072</v>
      </c>
      <c r="AC141" s="61"/>
      <c r="AD141" s="62" t="e">
        <f>IF(ISNA(VLOOKUP(D141,#REF!,5,0)),0,VLOOKUP(D141,#REF!,5,0))</f>
        <v>#REF!</v>
      </c>
      <c r="AE141" s="62" t="e">
        <f t="shared" si="15"/>
        <v>#REF!</v>
      </c>
      <c r="AF141" s="61">
        <v>46089</v>
      </c>
      <c r="AG141" s="33">
        <f t="shared" si="16"/>
        <v>38</v>
      </c>
      <c r="AH141" s="61">
        <v>46118</v>
      </c>
      <c r="AI141" s="56">
        <v>192</v>
      </c>
      <c r="AJ141" s="56">
        <f t="shared" si="18"/>
        <v>29</v>
      </c>
      <c r="AK141" s="56"/>
      <c r="AL141" s="52"/>
      <c r="AM141" s="51"/>
      <c r="AN141" s="51"/>
      <c r="AO141" s="56"/>
      <c r="AP141" s="63"/>
      <c r="AQ141" s="63"/>
      <c r="AR141" s="63"/>
      <c r="AS141" s="63"/>
    </row>
    <row r="142" spans="1:45" s="64" customFormat="1" ht="12" customHeight="1" x14ac:dyDescent="0.25">
      <c r="A142" s="50">
        <v>141</v>
      </c>
      <c r="B142" s="51"/>
      <c r="C142" s="51" t="s">
        <v>372</v>
      </c>
      <c r="D142" s="52" t="s">
        <v>374</v>
      </c>
      <c r="E142" s="51" t="s">
        <v>61</v>
      </c>
      <c r="F142" s="51" t="s">
        <v>0</v>
      </c>
      <c r="G142" s="53" t="s">
        <v>276</v>
      </c>
      <c r="H142" s="51">
        <v>128</v>
      </c>
      <c r="I142" s="51" t="s">
        <v>87</v>
      </c>
      <c r="J142" s="51" t="s">
        <v>3</v>
      </c>
      <c r="K142" s="52" t="s">
        <v>22</v>
      </c>
      <c r="L142" s="54" t="e">
        <f>VLOOKUP(G142,#REF!,4,0)</f>
        <v>#REF!</v>
      </c>
      <c r="M142" s="55" t="e">
        <f>_xlfn.IFNA(VLOOKUP(G142,#REF!,2,0),"")</f>
        <v>#REF!</v>
      </c>
      <c r="N142" s="51" t="e">
        <f>_xlfn.IFNA(VLOOKUP(G142,#REF!,3,0),"")</f>
        <v>#REF!</v>
      </c>
      <c r="O142" s="56">
        <v>2</v>
      </c>
      <c r="P142" s="67">
        <v>29.167999999999999</v>
      </c>
      <c r="Q142" s="56" t="s">
        <v>10</v>
      </c>
      <c r="R142" s="51">
        <v>5.6</v>
      </c>
      <c r="S142" s="51"/>
      <c r="T142" s="57">
        <v>33.333333333333336</v>
      </c>
      <c r="U142" s="58">
        <f t="shared" si="13"/>
        <v>196.67413333333332</v>
      </c>
      <c r="V142" s="59">
        <f t="shared" si="14"/>
        <v>1.5365166666666665</v>
      </c>
      <c r="W142" s="60">
        <f t="shared" si="17"/>
        <v>0.22933084577114426</v>
      </c>
      <c r="X142" s="51"/>
      <c r="Y142" s="51"/>
      <c r="Z142" s="57"/>
      <c r="AA142" s="61">
        <v>46051</v>
      </c>
      <c r="AB142" s="61">
        <v>46072</v>
      </c>
      <c r="AC142" s="61"/>
      <c r="AD142" s="62" t="e">
        <f>IF(ISNA(VLOOKUP(D142,#REF!,5,0)),0,VLOOKUP(D142,#REF!,5,0))</f>
        <v>#REF!</v>
      </c>
      <c r="AE142" s="62" t="e">
        <f t="shared" si="15"/>
        <v>#REF!</v>
      </c>
      <c r="AF142" s="61">
        <v>46089</v>
      </c>
      <c r="AG142" s="33">
        <f t="shared" si="16"/>
        <v>38</v>
      </c>
      <c r="AH142" s="61">
        <v>46118</v>
      </c>
      <c r="AI142" s="56">
        <v>128</v>
      </c>
      <c r="AJ142" s="56">
        <f t="shared" si="18"/>
        <v>29</v>
      </c>
      <c r="AK142" s="56"/>
      <c r="AL142" s="52"/>
      <c r="AM142" s="51"/>
      <c r="AN142" s="51"/>
      <c r="AO142" s="56"/>
      <c r="AP142" s="63"/>
      <c r="AQ142" s="63"/>
      <c r="AR142" s="63"/>
      <c r="AS142" s="63"/>
    </row>
    <row r="143" spans="1:45" ht="12" customHeight="1" x14ac:dyDescent="0.25">
      <c r="A143" s="33">
        <v>142</v>
      </c>
      <c r="B143" s="34"/>
      <c r="C143" s="34" t="s">
        <v>375</v>
      </c>
      <c r="D143" s="35" t="s">
        <v>376</v>
      </c>
      <c r="E143" s="34" t="s">
        <v>61</v>
      </c>
      <c r="F143" s="34" t="s">
        <v>0</v>
      </c>
      <c r="G143" s="16" t="s">
        <v>90</v>
      </c>
      <c r="H143" s="34">
        <v>52</v>
      </c>
      <c r="I143" s="34" t="s">
        <v>54</v>
      </c>
      <c r="J143" s="34" t="s">
        <v>3</v>
      </c>
      <c r="K143" s="35" t="s">
        <v>377</v>
      </c>
      <c r="L143" s="36" t="e">
        <f>VLOOKUP(G143,#REF!,4,0)</f>
        <v>#REF!</v>
      </c>
      <c r="M143" s="37" t="e">
        <f>_xlfn.IFNA(VLOOKUP(G143,#REF!,2,0),"")</f>
        <v>#REF!</v>
      </c>
      <c r="N143" s="38" t="e">
        <f>_xlfn.IFNA(VLOOKUP(G143,#REF!,3,0),"")</f>
        <v>#REF!</v>
      </c>
      <c r="O143" s="39">
        <v>13</v>
      </c>
      <c r="P143" s="67">
        <v>302</v>
      </c>
      <c r="Q143" s="39" t="s">
        <v>10</v>
      </c>
      <c r="R143" s="34">
        <v>4.2</v>
      </c>
      <c r="S143" s="38">
        <v>200</v>
      </c>
      <c r="T143" s="40">
        <v>200</v>
      </c>
      <c r="U143" s="41">
        <f t="shared" si="13"/>
        <v>1468.4</v>
      </c>
      <c r="V143" s="42">
        <f t="shared" si="14"/>
        <v>28.238461538461539</v>
      </c>
      <c r="W143" s="43">
        <f t="shared" si="17"/>
        <v>4.2146957520091846</v>
      </c>
      <c r="X143" s="38"/>
      <c r="Y143" s="38"/>
      <c r="Z143" s="44"/>
      <c r="AA143" s="45">
        <v>46051</v>
      </c>
      <c r="AB143" s="45">
        <v>46075</v>
      </c>
      <c r="AC143" s="45"/>
      <c r="AD143" s="46" t="e">
        <f>IF(ISNA(VLOOKUP(D143,#REF!,5,0)),0,VLOOKUP(D143,#REF!,5,0))</f>
        <v>#REF!</v>
      </c>
      <c r="AE143" s="46" t="e">
        <f t="shared" si="15"/>
        <v>#REF!</v>
      </c>
      <c r="AF143" s="45">
        <v>46087</v>
      </c>
      <c r="AG143" s="33">
        <f t="shared" si="16"/>
        <v>36</v>
      </c>
      <c r="AH143" s="45">
        <v>46102</v>
      </c>
      <c r="AI143" s="39">
        <v>52</v>
      </c>
      <c r="AJ143" s="56">
        <f t="shared" si="18"/>
        <v>15</v>
      </c>
      <c r="AK143" s="39"/>
      <c r="AL143" s="35"/>
      <c r="AM143" s="34"/>
      <c r="AN143" s="34"/>
      <c r="AO143" s="39"/>
      <c r="AP143" s="47"/>
      <c r="AQ143" s="47"/>
      <c r="AR143" s="47"/>
      <c r="AS143" s="47"/>
    </row>
    <row r="144" spans="1:45" ht="12" customHeight="1" x14ac:dyDescent="0.25">
      <c r="A144" s="33">
        <v>143</v>
      </c>
      <c r="B144" s="34"/>
      <c r="C144" s="34" t="s">
        <v>378</v>
      </c>
      <c r="D144" s="35" t="s">
        <v>379</v>
      </c>
      <c r="E144" s="34" t="s">
        <v>61</v>
      </c>
      <c r="F144" s="34" t="s">
        <v>0</v>
      </c>
      <c r="G144" s="16" t="s">
        <v>90</v>
      </c>
      <c r="H144" s="34">
        <v>48</v>
      </c>
      <c r="I144" s="34" t="s">
        <v>54</v>
      </c>
      <c r="J144" s="34" t="s">
        <v>262</v>
      </c>
      <c r="K144" s="35" t="s">
        <v>12</v>
      </c>
      <c r="L144" s="36" t="e">
        <f>VLOOKUP(G144,#REF!,4,0)</f>
        <v>#REF!</v>
      </c>
      <c r="M144" s="37" t="e">
        <f>_xlfn.IFNA(VLOOKUP(G144,#REF!,2,0),"")</f>
        <v>#REF!</v>
      </c>
      <c r="N144" s="38" t="e">
        <f>_xlfn.IFNA(VLOOKUP(G144,#REF!,3,0),"")</f>
        <v>#REF!</v>
      </c>
      <c r="O144" s="39">
        <v>12</v>
      </c>
      <c r="P144" s="67">
        <v>280</v>
      </c>
      <c r="Q144" s="39" t="s">
        <v>10</v>
      </c>
      <c r="R144" s="34">
        <v>4.5</v>
      </c>
      <c r="S144" s="38">
        <v>200</v>
      </c>
      <c r="T144" s="40">
        <v>96</v>
      </c>
      <c r="U144" s="41">
        <f t="shared" si="13"/>
        <v>1356</v>
      </c>
      <c r="V144" s="42">
        <f t="shared" si="14"/>
        <v>28.25</v>
      </c>
      <c r="W144" s="43">
        <f t="shared" si="17"/>
        <v>4.2164179104477615</v>
      </c>
      <c r="X144" s="38"/>
      <c r="Y144" s="38"/>
      <c r="Z144" s="44"/>
      <c r="AA144" s="45">
        <v>46051</v>
      </c>
      <c r="AB144" s="45">
        <v>46095</v>
      </c>
      <c r="AC144" s="45"/>
      <c r="AD144" s="46" t="e">
        <f>IF(ISNA(VLOOKUP(D144,#REF!,5,0)),0,VLOOKUP(D144,#REF!,5,0))</f>
        <v>#REF!</v>
      </c>
      <c r="AE144" s="46" t="e">
        <f t="shared" si="15"/>
        <v>#REF!</v>
      </c>
      <c r="AF144" s="45">
        <v>46100</v>
      </c>
      <c r="AG144" s="33">
        <f t="shared" si="16"/>
        <v>49</v>
      </c>
      <c r="AH144" s="45">
        <v>46100</v>
      </c>
      <c r="AI144" s="39">
        <v>48</v>
      </c>
      <c r="AJ144" s="56">
        <f t="shared" si="18"/>
        <v>0</v>
      </c>
      <c r="AK144" s="39"/>
      <c r="AL144" s="35"/>
      <c r="AM144" s="34"/>
      <c r="AN144" s="34"/>
      <c r="AO144" s="39"/>
      <c r="AP144" s="47"/>
      <c r="AQ144" s="47"/>
      <c r="AR144" s="47"/>
      <c r="AS144" s="47"/>
    </row>
    <row r="145" spans="1:45" ht="12" customHeight="1" x14ac:dyDescent="0.25">
      <c r="A145" s="33">
        <v>144</v>
      </c>
      <c r="B145" s="34"/>
      <c r="C145" s="34" t="s">
        <v>380</v>
      </c>
      <c r="D145" s="35" t="s">
        <v>381</v>
      </c>
      <c r="E145" s="34" t="s">
        <v>61</v>
      </c>
      <c r="F145" s="34" t="s">
        <v>0</v>
      </c>
      <c r="G145" s="16" t="s">
        <v>90</v>
      </c>
      <c r="H145" s="34">
        <v>52</v>
      </c>
      <c r="I145" s="34" t="s">
        <v>54</v>
      </c>
      <c r="J145" s="34" t="s">
        <v>262</v>
      </c>
      <c r="K145" s="35" t="s">
        <v>382</v>
      </c>
      <c r="L145" s="36" t="e">
        <f>VLOOKUP(G145,#REF!,4,0)</f>
        <v>#REF!</v>
      </c>
      <c r="M145" s="37" t="e">
        <f>_xlfn.IFNA(VLOOKUP(G145,#REF!,2,0),"")</f>
        <v>#REF!</v>
      </c>
      <c r="N145" s="38" t="e">
        <f>_xlfn.IFNA(VLOOKUP(G145,#REF!,3,0),"")</f>
        <v>#REF!</v>
      </c>
      <c r="O145" s="39">
        <v>13</v>
      </c>
      <c r="P145" s="67">
        <v>303</v>
      </c>
      <c r="Q145" s="39" t="s">
        <v>10</v>
      </c>
      <c r="R145" s="34">
        <v>5.5</v>
      </c>
      <c r="S145" s="38">
        <v>200</v>
      </c>
      <c r="T145" s="40">
        <v>200</v>
      </c>
      <c r="U145" s="41">
        <f t="shared" si="13"/>
        <v>1866.5</v>
      </c>
      <c r="V145" s="42">
        <f t="shared" si="14"/>
        <v>35.894230769230766</v>
      </c>
      <c r="W145" s="43">
        <f t="shared" si="17"/>
        <v>5.3573478760045923</v>
      </c>
      <c r="X145" s="38"/>
      <c r="Y145" s="38"/>
      <c r="Z145" s="44"/>
      <c r="AA145" s="45">
        <v>46051</v>
      </c>
      <c r="AB145" s="45">
        <v>46097</v>
      </c>
      <c r="AC145" s="45"/>
      <c r="AD145" s="46" t="e">
        <f>IF(ISNA(VLOOKUP(D145,#REF!,5,0)),0,VLOOKUP(D145,#REF!,5,0))</f>
        <v>#REF!</v>
      </c>
      <c r="AE145" s="46" t="e">
        <f t="shared" si="15"/>
        <v>#REF!</v>
      </c>
      <c r="AF145" s="45">
        <v>46111</v>
      </c>
      <c r="AG145" s="33">
        <f t="shared" si="16"/>
        <v>60</v>
      </c>
      <c r="AH145" s="45">
        <v>46112</v>
      </c>
      <c r="AI145" s="39">
        <v>52</v>
      </c>
      <c r="AJ145" s="56">
        <f t="shared" si="18"/>
        <v>1</v>
      </c>
      <c r="AK145" s="39"/>
      <c r="AL145" s="35"/>
      <c r="AM145" s="34"/>
      <c r="AN145" s="34"/>
      <c r="AO145" s="39"/>
      <c r="AP145" s="47"/>
      <c r="AQ145" s="47"/>
      <c r="AR145" s="47"/>
      <c r="AS145" s="47"/>
    </row>
    <row r="146" spans="1:45" ht="12" customHeight="1" x14ac:dyDescent="0.25">
      <c r="A146" s="33">
        <v>145</v>
      </c>
      <c r="B146" s="34"/>
      <c r="C146" s="34" t="s">
        <v>378</v>
      </c>
      <c r="D146" s="35" t="s">
        <v>383</v>
      </c>
      <c r="E146" s="34" t="s">
        <v>61</v>
      </c>
      <c r="F146" s="34" t="s">
        <v>0</v>
      </c>
      <c r="G146" s="16" t="s">
        <v>90</v>
      </c>
      <c r="H146" s="34">
        <v>52</v>
      </c>
      <c r="I146" s="34" t="s">
        <v>54</v>
      </c>
      <c r="J146" s="34" t="s">
        <v>262</v>
      </c>
      <c r="K146" s="35" t="s">
        <v>384</v>
      </c>
      <c r="L146" s="36" t="e">
        <f>VLOOKUP(G146,#REF!,4,0)</f>
        <v>#REF!</v>
      </c>
      <c r="M146" s="37" t="e">
        <f>_xlfn.IFNA(VLOOKUP(G146,#REF!,2,0),"")</f>
        <v>#REF!</v>
      </c>
      <c r="N146" s="38" t="e">
        <f>_xlfn.IFNA(VLOOKUP(G146,#REF!,3,0),"")</f>
        <v>#REF!</v>
      </c>
      <c r="O146" s="39">
        <v>13</v>
      </c>
      <c r="P146" s="67">
        <v>303</v>
      </c>
      <c r="Q146" s="39" t="s">
        <v>10</v>
      </c>
      <c r="R146" s="34">
        <v>4.9000000000000004</v>
      </c>
      <c r="S146" s="48">
        <f>SUMIF(C:C,C145,T:T)</f>
        <v>200</v>
      </c>
      <c r="T146" s="40">
        <v>104</v>
      </c>
      <c r="U146" s="41">
        <f t="shared" si="13"/>
        <v>1588.7</v>
      </c>
      <c r="V146" s="42">
        <f t="shared" si="14"/>
        <v>30.551923076923078</v>
      </c>
      <c r="W146" s="43">
        <f t="shared" si="17"/>
        <v>4.5599885189437428</v>
      </c>
      <c r="X146" s="38"/>
      <c r="Y146" s="38"/>
      <c r="Z146" s="44"/>
      <c r="AA146" s="45">
        <v>46051</v>
      </c>
      <c r="AB146" s="45">
        <v>46095</v>
      </c>
      <c r="AC146" s="45"/>
      <c r="AD146" s="46" t="e">
        <f>IF(ISNA(VLOOKUP(D146,#REF!,5,0)),0,VLOOKUP(D146,#REF!,5,0))</f>
        <v>#REF!</v>
      </c>
      <c r="AE146" s="46" t="e">
        <f t="shared" si="15"/>
        <v>#REF!</v>
      </c>
      <c r="AF146" s="45">
        <v>46109</v>
      </c>
      <c r="AG146" s="33">
        <f t="shared" si="16"/>
        <v>58</v>
      </c>
      <c r="AH146" s="45">
        <v>46110</v>
      </c>
      <c r="AI146" s="39">
        <v>52</v>
      </c>
      <c r="AJ146" s="56">
        <f t="shared" si="18"/>
        <v>1</v>
      </c>
      <c r="AK146" s="39"/>
      <c r="AL146" s="35"/>
      <c r="AM146" s="34"/>
      <c r="AN146" s="34"/>
      <c r="AO146" s="39"/>
      <c r="AP146" s="47"/>
      <c r="AQ146" s="47"/>
      <c r="AR146" s="47"/>
      <c r="AS146" s="47"/>
    </row>
    <row r="147" spans="1:45" ht="12" customHeight="1" x14ac:dyDescent="0.25">
      <c r="A147" s="33">
        <v>146</v>
      </c>
      <c r="B147" s="34"/>
      <c r="C147" s="34" t="s">
        <v>385</v>
      </c>
      <c r="D147" s="35" t="s">
        <v>386</v>
      </c>
      <c r="E147" s="34" t="s">
        <v>61</v>
      </c>
      <c r="F147" s="34" t="s">
        <v>0</v>
      </c>
      <c r="G147" s="16" t="s">
        <v>90</v>
      </c>
      <c r="H147" s="34">
        <v>52</v>
      </c>
      <c r="I147" s="34" t="s">
        <v>54</v>
      </c>
      <c r="J147" s="34" t="s">
        <v>263</v>
      </c>
      <c r="K147" s="35" t="s">
        <v>387</v>
      </c>
      <c r="L147" s="36" t="e">
        <f>VLOOKUP(G147,#REF!,4,0)</f>
        <v>#REF!</v>
      </c>
      <c r="M147" s="37" t="e">
        <f>_xlfn.IFNA(VLOOKUP(G147,#REF!,2,0),"")</f>
        <v>#REF!</v>
      </c>
      <c r="N147" s="38" t="e">
        <f>_xlfn.IFNA(VLOOKUP(G147,#REF!,3,0),"")</f>
        <v>#REF!</v>
      </c>
      <c r="O147" s="39">
        <v>13</v>
      </c>
      <c r="P147" s="67">
        <v>302</v>
      </c>
      <c r="Q147" s="39" t="s">
        <v>10</v>
      </c>
      <c r="R147" s="34">
        <v>5.6</v>
      </c>
      <c r="S147" s="38">
        <v>200</v>
      </c>
      <c r="T147" s="40">
        <v>200</v>
      </c>
      <c r="U147" s="41">
        <f t="shared" si="13"/>
        <v>1891.1999999999998</v>
      </c>
      <c r="V147" s="42">
        <f t="shared" si="14"/>
        <v>36.369230769230768</v>
      </c>
      <c r="W147" s="43">
        <f t="shared" si="17"/>
        <v>5.4282433983926515</v>
      </c>
      <c r="X147" s="38"/>
      <c r="Y147" s="38"/>
      <c r="Z147" s="44"/>
      <c r="AA147" s="45">
        <v>46051</v>
      </c>
      <c r="AB147" s="45">
        <v>46095</v>
      </c>
      <c r="AC147" s="45"/>
      <c r="AD147" s="46" t="e">
        <f>IF(ISNA(VLOOKUP(D147,#REF!,5,0)),0,VLOOKUP(D147,#REF!,5,0))</f>
        <v>#REF!</v>
      </c>
      <c r="AE147" s="46" t="e">
        <f t="shared" si="15"/>
        <v>#REF!</v>
      </c>
      <c r="AF147" s="45">
        <v>46120</v>
      </c>
      <c r="AG147" s="33">
        <f t="shared" si="16"/>
        <v>69</v>
      </c>
      <c r="AH147" s="45">
        <v>46134</v>
      </c>
      <c r="AI147" s="39"/>
      <c r="AJ147" s="56">
        <f t="shared" si="18"/>
        <v>14</v>
      </c>
      <c r="AK147" s="39"/>
      <c r="AL147" s="35"/>
      <c r="AM147" s="34"/>
      <c r="AN147" s="34"/>
      <c r="AO147" s="39"/>
      <c r="AP147" s="47"/>
      <c r="AQ147" s="47"/>
      <c r="AR147" s="47"/>
      <c r="AS147" s="47"/>
    </row>
    <row r="148" spans="1:45" ht="12" customHeight="1" x14ac:dyDescent="0.25">
      <c r="A148" s="33">
        <v>147</v>
      </c>
      <c r="B148" s="34"/>
      <c r="C148" s="34" t="s">
        <v>389</v>
      </c>
      <c r="D148" s="35" t="s">
        <v>390</v>
      </c>
      <c r="E148" s="34" t="s">
        <v>61</v>
      </c>
      <c r="F148" s="34" t="s">
        <v>0</v>
      </c>
      <c r="G148" s="16" t="s">
        <v>68</v>
      </c>
      <c r="H148" s="34">
        <v>600</v>
      </c>
      <c r="I148" s="34" t="s">
        <v>54</v>
      </c>
      <c r="J148" s="34" t="s">
        <v>3</v>
      </c>
      <c r="K148" s="35" t="s">
        <v>22</v>
      </c>
      <c r="L148" s="36" t="e">
        <f>VLOOKUP(G148,#REF!,4,0)</f>
        <v>#REF!</v>
      </c>
      <c r="M148" s="37" t="e">
        <f>_xlfn.IFNA(VLOOKUP(G148,#REF!,2,0),"")</f>
        <v>#REF!</v>
      </c>
      <c r="N148" s="38" t="e">
        <f>_xlfn.IFNA(VLOOKUP(G148,#REF!,3,0),"")</f>
        <v>#REF!</v>
      </c>
      <c r="O148" s="39">
        <v>20</v>
      </c>
      <c r="P148" s="67">
        <v>268.53684210526319</v>
      </c>
      <c r="Q148" s="39" t="s">
        <v>10</v>
      </c>
      <c r="R148" s="34">
        <v>3.5</v>
      </c>
      <c r="S148" s="38">
        <v>200</v>
      </c>
      <c r="T148" s="40">
        <v>43.478260869565219</v>
      </c>
      <c r="U148" s="41">
        <f t="shared" si="13"/>
        <v>983.35720823798647</v>
      </c>
      <c r="V148" s="42">
        <f t="shared" si="14"/>
        <v>1.6389286803966441</v>
      </c>
      <c r="W148" s="43">
        <f t="shared" si="17"/>
        <v>0.24461622095472299</v>
      </c>
      <c r="X148" s="38"/>
      <c r="Y148" s="38"/>
      <c r="Z148" s="44"/>
      <c r="AA148" s="45">
        <v>46055</v>
      </c>
      <c r="AB148" s="45">
        <v>46096</v>
      </c>
      <c r="AC148" s="45"/>
      <c r="AD148" s="46" t="e">
        <f>IF(ISNA(VLOOKUP(D148,#REF!,5,0)),0,VLOOKUP(D148,#REF!,5,0))</f>
        <v>#REF!</v>
      </c>
      <c r="AE148" s="46" t="e">
        <f t="shared" si="15"/>
        <v>#REF!</v>
      </c>
      <c r="AF148" s="45">
        <v>46116</v>
      </c>
      <c r="AG148" s="33">
        <f t="shared" si="16"/>
        <v>61</v>
      </c>
      <c r="AH148" s="45">
        <v>46152</v>
      </c>
      <c r="AI148" s="39"/>
      <c r="AJ148" s="56">
        <f t="shared" si="18"/>
        <v>36</v>
      </c>
      <c r="AK148" s="39"/>
      <c r="AL148" s="35"/>
      <c r="AM148" s="34"/>
      <c r="AN148" s="34"/>
      <c r="AO148" s="39"/>
      <c r="AP148" s="47"/>
      <c r="AQ148" s="47"/>
      <c r="AR148" s="47"/>
      <c r="AS148" s="47"/>
    </row>
    <row r="149" spans="1:45" ht="12" customHeight="1" x14ac:dyDescent="0.25">
      <c r="A149" s="33">
        <v>148</v>
      </c>
      <c r="B149" s="34"/>
      <c r="C149" s="34" t="s">
        <v>389</v>
      </c>
      <c r="D149" s="35" t="s">
        <v>390</v>
      </c>
      <c r="E149" s="34" t="s">
        <v>61</v>
      </c>
      <c r="F149" s="34" t="s">
        <v>0</v>
      </c>
      <c r="G149" s="16" t="s">
        <v>118</v>
      </c>
      <c r="H149" s="34">
        <v>180</v>
      </c>
      <c r="I149" s="34" t="s">
        <v>54</v>
      </c>
      <c r="J149" s="34" t="s">
        <v>3</v>
      </c>
      <c r="K149" s="35" t="s">
        <v>22</v>
      </c>
      <c r="L149" s="36" t="e">
        <f>VLOOKUP(G149,#REF!,4,0)</f>
        <v>#REF!</v>
      </c>
      <c r="M149" s="37" t="e">
        <f>_xlfn.IFNA(VLOOKUP(G149,#REF!,2,0),"")</f>
        <v>#REF!</v>
      </c>
      <c r="N149" s="38" t="e">
        <f>_xlfn.IFNA(VLOOKUP(G149,#REF!,3,0),"")</f>
        <v>#REF!</v>
      </c>
      <c r="O149" s="39">
        <v>6</v>
      </c>
      <c r="P149" s="67">
        <v>80.561052631578946</v>
      </c>
      <c r="Q149" s="39" t="s">
        <v>10</v>
      </c>
      <c r="R149" s="34">
        <v>3.5</v>
      </c>
      <c r="S149" s="48">
        <f>SUMIF(C:C,C148,T:T)</f>
        <v>200</v>
      </c>
      <c r="T149" s="40">
        <v>13.043478260869565</v>
      </c>
      <c r="U149" s="41">
        <f t="shared" si="13"/>
        <v>295.00716247139587</v>
      </c>
      <c r="V149" s="42">
        <f t="shared" si="14"/>
        <v>1.6389286803966436</v>
      </c>
      <c r="W149" s="43">
        <f t="shared" si="17"/>
        <v>0.24461622095472293</v>
      </c>
      <c r="X149" s="38"/>
      <c r="Y149" s="38"/>
      <c r="Z149" s="44"/>
      <c r="AA149" s="45">
        <v>46055</v>
      </c>
      <c r="AB149" s="45">
        <v>46096</v>
      </c>
      <c r="AC149" s="45"/>
      <c r="AD149" s="46" t="e">
        <f>IF(ISNA(VLOOKUP(D149,#REF!,5,0)),0,VLOOKUP(D149,#REF!,5,0))</f>
        <v>#REF!</v>
      </c>
      <c r="AE149" s="46" t="e">
        <f t="shared" si="15"/>
        <v>#REF!</v>
      </c>
      <c r="AF149" s="45">
        <v>46116</v>
      </c>
      <c r="AG149" s="33">
        <f t="shared" si="16"/>
        <v>61</v>
      </c>
      <c r="AH149" s="45">
        <v>46152</v>
      </c>
      <c r="AI149" s="39"/>
      <c r="AJ149" s="56">
        <f t="shared" si="18"/>
        <v>36</v>
      </c>
      <c r="AK149" s="39"/>
      <c r="AL149" s="35"/>
      <c r="AM149" s="34"/>
      <c r="AN149" s="34"/>
      <c r="AO149" s="39"/>
      <c r="AP149" s="47"/>
      <c r="AQ149" s="47"/>
      <c r="AR149" s="47"/>
      <c r="AS149" s="47"/>
    </row>
    <row r="150" spans="1:45" ht="12" customHeight="1" x14ac:dyDescent="0.25">
      <c r="A150" s="33">
        <v>149</v>
      </c>
      <c r="B150" s="34"/>
      <c r="C150" s="34" t="s">
        <v>389</v>
      </c>
      <c r="D150" s="35" t="s">
        <v>390</v>
      </c>
      <c r="E150" s="34" t="s">
        <v>61</v>
      </c>
      <c r="F150" s="34" t="s">
        <v>0</v>
      </c>
      <c r="G150" s="16" t="s">
        <v>112</v>
      </c>
      <c r="H150" s="34">
        <v>90</v>
      </c>
      <c r="I150" s="34" t="s">
        <v>54</v>
      </c>
      <c r="J150" s="34" t="s">
        <v>3</v>
      </c>
      <c r="K150" s="35" t="s">
        <v>22</v>
      </c>
      <c r="L150" s="36" t="e">
        <f>VLOOKUP(G150,#REF!,4,0)</f>
        <v>#REF!</v>
      </c>
      <c r="M150" s="37" t="e">
        <f>_xlfn.IFNA(VLOOKUP(G150,#REF!,2,0),"")</f>
        <v>#REF!</v>
      </c>
      <c r="N150" s="38" t="e">
        <f>_xlfn.IFNA(VLOOKUP(G150,#REF!,3,0),"")</f>
        <v>#REF!</v>
      </c>
      <c r="O150" s="39">
        <v>3</v>
      </c>
      <c r="P150" s="67">
        <v>40.280526315789473</v>
      </c>
      <c r="Q150" s="39" t="s">
        <v>10</v>
      </c>
      <c r="R150" s="34">
        <v>3.5</v>
      </c>
      <c r="S150" s="38"/>
      <c r="T150" s="40">
        <v>6.5217391304347823</v>
      </c>
      <c r="U150" s="41">
        <f t="shared" si="13"/>
        <v>147.50358123569794</v>
      </c>
      <c r="V150" s="42">
        <f t="shared" si="14"/>
        <v>1.6389286803966436</v>
      </c>
      <c r="W150" s="43">
        <f t="shared" si="17"/>
        <v>0.24461622095472293</v>
      </c>
      <c r="X150" s="38"/>
      <c r="Y150" s="38"/>
      <c r="Z150" s="44"/>
      <c r="AA150" s="45">
        <v>46055</v>
      </c>
      <c r="AB150" s="45">
        <v>46096</v>
      </c>
      <c r="AC150" s="45"/>
      <c r="AD150" s="46" t="e">
        <f>IF(ISNA(VLOOKUP(D150,#REF!,5,0)),0,VLOOKUP(D150,#REF!,5,0))</f>
        <v>#REF!</v>
      </c>
      <c r="AE150" s="46" t="e">
        <f t="shared" si="15"/>
        <v>#REF!</v>
      </c>
      <c r="AF150" s="45">
        <v>46116</v>
      </c>
      <c r="AG150" s="33">
        <f t="shared" si="16"/>
        <v>61</v>
      </c>
      <c r="AH150" s="45">
        <v>46152</v>
      </c>
      <c r="AI150" s="39"/>
      <c r="AJ150" s="56">
        <f t="shared" si="18"/>
        <v>36</v>
      </c>
      <c r="AK150" s="39"/>
      <c r="AL150" s="35"/>
      <c r="AM150" s="34"/>
      <c r="AN150" s="34"/>
      <c r="AO150" s="39"/>
      <c r="AP150" s="47"/>
      <c r="AQ150" s="47"/>
      <c r="AR150" s="47"/>
      <c r="AS150" s="47"/>
    </row>
    <row r="151" spans="1:45" ht="12" customHeight="1" x14ac:dyDescent="0.25">
      <c r="A151" s="33">
        <v>150</v>
      </c>
      <c r="B151" s="34"/>
      <c r="C151" s="34" t="s">
        <v>389</v>
      </c>
      <c r="D151" s="35" t="s">
        <v>390</v>
      </c>
      <c r="E151" s="34" t="s">
        <v>61</v>
      </c>
      <c r="F151" s="34" t="s">
        <v>0</v>
      </c>
      <c r="G151" s="16" t="s">
        <v>69</v>
      </c>
      <c r="H151" s="34">
        <v>330</v>
      </c>
      <c r="I151" s="34" t="s">
        <v>54</v>
      </c>
      <c r="J151" s="34" t="s">
        <v>3</v>
      </c>
      <c r="K151" s="35" t="s">
        <v>22</v>
      </c>
      <c r="L151" s="36" t="e">
        <f>VLOOKUP(G151,#REF!,4,0)</f>
        <v>#REF!</v>
      </c>
      <c r="M151" s="37" t="e">
        <f>_xlfn.IFNA(VLOOKUP(G151,#REF!,2,0),"")</f>
        <v>#REF!</v>
      </c>
      <c r="N151" s="38" t="e">
        <f>_xlfn.IFNA(VLOOKUP(G151,#REF!,3,0),"")</f>
        <v>#REF!</v>
      </c>
      <c r="O151" s="39">
        <v>11</v>
      </c>
      <c r="P151" s="67">
        <v>147.69526315789474</v>
      </c>
      <c r="Q151" s="39" t="s">
        <v>10</v>
      </c>
      <c r="R151" s="34">
        <v>3.5</v>
      </c>
      <c r="S151" s="38"/>
      <c r="T151" s="40">
        <v>23.913043478260871</v>
      </c>
      <c r="U151" s="41">
        <f t="shared" si="13"/>
        <v>540.84646453089249</v>
      </c>
      <c r="V151" s="42">
        <f t="shared" si="14"/>
        <v>1.6389286803966439</v>
      </c>
      <c r="W151" s="43">
        <f t="shared" si="17"/>
        <v>0.24461622095472296</v>
      </c>
      <c r="X151" s="38"/>
      <c r="Y151" s="38"/>
      <c r="Z151" s="44"/>
      <c r="AA151" s="45">
        <v>46055</v>
      </c>
      <c r="AB151" s="45">
        <v>46096</v>
      </c>
      <c r="AC151" s="45"/>
      <c r="AD151" s="46" t="e">
        <f>IF(ISNA(VLOOKUP(D151,#REF!,5,0)),0,VLOOKUP(D151,#REF!,5,0))</f>
        <v>#REF!</v>
      </c>
      <c r="AE151" s="46" t="e">
        <f t="shared" si="15"/>
        <v>#REF!</v>
      </c>
      <c r="AF151" s="45">
        <v>46116</v>
      </c>
      <c r="AG151" s="33">
        <f t="shared" si="16"/>
        <v>61</v>
      </c>
      <c r="AH151" s="45">
        <v>46152</v>
      </c>
      <c r="AI151" s="39"/>
      <c r="AJ151" s="56">
        <f t="shared" si="18"/>
        <v>36</v>
      </c>
      <c r="AK151" s="39"/>
      <c r="AL151" s="35"/>
      <c r="AM151" s="34"/>
      <c r="AN151" s="34"/>
      <c r="AO151" s="39"/>
      <c r="AP151" s="47"/>
      <c r="AQ151" s="47"/>
      <c r="AR151" s="47"/>
      <c r="AS151" s="47"/>
    </row>
    <row r="152" spans="1:45" ht="12" customHeight="1" x14ac:dyDescent="0.25">
      <c r="A152" s="33">
        <v>151</v>
      </c>
      <c r="B152" s="34"/>
      <c r="C152" s="34" t="s">
        <v>389</v>
      </c>
      <c r="D152" s="35" t="s">
        <v>390</v>
      </c>
      <c r="E152" s="34" t="s">
        <v>61</v>
      </c>
      <c r="F152" s="34" t="s">
        <v>0</v>
      </c>
      <c r="G152" s="16" t="s">
        <v>243</v>
      </c>
      <c r="H152" s="34">
        <v>680</v>
      </c>
      <c r="I152" s="34" t="s">
        <v>54</v>
      </c>
      <c r="J152" s="34" t="s">
        <v>3</v>
      </c>
      <c r="K152" s="35" t="s">
        <v>22</v>
      </c>
      <c r="L152" s="36" t="e">
        <f>VLOOKUP(G152,#REF!,4,0)</f>
        <v>#REF!</v>
      </c>
      <c r="M152" s="37" t="e">
        <f>_xlfn.IFNA(VLOOKUP(G152,#REF!,2,0),"")</f>
        <v>#REF!</v>
      </c>
      <c r="N152" s="38" t="e">
        <f>_xlfn.IFNA(VLOOKUP(G152,#REF!,3,0),"")</f>
        <v>#REF!</v>
      </c>
      <c r="O152" s="39">
        <v>17</v>
      </c>
      <c r="P152" s="67">
        <v>228.25631578947369</v>
      </c>
      <c r="Q152" s="39" t="s">
        <v>10</v>
      </c>
      <c r="R152" s="34">
        <v>3.5</v>
      </c>
      <c r="S152" s="38"/>
      <c r="T152" s="40">
        <v>36.956521739130437</v>
      </c>
      <c r="U152" s="41">
        <f t="shared" si="13"/>
        <v>835.85362700228825</v>
      </c>
      <c r="V152" s="42">
        <f t="shared" si="14"/>
        <v>1.2291965102974827</v>
      </c>
      <c r="W152" s="43">
        <f t="shared" si="17"/>
        <v>0.18346216571604218</v>
      </c>
      <c r="X152" s="38"/>
      <c r="Y152" s="38"/>
      <c r="Z152" s="44"/>
      <c r="AA152" s="45">
        <v>46055</v>
      </c>
      <c r="AB152" s="45">
        <v>46096</v>
      </c>
      <c r="AC152" s="45"/>
      <c r="AD152" s="46" t="e">
        <f>IF(ISNA(VLOOKUP(D152,#REF!,5,0)),0,VLOOKUP(D152,#REF!,5,0))</f>
        <v>#REF!</v>
      </c>
      <c r="AE152" s="46" t="e">
        <f t="shared" si="15"/>
        <v>#REF!</v>
      </c>
      <c r="AF152" s="45">
        <v>46116</v>
      </c>
      <c r="AG152" s="33">
        <f t="shared" si="16"/>
        <v>61</v>
      </c>
      <c r="AH152" s="45">
        <v>46152</v>
      </c>
      <c r="AI152" s="39"/>
      <c r="AJ152" s="56">
        <f t="shared" si="18"/>
        <v>36</v>
      </c>
      <c r="AK152" s="39"/>
      <c r="AL152" s="35"/>
      <c r="AM152" s="34"/>
      <c r="AN152" s="34"/>
      <c r="AO152" s="39"/>
      <c r="AP152" s="47"/>
      <c r="AQ152" s="47"/>
      <c r="AR152" s="47"/>
      <c r="AS152" s="47"/>
    </row>
    <row r="153" spans="1:45" ht="12" customHeight="1" x14ac:dyDescent="0.25">
      <c r="A153" s="33">
        <v>152</v>
      </c>
      <c r="B153" s="34"/>
      <c r="C153" s="34" t="s">
        <v>389</v>
      </c>
      <c r="D153" s="35" t="s">
        <v>391</v>
      </c>
      <c r="E153" s="34" t="s">
        <v>61</v>
      </c>
      <c r="F153" s="34" t="s">
        <v>0</v>
      </c>
      <c r="G153" s="16" t="s">
        <v>198</v>
      </c>
      <c r="H153" s="34">
        <v>90</v>
      </c>
      <c r="I153" s="34" t="s">
        <v>54</v>
      </c>
      <c r="J153" s="34" t="s">
        <v>3</v>
      </c>
      <c r="K153" s="35" t="s">
        <v>15</v>
      </c>
      <c r="L153" s="36" t="e">
        <f>VLOOKUP(G153,#REF!,4,0)</f>
        <v>#REF!</v>
      </c>
      <c r="M153" s="37" t="e">
        <f>_xlfn.IFNA(VLOOKUP(G153,#REF!,2,0),"")</f>
        <v>#REF!</v>
      </c>
      <c r="N153" s="38" t="e">
        <f>_xlfn.IFNA(VLOOKUP(G153,#REF!,3,0),"")</f>
        <v>#REF!</v>
      </c>
      <c r="O153" s="39">
        <v>3</v>
      </c>
      <c r="P153" s="67">
        <v>50.099999999999994</v>
      </c>
      <c r="Q153" s="39" t="s">
        <v>10</v>
      </c>
      <c r="R153" s="34">
        <v>3.6</v>
      </c>
      <c r="S153" s="38"/>
      <c r="T153" s="40">
        <v>6.5217391304347823</v>
      </c>
      <c r="U153" s="41">
        <f t="shared" si="13"/>
        <v>186.88173913043477</v>
      </c>
      <c r="V153" s="42">
        <f t="shared" si="14"/>
        <v>2.0764637681159419</v>
      </c>
      <c r="W153" s="43">
        <f t="shared" si="17"/>
        <v>0.30991996539043909</v>
      </c>
      <c r="X153" s="38"/>
      <c r="Y153" s="38"/>
      <c r="Z153" s="44"/>
      <c r="AA153" s="45">
        <v>46055</v>
      </c>
      <c r="AB153" s="45">
        <v>46096</v>
      </c>
      <c r="AC153" s="45"/>
      <c r="AD153" s="46" t="e">
        <f>IF(ISNA(VLOOKUP(D153,#REF!,5,0)),0,VLOOKUP(D153,#REF!,5,0))</f>
        <v>#REF!</v>
      </c>
      <c r="AE153" s="46" t="e">
        <f t="shared" si="15"/>
        <v>#REF!</v>
      </c>
      <c r="AF153" s="45">
        <v>46107</v>
      </c>
      <c r="AG153" s="33">
        <f t="shared" si="16"/>
        <v>52</v>
      </c>
      <c r="AH153" s="45">
        <v>46142</v>
      </c>
      <c r="AI153" s="39"/>
      <c r="AJ153" s="56">
        <f t="shared" si="18"/>
        <v>35</v>
      </c>
      <c r="AK153" s="39"/>
      <c r="AL153" s="35"/>
      <c r="AM153" s="34"/>
      <c r="AN153" s="34"/>
      <c r="AO153" s="39"/>
      <c r="AP153" s="47"/>
      <c r="AQ153" s="47"/>
      <c r="AR153" s="47"/>
      <c r="AS153" s="47"/>
    </row>
    <row r="154" spans="1:45" ht="12" customHeight="1" x14ac:dyDescent="0.25">
      <c r="A154" s="33">
        <v>153</v>
      </c>
      <c r="B154" s="34"/>
      <c r="C154" s="34" t="s">
        <v>389</v>
      </c>
      <c r="D154" s="35" t="s">
        <v>391</v>
      </c>
      <c r="E154" s="34" t="s">
        <v>61</v>
      </c>
      <c r="F154" s="34" t="s">
        <v>0</v>
      </c>
      <c r="G154" s="16" t="s">
        <v>282</v>
      </c>
      <c r="H154" s="34">
        <v>210</v>
      </c>
      <c r="I154" s="34" t="s">
        <v>54</v>
      </c>
      <c r="J154" s="34" t="s">
        <v>3</v>
      </c>
      <c r="K154" s="35" t="s">
        <v>15</v>
      </c>
      <c r="L154" s="36" t="e">
        <f>VLOOKUP(G154,#REF!,4,0)</f>
        <v>#REF!</v>
      </c>
      <c r="M154" s="37" t="e">
        <f>_xlfn.IFNA(VLOOKUP(G154,#REF!,2,0),"")</f>
        <v>#REF!</v>
      </c>
      <c r="N154" s="38" t="e">
        <f>_xlfn.IFNA(VLOOKUP(G154,#REF!,3,0),"")</f>
        <v>#REF!</v>
      </c>
      <c r="O154" s="39">
        <v>7</v>
      </c>
      <c r="P154" s="67">
        <v>116.89999999999999</v>
      </c>
      <c r="Q154" s="39" t="s">
        <v>10</v>
      </c>
      <c r="R154" s="34">
        <v>3.6</v>
      </c>
      <c r="S154" s="38"/>
      <c r="T154" s="40">
        <v>15.217391304347826</v>
      </c>
      <c r="U154" s="41">
        <f t="shared" si="13"/>
        <v>436.05739130434779</v>
      </c>
      <c r="V154" s="42">
        <f t="shared" si="14"/>
        <v>2.0764637681159419</v>
      </c>
      <c r="W154" s="43">
        <f t="shared" si="17"/>
        <v>0.30991996539043909</v>
      </c>
      <c r="X154" s="38"/>
      <c r="Y154" s="38"/>
      <c r="Z154" s="44"/>
      <c r="AA154" s="45">
        <v>46055</v>
      </c>
      <c r="AB154" s="45">
        <v>46096</v>
      </c>
      <c r="AC154" s="45"/>
      <c r="AD154" s="46" t="e">
        <f>IF(ISNA(VLOOKUP(D154,#REF!,5,0)),0,VLOOKUP(D154,#REF!,5,0))</f>
        <v>#REF!</v>
      </c>
      <c r="AE154" s="46" t="e">
        <f t="shared" si="15"/>
        <v>#REF!</v>
      </c>
      <c r="AF154" s="45">
        <v>46107</v>
      </c>
      <c r="AG154" s="33">
        <f t="shared" si="16"/>
        <v>52</v>
      </c>
      <c r="AH154" s="45">
        <v>46142</v>
      </c>
      <c r="AI154" s="39"/>
      <c r="AJ154" s="56">
        <f t="shared" si="18"/>
        <v>35</v>
      </c>
      <c r="AK154" s="39"/>
      <c r="AL154" s="35"/>
      <c r="AM154" s="34"/>
      <c r="AN154" s="34"/>
      <c r="AO154" s="39"/>
      <c r="AP154" s="47"/>
      <c r="AQ154" s="47"/>
      <c r="AR154" s="47"/>
      <c r="AS154" s="47"/>
    </row>
    <row r="155" spans="1:45" ht="12" customHeight="1" x14ac:dyDescent="0.25">
      <c r="A155" s="33">
        <v>154</v>
      </c>
      <c r="B155" s="34"/>
      <c r="C155" s="34" t="s">
        <v>392</v>
      </c>
      <c r="D155" s="35" t="s">
        <v>393</v>
      </c>
      <c r="E155" s="34" t="s">
        <v>194</v>
      </c>
      <c r="F155" s="34" t="s">
        <v>195</v>
      </c>
      <c r="G155" s="16" t="s">
        <v>64</v>
      </c>
      <c r="H155" s="34">
        <v>120</v>
      </c>
      <c r="I155" s="34" t="s">
        <v>54</v>
      </c>
      <c r="J155" s="34" t="s">
        <v>234</v>
      </c>
      <c r="K155" s="35" t="s">
        <v>394</v>
      </c>
      <c r="L155" s="36" t="e">
        <f>VLOOKUP(G155,#REF!,4,0)</f>
        <v>#REF!</v>
      </c>
      <c r="M155" s="37" t="e">
        <f>_xlfn.IFNA(VLOOKUP(G155,#REF!,2,0),"")</f>
        <v>#REF!</v>
      </c>
      <c r="N155" s="38" t="e">
        <f>_xlfn.IFNA(VLOOKUP(G155,#REF!,3,0),"")</f>
        <v>#REF!</v>
      </c>
      <c r="O155" s="39">
        <v>3</v>
      </c>
      <c r="P155" s="67">
        <v>41.307692307692307</v>
      </c>
      <c r="Q155" s="39" t="s">
        <v>10</v>
      </c>
      <c r="R155" s="34">
        <v>7.3</v>
      </c>
      <c r="S155" s="38">
        <v>250</v>
      </c>
      <c r="T155" s="40">
        <v>57.692307692307693</v>
      </c>
      <c r="U155" s="41">
        <f t="shared" ref="U155:U179" si="19">R155*P155+T155</f>
        <v>359.23846153846154</v>
      </c>
      <c r="V155" s="42">
        <f t="shared" si="14"/>
        <v>2.9936538461538462</v>
      </c>
      <c r="W155" s="43">
        <f t="shared" si="17"/>
        <v>0.44681400688863376</v>
      </c>
      <c r="X155" s="38"/>
      <c r="Y155" s="38"/>
      <c r="Z155" s="44"/>
      <c r="AA155" s="45">
        <v>46055</v>
      </c>
      <c r="AB155" s="45">
        <v>46103</v>
      </c>
      <c r="AC155" s="45"/>
      <c r="AD155" s="46" t="e">
        <f>IF(ISNA(VLOOKUP(D155,#REF!,5,0)),0,VLOOKUP(D155,#REF!,5,0))</f>
        <v>#REF!</v>
      </c>
      <c r="AE155" s="46" t="e">
        <f t="shared" si="15"/>
        <v>#REF!</v>
      </c>
      <c r="AF155" s="45">
        <v>46119</v>
      </c>
      <c r="AG155" s="33">
        <f t="shared" si="16"/>
        <v>64</v>
      </c>
      <c r="AH155" s="45">
        <v>46147</v>
      </c>
      <c r="AI155" s="39"/>
      <c r="AJ155" s="56">
        <f t="shared" si="18"/>
        <v>28</v>
      </c>
      <c r="AK155" s="39"/>
      <c r="AL155" s="35"/>
      <c r="AM155" s="34"/>
      <c r="AN155" s="34"/>
      <c r="AO155" s="39"/>
      <c r="AP155" s="47"/>
      <c r="AQ155" s="47"/>
      <c r="AR155" s="47"/>
      <c r="AS155" s="47"/>
    </row>
    <row r="156" spans="1:45" ht="12" customHeight="1" x14ac:dyDescent="0.25">
      <c r="A156" s="33">
        <v>155</v>
      </c>
      <c r="B156" s="34"/>
      <c r="C156" s="34" t="s">
        <v>392</v>
      </c>
      <c r="D156" s="35" t="s">
        <v>393</v>
      </c>
      <c r="E156" s="34" t="s">
        <v>194</v>
      </c>
      <c r="F156" s="34" t="s">
        <v>195</v>
      </c>
      <c r="G156" s="16" t="s">
        <v>97</v>
      </c>
      <c r="H156" s="34">
        <v>200</v>
      </c>
      <c r="I156" s="34" t="s">
        <v>54</v>
      </c>
      <c r="J156" s="34" t="s">
        <v>234</v>
      </c>
      <c r="K156" s="35" t="s">
        <v>394</v>
      </c>
      <c r="L156" s="36" t="e">
        <f>VLOOKUP(G156,#REF!,4,0)</f>
        <v>#REF!</v>
      </c>
      <c r="M156" s="37" t="e">
        <f>_xlfn.IFNA(VLOOKUP(G156,#REF!,2,0),"")</f>
        <v>#REF!</v>
      </c>
      <c r="N156" s="38" t="e">
        <f>_xlfn.IFNA(VLOOKUP(G156,#REF!,3,0),"")</f>
        <v>#REF!</v>
      </c>
      <c r="O156" s="39">
        <v>5</v>
      </c>
      <c r="P156" s="67">
        <v>68.846153846153854</v>
      </c>
      <c r="Q156" s="39" t="s">
        <v>10</v>
      </c>
      <c r="R156" s="34">
        <v>7.3</v>
      </c>
      <c r="S156" s="48">
        <f>SUMIF(C:C,C155,T:T)</f>
        <v>250.00000000000003</v>
      </c>
      <c r="T156" s="40">
        <v>96.15384615384616</v>
      </c>
      <c r="U156" s="41">
        <f t="shared" si="19"/>
        <v>598.73076923076928</v>
      </c>
      <c r="V156" s="42">
        <f t="shared" si="14"/>
        <v>2.9936538461538462</v>
      </c>
      <c r="W156" s="43">
        <f t="shared" si="17"/>
        <v>0.44681400688863376</v>
      </c>
      <c r="X156" s="38"/>
      <c r="Y156" s="38"/>
      <c r="Z156" s="44"/>
      <c r="AA156" s="45">
        <v>46055</v>
      </c>
      <c r="AB156" s="45">
        <v>46103</v>
      </c>
      <c r="AC156" s="45"/>
      <c r="AD156" s="46" t="e">
        <f>IF(ISNA(VLOOKUP(D156,#REF!,5,0)),0,VLOOKUP(D156,#REF!,5,0))</f>
        <v>#REF!</v>
      </c>
      <c r="AE156" s="46" t="e">
        <f t="shared" si="15"/>
        <v>#REF!</v>
      </c>
      <c r="AF156" s="45">
        <v>46119</v>
      </c>
      <c r="AG156" s="33">
        <f t="shared" si="16"/>
        <v>64</v>
      </c>
      <c r="AH156" s="45">
        <v>46147</v>
      </c>
      <c r="AI156" s="39"/>
      <c r="AJ156" s="56">
        <f t="shared" si="18"/>
        <v>28</v>
      </c>
      <c r="AK156" s="39"/>
      <c r="AL156" s="35"/>
      <c r="AM156" s="34"/>
      <c r="AN156" s="34"/>
      <c r="AO156" s="39"/>
      <c r="AP156" s="47"/>
      <c r="AQ156" s="47"/>
      <c r="AR156" s="47"/>
      <c r="AS156" s="47"/>
    </row>
    <row r="157" spans="1:45" ht="12" customHeight="1" x14ac:dyDescent="0.25">
      <c r="A157" s="33">
        <v>156</v>
      </c>
      <c r="B157" s="34"/>
      <c r="C157" s="34" t="s">
        <v>392</v>
      </c>
      <c r="D157" s="35" t="s">
        <v>393</v>
      </c>
      <c r="E157" s="34" t="s">
        <v>194</v>
      </c>
      <c r="F157" s="34" t="s">
        <v>195</v>
      </c>
      <c r="G157" s="16" t="s">
        <v>65</v>
      </c>
      <c r="H157" s="34">
        <v>200</v>
      </c>
      <c r="I157" s="34" t="s">
        <v>54</v>
      </c>
      <c r="J157" s="34" t="s">
        <v>234</v>
      </c>
      <c r="K157" s="35" t="s">
        <v>394</v>
      </c>
      <c r="L157" s="36" t="e">
        <f>VLOOKUP(G157,#REF!,4,0)</f>
        <v>#REF!</v>
      </c>
      <c r="M157" s="37" t="e">
        <f>_xlfn.IFNA(VLOOKUP(G157,#REF!,2,0),"")</f>
        <v>#REF!</v>
      </c>
      <c r="N157" s="38" t="e">
        <f>_xlfn.IFNA(VLOOKUP(G157,#REF!,3,0),"")</f>
        <v>#REF!</v>
      </c>
      <c r="O157" s="39">
        <v>5</v>
      </c>
      <c r="P157" s="67">
        <v>68.846153846153854</v>
      </c>
      <c r="Q157" s="39" t="s">
        <v>10</v>
      </c>
      <c r="R157" s="34">
        <v>7.3</v>
      </c>
      <c r="S157" s="38"/>
      <c r="T157" s="40">
        <v>96.15384615384616</v>
      </c>
      <c r="U157" s="41">
        <f t="shared" si="19"/>
        <v>598.73076923076928</v>
      </c>
      <c r="V157" s="42">
        <f t="shared" si="14"/>
        <v>2.9936538461538462</v>
      </c>
      <c r="W157" s="43">
        <f t="shared" si="17"/>
        <v>0.44681400688863376</v>
      </c>
      <c r="X157" s="38"/>
      <c r="Y157" s="38"/>
      <c r="Z157" s="44"/>
      <c r="AA157" s="45">
        <v>46055</v>
      </c>
      <c r="AB157" s="45">
        <v>46103</v>
      </c>
      <c r="AC157" s="45"/>
      <c r="AD157" s="46" t="e">
        <f>IF(ISNA(VLOOKUP(D157,#REF!,5,0)),0,VLOOKUP(D157,#REF!,5,0))</f>
        <v>#REF!</v>
      </c>
      <c r="AE157" s="46" t="e">
        <f t="shared" si="15"/>
        <v>#REF!</v>
      </c>
      <c r="AF157" s="45">
        <v>46119</v>
      </c>
      <c r="AG157" s="33">
        <f t="shared" si="16"/>
        <v>64</v>
      </c>
      <c r="AH157" s="45">
        <v>46147</v>
      </c>
      <c r="AI157" s="39"/>
      <c r="AJ157" s="56">
        <f t="shared" si="18"/>
        <v>28</v>
      </c>
      <c r="AK157" s="39"/>
      <c r="AL157" s="35"/>
      <c r="AM157" s="34"/>
      <c r="AN157" s="34"/>
      <c r="AO157" s="39"/>
      <c r="AP157" s="47"/>
      <c r="AQ157" s="47"/>
      <c r="AR157" s="47"/>
      <c r="AS157" s="47"/>
    </row>
    <row r="158" spans="1:45" ht="12" customHeight="1" x14ac:dyDescent="0.25">
      <c r="A158" s="33">
        <v>157</v>
      </c>
      <c r="B158" s="34" t="s">
        <v>591</v>
      </c>
      <c r="C158" s="34" t="s">
        <v>395</v>
      </c>
      <c r="D158" s="35" t="s">
        <v>396</v>
      </c>
      <c r="E158" s="34" t="s">
        <v>397</v>
      </c>
      <c r="F158" s="34" t="s">
        <v>76</v>
      </c>
      <c r="G158" s="16" t="s">
        <v>64</v>
      </c>
      <c r="H158" s="34">
        <v>280</v>
      </c>
      <c r="I158" s="34" t="s">
        <v>75</v>
      </c>
      <c r="J158" s="49" t="s">
        <v>77</v>
      </c>
      <c r="K158" s="35" t="s">
        <v>78</v>
      </c>
      <c r="L158" s="36" t="e">
        <f>VLOOKUP(G158,#REF!,4,0)</f>
        <v>#REF!</v>
      </c>
      <c r="M158" s="37" t="e">
        <f>_xlfn.IFNA(VLOOKUP(G158,#REF!,2,0),"")</f>
        <v>#REF!</v>
      </c>
      <c r="N158" s="38" t="e">
        <f>_xlfn.IFNA(VLOOKUP(G158,#REF!,3,0),"")</f>
        <v>#REF!</v>
      </c>
      <c r="O158" s="39">
        <v>7</v>
      </c>
      <c r="P158" s="67">
        <v>0.38181818181818178</v>
      </c>
      <c r="Q158" s="39" t="s">
        <v>420</v>
      </c>
      <c r="R158" s="34">
        <v>740</v>
      </c>
      <c r="S158" s="38">
        <v>1036.08</v>
      </c>
      <c r="T158" s="40">
        <v>659.3236363636363</v>
      </c>
      <c r="U158" s="41">
        <f t="shared" si="19"/>
        <v>941.8690909090908</v>
      </c>
      <c r="V158" s="42">
        <f t="shared" si="14"/>
        <v>3.3638181818181816</v>
      </c>
      <c r="W158" s="43">
        <f t="shared" si="17"/>
        <v>0.50206241519674355</v>
      </c>
      <c r="X158" s="38"/>
      <c r="Y158" s="38"/>
      <c r="Z158" s="44"/>
      <c r="AA158" s="45">
        <v>46055</v>
      </c>
      <c r="AB158" s="45">
        <v>46079</v>
      </c>
      <c r="AC158" s="45"/>
      <c r="AD158" s="46" t="e">
        <f>IF(ISNA(VLOOKUP(D158,#REF!,5,0)),0,VLOOKUP(D158,#REF!,5,0))</f>
        <v>#REF!</v>
      </c>
      <c r="AE158" s="46" t="e">
        <f t="shared" si="15"/>
        <v>#REF!</v>
      </c>
      <c r="AF158" s="45">
        <v>46133</v>
      </c>
      <c r="AG158" s="33">
        <f t="shared" si="16"/>
        <v>78</v>
      </c>
      <c r="AH158" s="45">
        <v>46148</v>
      </c>
      <c r="AI158" s="39"/>
      <c r="AJ158" s="56">
        <f t="shared" si="18"/>
        <v>15</v>
      </c>
      <c r="AK158" s="39"/>
      <c r="AL158" s="35"/>
      <c r="AM158" s="34"/>
      <c r="AN158" s="34"/>
      <c r="AO158" s="39"/>
      <c r="AP158" s="47"/>
      <c r="AQ158" s="47"/>
      <c r="AR158" s="47"/>
      <c r="AS158" s="47"/>
    </row>
    <row r="159" spans="1:45" ht="12" customHeight="1" x14ac:dyDescent="0.25">
      <c r="A159" s="33">
        <v>158</v>
      </c>
      <c r="B159" s="34" t="s">
        <v>591</v>
      </c>
      <c r="C159" s="34" t="s">
        <v>395</v>
      </c>
      <c r="D159" s="35" t="s">
        <v>396</v>
      </c>
      <c r="E159" s="34" t="s">
        <v>397</v>
      </c>
      <c r="F159" s="34" t="s">
        <v>76</v>
      </c>
      <c r="G159" s="16" t="s">
        <v>65</v>
      </c>
      <c r="H159" s="34">
        <v>40</v>
      </c>
      <c r="I159" s="34" t="s">
        <v>75</v>
      </c>
      <c r="J159" s="49" t="s">
        <v>77</v>
      </c>
      <c r="K159" s="35" t="s">
        <v>78</v>
      </c>
      <c r="L159" s="36" t="e">
        <f>VLOOKUP(G159,#REF!,4,0)</f>
        <v>#REF!</v>
      </c>
      <c r="M159" s="37" t="e">
        <f>_xlfn.IFNA(VLOOKUP(G159,#REF!,2,0),"")</f>
        <v>#REF!</v>
      </c>
      <c r="N159" s="38" t="e">
        <f>_xlfn.IFNA(VLOOKUP(G159,#REF!,3,0),"")</f>
        <v>#REF!</v>
      </c>
      <c r="O159" s="39">
        <v>1</v>
      </c>
      <c r="P159" s="67">
        <v>0.05</v>
      </c>
      <c r="Q159" s="39" t="s">
        <v>420</v>
      </c>
      <c r="R159" s="34">
        <v>740</v>
      </c>
      <c r="S159" s="48">
        <f>SUMIF(C:C,C158,T:T)</f>
        <v>1036.08</v>
      </c>
      <c r="T159" s="40">
        <v>94.189090909090908</v>
      </c>
      <c r="U159" s="41">
        <f t="shared" si="19"/>
        <v>131.18909090909091</v>
      </c>
      <c r="V159" s="42">
        <f t="shared" si="14"/>
        <v>3.2797272727272726</v>
      </c>
      <c r="W159" s="43">
        <f t="shared" si="17"/>
        <v>0.4895115332428765</v>
      </c>
      <c r="X159" s="38"/>
      <c r="Y159" s="38"/>
      <c r="Z159" s="44"/>
      <c r="AA159" s="45">
        <v>46055</v>
      </c>
      <c r="AB159" s="45">
        <v>46079</v>
      </c>
      <c r="AC159" s="45"/>
      <c r="AD159" s="46" t="e">
        <f>IF(ISNA(VLOOKUP(D159,#REF!,5,0)),0,VLOOKUP(D159,#REF!,5,0))</f>
        <v>#REF!</v>
      </c>
      <c r="AE159" s="46" t="e">
        <f t="shared" si="15"/>
        <v>#REF!</v>
      </c>
      <c r="AF159" s="45">
        <v>46133</v>
      </c>
      <c r="AG159" s="33">
        <f t="shared" si="16"/>
        <v>78</v>
      </c>
      <c r="AH159" s="45">
        <v>46148</v>
      </c>
      <c r="AI159" s="39"/>
      <c r="AJ159" s="56">
        <f t="shared" si="18"/>
        <v>15</v>
      </c>
      <c r="AK159" s="39"/>
      <c r="AL159" s="35"/>
      <c r="AM159" s="34"/>
      <c r="AN159" s="34"/>
      <c r="AO159" s="39"/>
      <c r="AP159" s="47"/>
      <c r="AQ159" s="47"/>
      <c r="AR159" s="47"/>
      <c r="AS159" s="47"/>
    </row>
    <row r="160" spans="1:45" ht="12" customHeight="1" x14ac:dyDescent="0.25">
      <c r="A160" s="33">
        <v>159</v>
      </c>
      <c r="B160" s="34" t="s">
        <v>591</v>
      </c>
      <c r="C160" s="34" t="s">
        <v>395</v>
      </c>
      <c r="D160" s="35" t="s">
        <v>396</v>
      </c>
      <c r="E160" s="34" t="s">
        <v>397</v>
      </c>
      <c r="F160" s="34" t="s">
        <v>76</v>
      </c>
      <c r="G160" s="16" t="s">
        <v>68</v>
      </c>
      <c r="H160" s="34">
        <v>90</v>
      </c>
      <c r="I160" s="34" t="s">
        <v>75</v>
      </c>
      <c r="J160" s="49" t="s">
        <v>77</v>
      </c>
      <c r="K160" s="35" t="s">
        <v>78</v>
      </c>
      <c r="L160" s="36" t="e">
        <f>VLOOKUP(G160,#REF!,4,0)</f>
        <v>#REF!</v>
      </c>
      <c r="M160" s="37" t="e">
        <f>_xlfn.IFNA(VLOOKUP(G160,#REF!,2,0),"")</f>
        <v>#REF!</v>
      </c>
      <c r="N160" s="38" t="e">
        <f>_xlfn.IFNA(VLOOKUP(G160,#REF!,3,0),"")</f>
        <v>#REF!</v>
      </c>
      <c r="O160" s="39">
        <v>3</v>
      </c>
      <c r="P160" s="67">
        <v>0.16363636363636364</v>
      </c>
      <c r="Q160" s="39" t="s">
        <v>420</v>
      </c>
      <c r="R160" s="34">
        <v>740</v>
      </c>
      <c r="S160" s="38"/>
      <c r="T160" s="40">
        <v>282.56727272727272</v>
      </c>
      <c r="U160" s="41">
        <f t="shared" si="19"/>
        <v>403.65818181818179</v>
      </c>
      <c r="V160" s="42">
        <f t="shared" si="14"/>
        <v>4.4850909090909088</v>
      </c>
      <c r="W160" s="43">
        <f t="shared" si="17"/>
        <v>0.66941655359565799</v>
      </c>
      <c r="X160" s="38"/>
      <c r="Y160" s="38"/>
      <c r="Z160" s="44"/>
      <c r="AA160" s="45">
        <v>46055</v>
      </c>
      <c r="AB160" s="45">
        <v>46079</v>
      </c>
      <c r="AC160" s="45"/>
      <c r="AD160" s="46" t="e">
        <f>IF(ISNA(VLOOKUP(D160,#REF!,5,0)),0,VLOOKUP(D160,#REF!,5,0))</f>
        <v>#REF!</v>
      </c>
      <c r="AE160" s="46" t="e">
        <f t="shared" si="15"/>
        <v>#REF!</v>
      </c>
      <c r="AF160" s="45">
        <v>46133</v>
      </c>
      <c r="AG160" s="33">
        <f t="shared" si="16"/>
        <v>78</v>
      </c>
      <c r="AH160" s="45">
        <v>46148</v>
      </c>
      <c r="AI160" s="39"/>
      <c r="AJ160" s="56">
        <f t="shared" si="18"/>
        <v>15</v>
      </c>
      <c r="AK160" s="39"/>
      <c r="AL160" s="35"/>
      <c r="AM160" s="34"/>
      <c r="AN160" s="34"/>
      <c r="AO160" s="39"/>
      <c r="AP160" s="47"/>
      <c r="AQ160" s="47"/>
      <c r="AR160" s="47"/>
      <c r="AS160" s="47"/>
    </row>
    <row r="161" spans="1:45" ht="12" customHeight="1" x14ac:dyDescent="0.25">
      <c r="A161" s="33">
        <v>160</v>
      </c>
      <c r="B161" s="34"/>
      <c r="C161" s="34" t="s">
        <v>389</v>
      </c>
      <c r="D161" s="35" t="s">
        <v>398</v>
      </c>
      <c r="E161" s="34" t="s">
        <v>58</v>
      </c>
      <c r="F161" s="34" t="s">
        <v>0</v>
      </c>
      <c r="G161" s="16" t="s">
        <v>228</v>
      </c>
      <c r="H161" s="34">
        <v>60</v>
      </c>
      <c r="I161" s="34" t="s">
        <v>54</v>
      </c>
      <c r="J161" s="34" t="s">
        <v>3</v>
      </c>
      <c r="K161" s="35" t="s">
        <v>22</v>
      </c>
      <c r="L161" s="36" t="e">
        <f>VLOOKUP(G161,#REF!,4,0)</f>
        <v>#REF!</v>
      </c>
      <c r="M161" s="37" t="e">
        <f>_xlfn.IFNA(VLOOKUP(G161,#REF!,2,0),"")</f>
        <v>#REF!</v>
      </c>
      <c r="N161" s="38" t="e">
        <f>_xlfn.IFNA(VLOOKUP(G161,#REF!,3,0),"")</f>
        <v>#REF!</v>
      </c>
      <c r="O161" s="39">
        <v>3</v>
      </c>
      <c r="P161" s="67">
        <v>40.280769230769238</v>
      </c>
      <c r="Q161" s="39" t="s">
        <v>10</v>
      </c>
      <c r="R161" s="34">
        <v>3.5</v>
      </c>
      <c r="S161" s="38"/>
      <c r="T161" s="40">
        <v>6.5217391304347823</v>
      </c>
      <c r="U161" s="41">
        <f t="shared" si="19"/>
        <v>147.50443143812711</v>
      </c>
      <c r="V161" s="42">
        <f t="shared" si="14"/>
        <v>2.4584071906354521</v>
      </c>
      <c r="W161" s="43">
        <f t="shared" si="17"/>
        <v>0.3669264463635003</v>
      </c>
      <c r="X161" s="38"/>
      <c r="Y161" s="38"/>
      <c r="Z161" s="44"/>
      <c r="AA161" s="45">
        <v>46055</v>
      </c>
      <c r="AB161" s="45">
        <v>46096</v>
      </c>
      <c r="AC161" s="45"/>
      <c r="AD161" s="46" t="e">
        <f>IF(ISNA(VLOOKUP(D161,#REF!,5,0)),0,VLOOKUP(D161,#REF!,5,0))</f>
        <v>#REF!</v>
      </c>
      <c r="AE161" s="46" t="e">
        <f t="shared" si="15"/>
        <v>#REF!</v>
      </c>
      <c r="AF161" s="45">
        <v>46116</v>
      </c>
      <c r="AG161" s="33">
        <f t="shared" si="16"/>
        <v>61</v>
      </c>
      <c r="AH161" s="45">
        <v>46152</v>
      </c>
      <c r="AI161" s="39"/>
      <c r="AJ161" s="56">
        <f t="shared" si="18"/>
        <v>36</v>
      </c>
      <c r="AK161" s="39"/>
      <c r="AL161" s="35"/>
      <c r="AM161" s="34"/>
      <c r="AN161" s="34"/>
      <c r="AO161" s="39"/>
      <c r="AP161" s="47"/>
      <c r="AQ161" s="47"/>
      <c r="AR161" s="47"/>
      <c r="AS161" s="47"/>
    </row>
    <row r="162" spans="1:45" ht="12" customHeight="1" x14ac:dyDescent="0.25">
      <c r="A162" s="33">
        <v>161</v>
      </c>
      <c r="B162" s="34"/>
      <c r="C162" s="34" t="s">
        <v>389</v>
      </c>
      <c r="D162" s="35" t="s">
        <v>398</v>
      </c>
      <c r="E162" s="34" t="s">
        <v>58</v>
      </c>
      <c r="F162" s="34" t="s">
        <v>0</v>
      </c>
      <c r="G162" s="16" t="s">
        <v>205</v>
      </c>
      <c r="H162" s="34">
        <v>300</v>
      </c>
      <c r="I162" s="34" t="s">
        <v>54</v>
      </c>
      <c r="J162" s="34" t="s">
        <v>3</v>
      </c>
      <c r="K162" s="35" t="s">
        <v>22</v>
      </c>
      <c r="L162" s="36" t="e">
        <f>VLOOKUP(G162,#REF!,4,0)</f>
        <v>#REF!</v>
      </c>
      <c r="M162" s="37" t="e">
        <f>_xlfn.IFNA(VLOOKUP(G162,#REF!,2,0),"")</f>
        <v>#REF!</v>
      </c>
      <c r="N162" s="38" t="e">
        <f>_xlfn.IFNA(VLOOKUP(G162,#REF!,3,0),"")</f>
        <v>#REF!</v>
      </c>
      <c r="O162" s="39">
        <v>10</v>
      </c>
      <c r="P162" s="67">
        <v>134.26923076923077</v>
      </c>
      <c r="Q162" s="39" t="s">
        <v>10</v>
      </c>
      <c r="R162" s="34">
        <v>3.5</v>
      </c>
      <c r="S162" s="38"/>
      <c r="T162" s="40">
        <v>21.739130434782609</v>
      </c>
      <c r="U162" s="41">
        <f t="shared" si="19"/>
        <v>491.68143812709036</v>
      </c>
      <c r="V162" s="42">
        <f t="shared" si="14"/>
        <v>1.6389381270903012</v>
      </c>
      <c r="W162" s="43">
        <f t="shared" si="17"/>
        <v>0.24461763090900016</v>
      </c>
      <c r="X162" s="38"/>
      <c r="Y162" s="38"/>
      <c r="Z162" s="44"/>
      <c r="AA162" s="45">
        <v>46055</v>
      </c>
      <c r="AB162" s="45">
        <v>46096</v>
      </c>
      <c r="AC162" s="45"/>
      <c r="AD162" s="46" t="e">
        <f>IF(ISNA(VLOOKUP(D162,#REF!,5,0)),0,VLOOKUP(D162,#REF!,5,0))</f>
        <v>#REF!</v>
      </c>
      <c r="AE162" s="46" t="e">
        <f t="shared" si="15"/>
        <v>#REF!</v>
      </c>
      <c r="AF162" s="45">
        <v>46116</v>
      </c>
      <c r="AG162" s="33">
        <f t="shared" si="16"/>
        <v>61</v>
      </c>
      <c r="AH162" s="45">
        <v>46152</v>
      </c>
      <c r="AI162" s="39"/>
      <c r="AJ162" s="56">
        <f t="shared" si="18"/>
        <v>36</v>
      </c>
      <c r="AK162" s="39"/>
      <c r="AL162" s="35"/>
      <c r="AM162" s="34"/>
      <c r="AN162" s="34"/>
      <c r="AO162" s="39"/>
      <c r="AP162" s="47"/>
      <c r="AQ162" s="47"/>
      <c r="AR162" s="47"/>
      <c r="AS162" s="47"/>
    </row>
    <row r="163" spans="1:45" ht="12" customHeight="1" x14ac:dyDescent="0.25">
      <c r="A163" s="33">
        <v>162</v>
      </c>
      <c r="B163" s="34"/>
      <c r="C163" s="34" t="s">
        <v>389</v>
      </c>
      <c r="D163" s="35" t="s">
        <v>399</v>
      </c>
      <c r="E163" s="34" t="s">
        <v>58</v>
      </c>
      <c r="F163" s="34" t="s">
        <v>0</v>
      </c>
      <c r="G163" s="16" t="s">
        <v>206</v>
      </c>
      <c r="H163" s="34">
        <v>120</v>
      </c>
      <c r="I163" s="34" t="s">
        <v>54</v>
      </c>
      <c r="J163" s="34" t="s">
        <v>3</v>
      </c>
      <c r="K163" s="35" t="s">
        <v>22</v>
      </c>
      <c r="L163" s="36" t="e">
        <f>VLOOKUP(G163,#REF!,4,0)</f>
        <v>#REF!</v>
      </c>
      <c r="M163" s="37" t="e">
        <f>_xlfn.IFNA(VLOOKUP(G163,#REF!,2,0),"")</f>
        <v>#REF!</v>
      </c>
      <c r="N163" s="38" t="e">
        <f>_xlfn.IFNA(VLOOKUP(G163,#REF!,3,0),"")</f>
        <v>#REF!</v>
      </c>
      <c r="O163" s="39">
        <v>6</v>
      </c>
      <c r="P163" s="67">
        <v>80.56</v>
      </c>
      <c r="Q163" s="39" t="s">
        <v>10</v>
      </c>
      <c r="R163" s="34">
        <v>3.5</v>
      </c>
      <c r="S163" s="38"/>
      <c r="T163" s="40">
        <v>13.043478260869565</v>
      </c>
      <c r="U163" s="41">
        <f t="shared" si="19"/>
        <v>295.0034782608696</v>
      </c>
      <c r="V163" s="42">
        <f t="shared" si="14"/>
        <v>2.4583623188405799</v>
      </c>
      <c r="W163" s="43">
        <f t="shared" si="17"/>
        <v>0.36691974908068353</v>
      </c>
      <c r="X163" s="38"/>
      <c r="Y163" s="38"/>
      <c r="Z163" s="44"/>
      <c r="AA163" s="45">
        <v>46055</v>
      </c>
      <c r="AB163" s="45">
        <v>46096</v>
      </c>
      <c r="AC163" s="45"/>
      <c r="AD163" s="46" t="e">
        <f>IF(ISNA(VLOOKUP(D163,#REF!,5,0)),0,VLOOKUP(D163,#REF!,5,0))</f>
        <v>#REF!</v>
      </c>
      <c r="AE163" s="46" t="e">
        <f t="shared" si="15"/>
        <v>#REF!</v>
      </c>
      <c r="AF163" s="45">
        <v>46116</v>
      </c>
      <c r="AG163" s="33">
        <f t="shared" si="16"/>
        <v>61</v>
      </c>
      <c r="AH163" s="45">
        <v>46150</v>
      </c>
      <c r="AI163" s="39"/>
      <c r="AJ163" s="56">
        <f t="shared" si="18"/>
        <v>34</v>
      </c>
      <c r="AK163" s="39"/>
      <c r="AL163" s="35"/>
      <c r="AM163" s="34"/>
      <c r="AN163" s="34"/>
      <c r="AO163" s="39"/>
      <c r="AP163" s="47"/>
      <c r="AQ163" s="47"/>
      <c r="AR163" s="47"/>
      <c r="AS163" s="47"/>
    </row>
    <row r="164" spans="1:45" ht="12" customHeight="1" x14ac:dyDescent="0.25">
      <c r="A164" s="33">
        <v>163</v>
      </c>
      <c r="B164" s="34"/>
      <c r="C164" s="34" t="s">
        <v>389</v>
      </c>
      <c r="D164" s="35" t="s">
        <v>399</v>
      </c>
      <c r="E164" s="34" t="s">
        <v>58</v>
      </c>
      <c r="F164" s="34" t="s">
        <v>0</v>
      </c>
      <c r="G164" s="16" t="s">
        <v>237</v>
      </c>
      <c r="H164" s="34">
        <v>240</v>
      </c>
      <c r="I164" s="34" t="s">
        <v>54</v>
      </c>
      <c r="J164" s="34" t="s">
        <v>3</v>
      </c>
      <c r="K164" s="35" t="s">
        <v>22</v>
      </c>
      <c r="L164" s="36" t="e">
        <f>VLOOKUP(G164,#REF!,4,0)</f>
        <v>#REF!</v>
      </c>
      <c r="M164" s="37" t="e">
        <f>_xlfn.IFNA(VLOOKUP(G164,#REF!,2,0),"")</f>
        <v>#REF!</v>
      </c>
      <c r="N164" s="38" t="e">
        <f>_xlfn.IFNA(VLOOKUP(G164,#REF!,3,0),"")</f>
        <v>#REF!</v>
      </c>
      <c r="O164" s="39">
        <v>6</v>
      </c>
      <c r="P164" s="67">
        <v>80.56</v>
      </c>
      <c r="Q164" s="39" t="s">
        <v>10</v>
      </c>
      <c r="R164" s="34">
        <v>3.5</v>
      </c>
      <c r="S164" s="38"/>
      <c r="T164" s="40">
        <v>13.043478260869565</v>
      </c>
      <c r="U164" s="41">
        <f t="shared" si="19"/>
        <v>295.0034782608696</v>
      </c>
      <c r="V164" s="42">
        <f t="shared" si="14"/>
        <v>1.2291811594202899</v>
      </c>
      <c r="W164" s="43">
        <f t="shared" si="17"/>
        <v>0.18345987454034177</v>
      </c>
      <c r="X164" s="38"/>
      <c r="Y164" s="38"/>
      <c r="Z164" s="44"/>
      <c r="AA164" s="45">
        <v>46055</v>
      </c>
      <c r="AB164" s="45">
        <v>46096</v>
      </c>
      <c r="AC164" s="45"/>
      <c r="AD164" s="46" t="e">
        <f>IF(ISNA(VLOOKUP(D164,#REF!,5,0)),0,VLOOKUP(D164,#REF!,5,0))</f>
        <v>#REF!</v>
      </c>
      <c r="AE164" s="46" t="e">
        <f t="shared" si="15"/>
        <v>#REF!</v>
      </c>
      <c r="AF164" s="45">
        <v>46116</v>
      </c>
      <c r="AG164" s="33">
        <f t="shared" si="16"/>
        <v>61</v>
      </c>
      <c r="AH164" s="45">
        <v>46150</v>
      </c>
      <c r="AI164" s="39"/>
      <c r="AJ164" s="56">
        <f t="shared" si="18"/>
        <v>34</v>
      </c>
      <c r="AK164" s="39"/>
      <c r="AL164" s="35"/>
      <c r="AM164" s="34"/>
      <c r="AN164" s="34"/>
      <c r="AO164" s="39"/>
      <c r="AP164" s="47"/>
      <c r="AQ164" s="47"/>
      <c r="AR164" s="47"/>
      <c r="AS164" s="47"/>
    </row>
    <row r="165" spans="1:45" ht="12" customHeight="1" x14ac:dyDescent="0.25">
      <c r="A165" s="33">
        <v>164</v>
      </c>
      <c r="B165" s="34"/>
      <c r="C165" s="34" t="s">
        <v>400</v>
      </c>
      <c r="D165" s="35" t="s">
        <v>401</v>
      </c>
      <c r="E165" s="34" t="s">
        <v>172</v>
      </c>
      <c r="F165" s="34" t="s">
        <v>0</v>
      </c>
      <c r="G165" s="16" t="s">
        <v>81</v>
      </c>
      <c r="H165" s="34">
        <v>240</v>
      </c>
      <c r="I165" s="34" t="s">
        <v>66</v>
      </c>
      <c r="J165" s="34" t="s">
        <v>3</v>
      </c>
      <c r="K165" s="35" t="s">
        <v>18</v>
      </c>
      <c r="L165" s="36" t="e">
        <f>VLOOKUP(G165,#REF!,4,0)</f>
        <v>#REF!</v>
      </c>
      <c r="M165" s="37" t="e">
        <f>_xlfn.IFNA(VLOOKUP(G165,#REF!,2,0),"")</f>
        <v>#REF!</v>
      </c>
      <c r="N165" s="38" t="e">
        <f>_xlfn.IFNA(VLOOKUP(G165,#REF!,3,0),"")</f>
        <v>#REF!</v>
      </c>
      <c r="O165" s="39">
        <v>15</v>
      </c>
      <c r="P165" s="67">
        <v>223.63636363636363</v>
      </c>
      <c r="Q165" s="39" t="s">
        <v>10</v>
      </c>
      <c r="R165" s="34">
        <v>3.3</v>
      </c>
      <c r="S165" s="38">
        <v>200</v>
      </c>
      <c r="T165" s="40">
        <v>38.961038961038959</v>
      </c>
      <c r="U165" s="41">
        <f t="shared" si="19"/>
        <v>776.96103896103887</v>
      </c>
      <c r="V165" s="42">
        <f t="shared" si="14"/>
        <v>3.2373376623376617</v>
      </c>
      <c r="W165" s="43">
        <f t="shared" si="17"/>
        <v>0.48318472572203908</v>
      </c>
      <c r="X165" s="38"/>
      <c r="Y165" s="38"/>
      <c r="Z165" s="44"/>
      <c r="AA165" s="45">
        <v>46059</v>
      </c>
      <c r="AB165" s="45">
        <v>46085</v>
      </c>
      <c r="AC165" s="45"/>
      <c r="AD165" s="46" t="e">
        <f>IF(ISNA(VLOOKUP(D165,#REF!,5,0)),0,VLOOKUP(D165,#REF!,5,0))</f>
        <v>#REF!</v>
      </c>
      <c r="AE165" s="46" t="e">
        <f t="shared" si="15"/>
        <v>#REF!</v>
      </c>
      <c r="AF165" s="45">
        <v>46092</v>
      </c>
      <c r="AG165" s="33">
        <f t="shared" si="16"/>
        <v>33</v>
      </c>
      <c r="AH165" s="45">
        <v>46131</v>
      </c>
      <c r="AI165" s="39"/>
      <c r="AJ165" s="56">
        <f t="shared" si="18"/>
        <v>39</v>
      </c>
      <c r="AK165" s="39"/>
      <c r="AL165" s="35"/>
      <c r="AM165" s="34"/>
      <c r="AN165" s="34"/>
      <c r="AO165" s="39"/>
      <c r="AP165" s="47"/>
      <c r="AQ165" s="47"/>
      <c r="AR165" s="47"/>
      <c r="AS165" s="47"/>
    </row>
    <row r="166" spans="1:45" ht="12" customHeight="1" x14ac:dyDescent="0.25">
      <c r="A166" s="33">
        <v>165</v>
      </c>
      <c r="B166" s="34"/>
      <c r="C166" s="34" t="s">
        <v>400</v>
      </c>
      <c r="D166" s="35" t="s">
        <v>401</v>
      </c>
      <c r="E166" s="34" t="s">
        <v>172</v>
      </c>
      <c r="F166" s="34" t="s">
        <v>0</v>
      </c>
      <c r="G166" s="16" t="s">
        <v>83</v>
      </c>
      <c r="H166" s="34">
        <v>176</v>
      </c>
      <c r="I166" s="34" t="s">
        <v>66</v>
      </c>
      <c r="J166" s="34" t="s">
        <v>3</v>
      </c>
      <c r="K166" s="35" t="s">
        <v>18</v>
      </c>
      <c r="L166" s="36" t="e">
        <f>VLOOKUP(G166,#REF!,4,0)</f>
        <v>#REF!</v>
      </c>
      <c r="M166" s="37" t="e">
        <f>_xlfn.IFNA(VLOOKUP(G166,#REF!,2,0),"")</f>
        <v>#REF!</v>
      </c>
      <c r="N166" s="38" t="e">
        <f>_xlfn.IFNA(VLOOKUP(G166,#REF!,3,0),"")</f>
        <v>#REF!</v>
      </c>
      <c r="O166" s="39">
        <v>11</v>
      </c>
      <c r="P166" s="67">
        <v>164</v>
      </c>
      <c r="Q166" s="39" t="s">
        <v>10</v>
      </c>
      <c r="R166" s="34">
        <v>3.3</v>
      </c>
      <c r="S166" s="48">
        <f>SUMIF(C:C,C165,T:T)</f>
        <v>200</v>
      </c>
      <c r="T166" s="40">
        <v>28.571428571428573</v>
      </c>
      <c r="U166" s="41">
        <f t="shared" si="19"/>
        <v>569.77142857142849</v>
      </c>
      <c r="V166" s="42">
        <f t="shared" si="14"/>
        <v>3.2373376623376617</v>
      </c>
      <c r="W166" s="43">
        <f t="shared" si="17"/>
        <v>0.48318472572203908</v>
      </c>
      <c r="X166" s="38"/>
      <c r="Y166" s="38"/>
      <c r="Z166" s="44"/>
      <c r="AA166" s="45">
        <v>46059</v>
      </c>
      <c r="AB166" s="45">
        <v>46085</v>
      </c>
      <c r="AC166" s="45"/>
      <c r="AD166" s="46" t="e">
        <f>IF(ISNA(VLOOKUP(D166,#REF!,5,0)),0,VLOOKUP(D166,#REF!,5,0))</f>
        <v>#REF!</v>
      </c>
      <c r="AE166" s="46" t="e">
        <f t="shared" si="15"/>
        <v>#REF!</v>
      </c>
      <c r="AF166" s="45">
        <v>46092</v>
      </c>
      <c r="AG166" s="33">
        <f t="shared" si="16"/>
        <v>33</v>
      </c>
      <c r="AH166" s="45">
        <v>46131</v>
      </c>
      <c r="AI166" s="39"/>
      <c r="AJ166" s="56">
        <f t="shared" si="18"/>
        <v>39</v>
      </c>
      <c r="AK166" s="39"/>
      <c r="AL166" s="35"/>
      <c r="AM166" s="34"/>
      <c r="AN166" s="34"/>
      <c r="AO166" s="39"/>
      <c r="AP166" s="47"/>
      <c r="AQ166" s="47"/>
      <c r="AR166" s="47"/>
      <c r="AS166" s="47"/>
    </row>
    <row r="167" spans="1:45" ht="12" customHeight="1" x14ac:dyDescent="0.25">
      <c r="A167" s="33">
        <v>166</v>
      </c>
      <c r="B167" s="34"/>
      <c r="C167" s="34" t="s">
        <v>400</v>
      </c>
      <c r="D167" s="35" t="s">
        <v>401</v>
      </c>
      <c r="E167" s="34" t="s">
        <v>172</v>
      </c>
      <c r="F167" s="34" t="s">
        <v>0</v>
      </c>
      <c r="G167" s="16" t="s">
        <v>82</v>
      </c>
      <c r="H167" s="34">
        <v>304</v>
      </c>
      <c r="I167" s="34" t="s">
        <v>66</v>
      </c>
      <c r="J167" s="34" t="s">
        <v>3</v>
      </c>
      <c r="K167" s="35" t="s">
        <v>18</v>
      </c>
      <c r="L167" s="36" t="e">
        <f>VLOOKUP(G167,#REF!,4,0)</f>
        <v>#REF!</v>
      </c>
      <c r="M167" s="37" t="e">
        <f>_xlfn.IFNA(VLOOKUP(G167,#REF!,2,0),"")</f>
        <v>#REF!</v>
      </c>
      <c r="N167" s="38" t="e">
        <f>_xlfn.IFNA(VLOOKUP(G167,#REF!,3,0),"")</f>
        <v>#REF!</v>
      </c>
      <c r="O167" s="39">
        <v>19</v>
      </c>
      <c r="P167" s="67">
        <v>283.27272727272725</v>
      </c>
      <c r="Q167" s="39" t="s">
        <v>10</v>
      </c>
      <c r="R167" s="34">
        <v>3.3</v>
      </c>
      <c r="S167" s="38"/>
      <c r="T167" s="40">
        <v>49.350649350649348</v>
      </c>
      <c r="U167" s="41">
        <f t="shared" si="19"/>
        <v>984.15064935064925</v>
      </c>
      <c r="V167" s="42">
        <f t="shared" si="14"/>
        <v>3.2373376623376622</v>
      </c>
      <c r="W167" s="43">
        <f t="shared" si="17"/>
        <v>0.48318472572203913</v>
      </c>
      <c r="X167" s="38"/>
      <c r="Y167" s="38"/>
      <c r="Z167" s="44"/>
      <c r="AA167" s="45">
        <v>46059</v>
      </c>
      <c r="AB167" s="45">
        <v>46085</v>
      </c>
      <c r="AC167" s="45"/>
      <c r="AD167" s="46" t="e">
        <f>IF(ISNA(VLOOKUP(D167,#REF!,5,0)),0,VLOOKUP(D167,#REF!,5,0))</f>
        <v>#REF!</v>
      </c>
      <c r="AE167" s="46" t="e">
        <f t="shared" si="15"/>
        <v>#REF!</v>
      </c>
      <c r="AF167" s="45">
        <v>46092</v>
      </c>
      <c r="AG167" s="33">
        <f t="shared" si="16"/>
        <v>33</v>
      </c>
      <c r="AH167" s="45">
        <v>46131</v>
      </c>
      <c r="AI167" s="39"/>
      <c r="AJ167" s="56">
        <f t="shared" si="18"/>
        <v>39</v>
      </c>
      <c r="AK167" s="39"/>
      <c r="AL167" s="35"/>
      <c r="AM167" s="34"/>
      <c r="AN167" s="34"/>
      <c r="AO167" s="39"/>
      <c r="AP167" s="47"/>
      <c r="AQ167" s="47"/>
      <c r="AR167" s="47"/>
      <c r="AS167" s="47"/>
    </row>
    <row r="168" spans="1:45" ht="12" customHeight="1" x14ac:dyDescent="0.25">
      <c r="A168" s="33">
        <v>167</v>
      </c>
      <c r="B168" s="34"/>
      <c r="C168" s="34" t="s">
        <v>400</v>
      </c>
      <c r="D168" s="35" t="s">
        <v>401</v>
      </c>
      <c r="E168" s="34" t="s">
        <v>172</v>
      </c>
      <c r="F168" s="34" t="s">
        <v>0</v>
      </c>
      <c r="G168" s="16" t="s">
        <v>123</v>
      </c>
      <c r="H168" s="34">
        <v>256</v>
      </c>
      <c r="I168" s="34" t="s">
        <v>66</v>
      </c>
      <c r="J168" s="34" t="s">
        <v>3</v>
      </c>
      <c r="K168" s="35" t="s">
        <v>18</v>
      </c>
      <c r="L168" s="36" t="e">
        <f>VLOOKUP(G168,#REF!,4,0)</f>
        <v>#REF!</v>
      </c>
      <c r="M168" s="37" t="e">
        <f>_xlfn.IFNA(VLOOKUP(G168,#REF!,2,0),"")</f>
        <v>#REF!</v>
      </c>
      <c r="N168" s="38" t="e">
        <f>_xlfn.IFNA(VLOOKUP(G168,#REF!,3,0),"")</f>
        <v>#REF!</v>
      </c>
      <c r="O168" s="39">
        <v>16</v>
      </c>
      <c r="P168" s="67">
        <v>238.54545454545453</v>
      </c>
      <c r="Q168" s="39" t="s">
        <v>10</v>
      </c>
      <c r="R168" s="34">
        <v>3.3</v>
      </c>
      <c r="S168" s="38"/>
      <c r="T168" s="40">
        <v>41.558441558441558</v>
      </c>
      <c r="U168" s="41">
        <f t="shared" si="19"/>
        <v>828.75844155844152</v>
      </c>
      <c r="V168" s="42">
        <f t="shared" si="14"/>
        <v>3.2373376623376622</v>
      </c>
      <c r="W168" s="43">
        <f t="shared" si="17"/>
        <v>0.48318472572203913</v>
      </c>
      <c r="X168" s="38"/>
      <c r="Y168" s="38"/>
      <c r="Z168" s="44"/>
      <c r="AA168" s="45">
        <v>46059</v>
      </c>
      <c r="AB168" s="45">
        <v>46085</v>
      </c>
      <c r="AC168" s="45"/>
      <c r="AD168" s="46" t="e">
        <f>IF(ISNA(VLOOKUP(D168,#REF!,5,0)),0,VLOOKUP(D168,#REF!,5,0))</f>
        <v>#REF!</v>
      </c>
      <c r="AE168" s="46" t="e">
        <f t="shared" si="15"/>
        <v>#REF!</v>
      </c>
      <c r="AF168" s="45">
        <v>46092</v>
      </c>
      <c r="AG168" s="33">
        <f t="shared" si="16"/>
        <v>33</v>
      </c>
      <c r="AH168" s="45">
        <v>46131</v>
      </c>
      <c r="AI168" s="39"/>
      <c r="AJ168" s="56">
        <f t="shared" si="18"/>
        <v>39</v>
      </c>
      <c r="AK168" s="39"/>
      <c r="AL168" s="35"/>
      <c r="AM168" s="34"/>
      <c r="AN168" s="34"/>
      <c r="AO168" s="39"/>
      <c r="AP168" s="47"/>
      <c r="AQ168" s="47"/>
      <c r="AR168" s="47"/>
      <c r="AS168" s="47"/>
    </row>
    <row r="169" spans="1:45" ht="12" customHeight="1" x14ac:dyDescent="0.25">
      <c r="A169" s="33">
        <v>168</v>
      </c>
      <c r="B169" s="34"/>
      <c r="C169" s="34" t="s">
        <v>400</v>
      </c>
      <c r="D169" s="35" t="s">
        <v>401</v>
      </c>
      <c r="E169" s="34" t="s">
        <v>172</v>
      </c>
      <c r="F169" s="34" t="s">
        <v>0</v>
      </c>
      <c r="G169" s="16" t="s">
        <v>133</v>
      </c>
      <c r="H169" s="34">
        <v>208</v>
      </c>
      <c r="I169" s="34" t="s">
        <v>66</v>
      </c>
      <c r="J169" s="34" t="s">
        <v>3</v>
      </c>
      <c r="K169" s="35" t="s">
        <v>18</v>
      </c>
      <c r="L169" s="36" t="e">
        <f>VLOOKUP(G169,#REF!,4,0)</f>
        <v>#REF!</v>
      </c>
      <c r="M169" s="37" t="e">
        <f>_xlfn.IFNA(VLOOKUP(G169,#REF!,2,0),"")</f>
        <v>#REF!</v>
      </c>
      <c r="N169" s="38" t="e">
        <f>_xlfn.IFNA(VLOOKUP(G169,#REF!,3,0),"")</f>
        <v>#REF!</v>
      </c>
      <c r="O169" s="39">
        <v>13</v>
      </c>
      <c r="P169" s="67">
        <v>193.81818181818181</v>
      </c>
      <c r="Q169" s="39" t="s">
        <v>10</v>
      </c>
      <c r="R169" s="34">
        <v>3.3</v>
      </c>
      <c r="S169" s="38"/>
      <c r="T169" s="40">
        <v>33.766233766233768</v>
      </c>
      <c r="U169" s="41">
        <f t="shared" si="19"/>
        <v>673.36623376623368</v>
      </c>
      <c r="V169" s="42">
        <f t="shared" si="14"/>
        <v>3.2373376623376617</v>
      </c>
      <c r="W169" s="43">
        <f t="shared" si="17"/>
        <v>0.48318472572203908</v>
      </c>
      <c r="X169" s="38"/>
      <c r="Y169" s="38"/>
      <c r="Z169" s="44"/>
      <c r="AA169" s="45">
        <v>46059</v>
      </c>
      <c r="AB169" s="45">
        <v>46085</v>
      </c>
      <c r="AC169" s="45"/>
      <c r="AD169" s="46" t="e">
        <f>IF(ISNA(VLOOKUP(D169,#REF!,5,0)),0,VLOOKUP(D169,#REF!,5,0))</f>
        <v>#REF!</v>
      </c>
      <c r="AE169" s="46" t="e">
        <f t="shared" si="15"/>
        <v>#REF!</v>
      </c>
      <c r="AF169" s="45">
        <v>46092</v>
      </c>
      <c r="AG169" s="33">
        <f t="shared" si="16"/>
        <v>33</v>
      </c>
      <c r="AH169" s="45">
        <v>46131</v>
      </c>
      <c r="AI169" s="39"/>
      <c r="AJ169" s="56">
        <f t="shared" si="18"/>
        <v>39</v>
      </c>
      <c r="AK169" s="39"/>
      <c r="AL169" s="35"/>
      <c r="AM169" s="34"/>
      <c r="AN169" s="34"/>
      <c r="AO169" s="39"/>
      <c r="AP169" s="47"/>
      <c r="AQ169" s="47"/>
      <c r="AR169" s="47"/>
      <c r="AS169" s="47"/>
    </row>
    <row r="170" spans="1:45" ht="12" customHeight="1" x14ac:dyDescent="0.25">
      <c r="A170" s="33">
        <v>169</v>
      </c>
      <c r="B170" s="34"/>
      <c r="C170" s="34" t="s">
        <v>400</v>
      </c>
      <c r="D170" s="35" t="s">
        <v>401</v>
      </c>
      <c r="E170" s="34" t="s">
        <v>172</v>
      </c>
      <c r="F170" s="34" t="s">
        <v>0</v>
      </c>
      <c r="G170" s="16" t="s">
        <v>113</v>
      </c>
      <c r="H170" s="34">
        <v>32</v>
      </c>
      <c r="I170" s="34" t="s">
        <v>66</v>
      </c>
      <c r="J170" s="34" t="s">
        <v>3</v>
      </c>
      <c r="K170" s="35" t="s">
        <v>18</v>
      </c>
      <c r="L170" s="36" t="e">
        <f>VLOOKUP(G170,#REF!,4,0)</f>
        <v>#REF!</v>
      </c>
      <c r="M170" s="37" t="e">
        <f>_xlfn.IFNA(VLOOKUP(G170,#REF!,2,0),"")</f>
        <v>#REF!</v>
      </c>
      <c r="N170" s="38" t="e">
        <f>_xlfn.IFNA(VLOOKUP(G170,#REF!,3,0),"")</f>
        <v>#REF!</v>
      </c>
      <c r="O170" s="39">
        <v>2</v>
      </c>
      <c r="P170" s="67">
        <v>29.818181818181817</v>
      </c>
      <c r="Q170" s="39" t="s">
        <v>10</v>
      </c>
      <c r="R170" s="34">
        <v>3.3</v>
      </c>
      <c r="S170" s="38"/>
      <c r="T170" s="40">
        <v>5.1948051948051948</v>
      </c>
      <c r="U170" s="41">
        <f t="shared" si="19"/>
        <v>103.59480519480519</v>
      </c>
      <c r="V170" s="42">
        <f t="shared" si="14"/>
        <v>3.2373376623376622</v>
      </c>
      <c r="W170" s="43">
        <f t="shared" si="17"/>
        <v>0.48318472572203913</v>
      </c>
      <c r="X170" s="38"/>
      <c r="Y170" s="38"/>
      <c r="Z170" s="44"/>
      <c r="AA170" s="45">
        <v>46059</v>
      </c>
      <c r="AB170" s="45">
        <v>46085</v>
      </c>
      <c r="AC170" s="45"/>
      <c r="AD170" s="46" t="e">
        <f>IF(ISNA(VLOOKUP(D170,#REF!,5,0)),0,VLOOKUP(D170,#REF!,5,0))</f>
        <v>#REF!</v>
      </c>
      <c r="AE170" s="46" t="e">
        <f t="shared" si="15"/>
        <v>#REF!</v>
      </c>
      <c r="AF170" s="45">
        <v>46092</v>
      </c>
      <c r="AG170" s="33">
        <f t="shared" si="16"/>
        <v>33</v>
      </c>
      <c r="AH170" s="45">
        <v>46131</v>
      </c>
      <c r="AI170" s="39"/>
      <c r="AJ170" s="56">
        <f t="shared" si="18"/>
        <v>39</v>
      </c>
      <c r="AK170" s="39"/>
      <c r="AL170" s="35"/>
      <c r="AM170" s="34"/>
      <c r="AN170" s="34"/>
      <c r="AO170" s="39"/>
      <c r="AP170" s="47"/>
      <c r="AQ170" s="47"/>
      <c r="AR170" s="47"/>
      <c r="AS170" s="47"/>
    </row>
    <row r="171" spans="1:45" ht="12" customHeight="1" x14ac:dyDescent="0.25">
      <c r="A171" s="33">
        <v>170</v>
      </c>
      <c r="B171" s="34"/>
      <c r="C171" s="34" t="s">
        <v>400</v>
      </c>
      <c r="D171" s="35" t="s">
        <v>401</v>
      </c>
      <c r="E171" s="34" t="s">
        <v>172</v>
      </c>
      <c r="F171" s="34" t="s">
        <v>0</v>
      </c>
      <c r="G171" s="16" t="s">
        <v>114</v>
      </c>
      <c r="H171" s="34">
        <v>16</v>
      </c>
      <c r="I171" s="34" t="s">
        <v>66</v>
      </c>
      <c r="J171" s="34" t="s">
        <v>3</v>
      </c>
      <c r="K171" s="35" t="s">
        <v>18</v>
      </c>
      <c r="L171" s="36" t="e">
        <f>VLOOKUP(G171,#REF!,4,0)</f>
        <v>#REF!</v>
      </c>
      <c r="M171" s="37" t="e">
        <f>_xlfn.IFNA(VLOOKUP(G171,#REF!,2,0),"")</f>
        <v>#REF!</v>
      </c>
      <c r="N171" s="38" t="e">
        <f>_xlfn.IFNA(VLOOKUP(G171,#REF!,3,0),"")</f>
        <v>#REF!</v>
      </c>
      <c r="O171" s="39">
        <v>1</v>
      </c>
      <c r="P171" s="67">
        <v>14.909090909090908</v>
      </c>
      <c r="Q171" s="39" t="s">
        <v>10</v>
      </c>
      <c r="R171" s="34">
        <v>3.3</v>
      </c>
      <c r="S171" s="38"/>
      <c r="T171" s="40">
        <v>2.5974025974025974</v>
      </c>
      <c r="U171" s="41">
        <f t="shared" si="19"/>
        <v>51.797402597402595</v>
      </c>
      <c r="V171" s="42">
        <f t="shared" si="14"/>
        <v>3.2373376623376622</v>
      </c>
      <c r="W171" s="43">
        <f t="shared" si="17"/>
        <v>0.48318472572203913</v>
      </c>
      <c r="X171" s="38"/>
      <c r="Y171" s="38"/>
      <c r="Z171" s="44"/>
      <c r="AA171" s="45">
        <v>46059</v>
      </c>
      <c r="AB171" s="45">
        <v>46085</v>
      </c>
      <c r="AC171" s="45"/>
      <c r="AD171" s="46" t="e">
        <f>IF(ISNA(VLOOKUP(D171,#REF!,5,0)),0,VLOOKUP(D171,#REF!,5,0))</f>
        <v>#REF!</v>
      </c>
      <c r="AE171" s="46" t="e">
        <f t="shared" si="15"/>
        <v>#REF!</v>
      </c>
      <c r="AF171" s="45">
        <v>46092</v>
      </c>
      <c r="AG171" s="33">
        <f t="shared" si="16"/>
        <v>33</v>
      </c>
      <c r="AH171" s="45">
        <v>46131</v>
      </c>
      <c r="AI171" s="39"/>
      <c r="AJ171" s="56">
        <f t="shared" si="18"/>
        <v>39</v>
      </c>
      <c r="AK171" s="39"/>
      <c r="AL171" s="35"/>
      <c r="AM171" s="34"/>
      <c r="AN171" s="34"/>
      <c r="AO171" s="39"/>
      <c r="AP171" s="47"/>
      <c r="AQ171" s="47"/>
      <c r="AR171" s="47"/>
      <c r="AS171" s="47"/>
    </row>
    <row r="172" spans="1:45" ht="12" customHeight="1" x14ac:dyDescent="0.25">
      <c r="A172" s="33">
        <v>171</v>
      </c>
      <c r="B172" s="34"/>
      <c r="C172" s="34" t="s">
        <v>402</v>
      </c>
      <c r="D172" s="35" t="s">
        <v>403</v>
      </c>
      <c r="E172" s="34" t="s">
        <v>172</v>
      </c>
      <c r="F172" s="34" t="s">
        <v>0</v>
      </c>
      <c r="G172" s="16" t="s">
        <v>265</v>
      </c>
      <c r="H172" s="34">
        <v>144</v>
      </c>
      <c r="I172" s="34" t="s">
        <v>66</v>
      </c>
      <c r="J172" s="34" t="s">
        <v>3</v>
      </c>
      <c r="K172" s="35" t="s">
        <v>5</v>
      </c>
      <c r="L172" s="36" t="e">
        <f>VLOOKUP(G172,#REF!,4,0)</f>
        <v>#REF!</v>
      </c>
      <c r="M172" s="37" t="e">
        <f>_xlfn.IFNA(VLOOKUP(G172,#REF!,2,0),"")</f>
        <v>#REF!</v>
      </c>
      <c r="N172" s="38" t="e">
        <f>_xlfn.IFNA(VLOOKUP(G172,#REF!,3,0),"")</f>
        <v>#REF!</v>
      </c>
      <c r="O172" s="39">
        <v>9</v>
      </c>
      <c r="P172" s="67">
        <v>121.5</v>
      </c>
      <c r="Q172" s="39" t="s">
        <v>10</v>
      </c>
      <c r="R172" s="34">
        <v>3</v>
      </c>
      <c r="S172" s="38">
        <v>200</v>
      </c>
      <c r="T172" s="40">
        <v>100</v>
      </c>
      <c r="U172" s="41">
        <f t="shared" si="19"/>
        <v>464.5</v>
      </c>
      <c r="V172" s="42">
        <f t="shared" si="14"/>
        <v>3.2256944444444446</v>
      </c>
      <c r="W172" s="43">
        <f t="shared" si="17"/>
        <v>0.48144693200663352</v>
      </c>
      <c r="X172" s="38"/>
      <c r="Y172" s="38"/>
      <c r="Z172" s="44"/>
      <c r="AA172" s="45">
        <v>46059</v>
      </c>
      <c r="AB172" s="45">
        <v>46082</v>
      </c>
      <c r="AC172" s="45"/>
      <c r="AD172" s="46" t="e">
        <f>IF(ISNA(VLOOKUP(D172,#REF!,5,0)),0,VLOOKUP(D172,#REF!,5,0))</f>
        <v>#REF!</v>
      </c>
      <c r="AE172" s="46" t="e">
        <f t="shared" si="15"/>
        <v>#REF!</v>
      </c>
      <c r="AF172" s="45">
        <v>46094</v>
      </c>
      <c r="AG172" s="33">
        <f t="shared" si="16"/>
        <v>35</v>
      </c>
      <c r="AH172" s="45">
        <v>46128</v>
      </c>
      <c r="AI172" s="39"/>
      <c r="AJ172" s="56">
        <f t="shared" si="18"/>
        <v>34</v>
      </c>
      <c r="AK172" s="39"/>
      <c r="AL172" s="35"/>
      <c r="AM172" s="34"/>
      <c r="AN172" s="34"/>
      <c r="AO172" s="39"/>
      <c r="AP172" s="47"/>
      <c r="AQ172" s="47"/>
      <c r="AR172" s="47"/>
      <c r="AS172" s="47"/>
    </row>
    <row r="173" spans="1:45" ht="12" customHeight="1" x14ac:dyDescent="0.25">
      <c r="A173" s="33">
        <v>172</v>
      </c>
      <c r="B173" s="34"/>
      <c r="C173" s="34" t="s">
        <v>402</v>
      </c>
      <c r="D173" s="35" t="s">
        <v>403</v>
      </c>
      <c r="E173" s="34" t="s">
        <v>172</v>
      </c>
      <c r="F173" s="34" t="s">
        <v>0</v>
      </c>
      <c r="G173" s="16" t="s">
        <v>266</v>
      </c>
      <c r="H173" s="34">
        <v>144</v>
      </c>
      <c r="I173" s="34" t="s">
        <v>66</v>
      </c>
      <c r="J173" s="34" t="s">
        <v>3</v>
      </c>
      <c r="K173" s="35" t="s">
        <v>5</v>
      </c>
      <c r="L173" s="36" t="e">
        <f>VLOOKUP(G173,#REF!,4,0)</f>
        <v>#REF!</v>
      </c>
      <c r="M173" s="37" t="e">
        <f>_xlfn.IFNA(VLOOKUP(G173,#REF!,2,0),"")</f>
        <v>#REF!</v>
      </c>
      <c r="N173" s="38" t="e">
        <f>_xlfn.IFNA(VLOOKUP(G173,#REF!,3,0),"")</f>
        <v>#REF!</v>
      </c>
      <c r="O173" s="39">
        <v>9</v>
      </c>
      <c r="P173" s="67">
        <v>121.5</v>
      </c>
      <c r="Q173" s="39" t="s">
        <v>10</v>
      </c>
      <c r="R173" s="34">
        <v>3</v>
      </c>
      <c r="S173" s="48">
        <f>SUMIF(C:C,C172,T:T)</f>
        <v>200</v>
      </c>
      <c r="T173" s="40">
        <v>100</v>
      </c>
      <c r="U173" s="41">
        <f t="shared" si="19"/>
        <v>464.5</v>
      </c>
      <c r="V173" s="42">
        <f t="shared" si="14"/>
        <v>3.2256944444444446</v>
      </c>
      <c r="W173" s="43">
        <f t="shared" si="17"/>
        <v>0.48144693200663352</v>
      </c>
      <c r="X173" s="38"/>
      <c r="Y173" s="38"/>
      <c r="Z173" s="44"/>
      <c r="AA173" s="45">
        <v>46059</v>
      </c>
      <c r="AB173" s="45">
        <v>46082</v>
      </c>
      <c r="AC173" s="45"/>
      <c r="AD173" s="46" t="e">
        <f>IF(ISNA(VLOOKUP(D173,#REF!,5,0)),0,VLOOKUP(D173,#REF!,5,0))</f>
        <v>#REF!</v>
      </c>
      <c r="AE173" s="46" t="e">
        <f t="shared" si="15"/>
        <v>#REF!</v>
      </c>
      <c r="AF173" s="45">
        <v>46094</v>
      </c>
      <c r="AG173" s="33">
        <f t="shared" si="16"/>
        <v>35</v>
      </c>
      <c r="AH173" s="45">
        <v>46128</v>
      </c>
      <c r="AI173" s="39"/>
      <c r="AJ173" s="56">
        <f t="shared" si="18"/>
        <v>34</v>
      </c>
      <c r="AK173" s="39"/>
      <c r="AL173" s="35"/>
      <c r="AM173" s="34"/>
      <c r="AN173" s="34"/>
      <c r="AO173" s="39"/>
      <c r="AP173" s="47"/>
      <c r="AQ173" s="47"/>
      <c r="AR173" s="47"/>
      <c r="AS173" s="47"/>
    </row>
    <row r="174" spans="1:45" ht="12" customHeight="1" x14ac:dyDescent="0.25">
      <c r="A174" s="33">
        <v>173</v>
      </c>
      <c r="B174" s="34"/>
      <c r="C174" s="34" t="s">
        <v>404</v>
      </c>
      <c r="D174" s="35" t="s">
        <v>405</v>
      </c>
      <c r="E174" s="34" t="s">
        <v>61</v>
      </c>
      <c r="F174" s="34" t="s">
        <v>0</v>
      </c>
      <c r="G174" s="16" t="s">
        <v>167</v>
      </c>
      <c r="H174" s="34">
        <v>80</v>
      </c>
      <c r="I174" s="34" t="s">
        <v>66</v>
      </c>
      <c r="J174" s="34" t="s">
        <v>262</v>
      </c>
      <c r="K174" s="35" t="s">
        <v>406</v>
      </c>
      <c r="L174" s="36" t="e">
        <f>VLOOKUP(G174,#REF!,4,0)</f>
        <v>#REF!</v>
      </c>
      <c r="M174" s="37" t="e">
        <f>_xlfn.IFNA(VLOOKUP(G174,#REF!,2,0),"")</f>
        <v>#REF!</v>
      </c>
      <c r="N174" s="38" t="e">
        <f>_xlfn.IFNA(VLOOKUP(G174,#REF!,3,0),"")</f>
        <v>#REF!</v>
      </c>
      <c r="O174" s="39">
        <v>20</v>
      </c>
      <c r="P174" s="67">
        <v>476</v>
      </c>
      <c r="Q174" s="39" t="s">
        <v>10</v>
      </c>
      <c r="R174" s="34">
        <v>4.9000000000000004</v>
      </c>
      <c r="S174" s="38">
        <v>200</v>
      </c>
      <c r="T174" s="40">
        <v>200</v>
      </c>
      <c r="U174" s="41">
        <f t="shared" si="19"/>
        <v>2532.4</v>
      </c>
      <c r="V174" s="42">
        <f t="shared" si="14"/>
        <v>31.655000000000001</v>
      </c>
      <c r="W174" s="43">
        <f t="shared" si="17"/>
        <v>4.7246268656716417</v>
      </c>
      <c r="X174" s="38"/>
      <c r="Y174" s="38"/>
      <c r="Z174" s="44"/>
      <c r="AA174" s="45">
        <v>46056</v>
      </c>
      <c r="AB174" s="45">
        <v>46098</v>
      </c>
      <c r="AC174" s="45"/>
      <c r="AD174" s="46" t="e">
        <f>IF(ISNA(VLOOKUP(D174,#REF!,5,0)),0,VLOOKUP(D174,#REF!,5,0))</f>
        <v>#REF!</v>
      </c>
      <c r="AE174" s="46" t="e">
        <f t="shared" si="15"/>
        <v>#REF!</v>
      </c>
      <c r="AF174" s="45">
        <v>46107</v>
      </c>
      <c r="AG174" s="33">
        <f t="shared" si="16"/>
        <v>51</v>
      </c>
      <c r="AH174" s="45">
        <v>46111</v>
      </c>
      <c r="AI174" s="39">
        <v>80</v>
      </c>
      <c r="AJ174" s="56">
        <f t="shared" si="18"/>
        <v>4</v>
      </c>
      <c r="AK174" s="39"/>
      <c r="AL174" s="35"/>
      <c r="AM174" s="34"/>
      <c r="AN174" s="34"/>
      <c r="AO174" s="39"/>
      <c r="AP174" s="47"/>
      <c r="AQ174" s="47"/>
      <c r="AR174" s="47"/>
      <c r="AS174" s="47"/>
    </row>
    <row r="175" spans="1:45" ht="12" customHeight="1" x14ac:dyDescent="0.25">
      <c r="A175" s="33">
        <v>174</v>
      </c>
      <c r="B175" s="34"/>
      <c r="C175" s="34" t="s">
        <v>407</v>
      </c>
      <c r="D175" s="35" t="s">
        <v>408</v>
      </c>
      <c r="E175" s="34" t="s">
        <v>61</v>
      </c>
      <c r="F175" s="34" t="s">
        <v>0</v>
      </c>
      <c r="G175" s="16" t="s">
        <v>167</v>
      </c>
      <c r="H175" s="34">
        <v>80</v>
      </c>
      <c r="I175" s="34" t="s">
        <v>66</v>
      </c>
      <c r="J175" s="34" t="s">
        <v>3</v>
      </c>
      <c r="K175" s="35" t="s">
        <v>21</v>
      </c>
      <c r="L175" s="36" t="e">
        <f>VLOOKUP(G175,#REF!,4,0)</f>
        <v>#REF!</v>
      </c>
      <c r="M175" s="37" t="e">
        <f>_xlfn.IFNA(VLOOKUP(G175,#REF!,2,0),"")</f>
        <v>#REF!</v>
      </c>
      <c r="N175" s="38" t="e">
        <f>_xlfn.IFNA(VLOOKUP(G175,#REF!,3,0),"")</f>
        <v>#REF!</v>
      </c>
      <c r="O175" s="39">
        <v>20</v>
      </c>
      <c r="P175" s="67">
        <v>474</v>
      </c>
      <c r="Q175" s="39" t="s">
        <v>10</v>
      </c>
      <c r="R175" s="34">
        <v>4.7</v>
      </c>
      <c r="S175" s="38">
        <v>200</v>
      </c>
      <c r="T175" s="40">
        <v>200</v>
      </c>
      <c r="U175" s="41">
        <f t="shared" si="19"/>
        <v>2427.8000000000002</v>
      </c>
      <c r="V175" s="42">
        <f t="shared" si="14"/>
        <v>30.347500000000004</v>
      </c>
      <c r="W175" s="43">
        <f t="shared" si="17"/>
        <v>4.5294776119402993</v>
      </c>
      <c r="X175" s="38"/>
      <c r="Y175" s="38"/>
      <c r="Z175" s="44"/>
      <c r="AA175" s="45">
        <v>46056</v>
      </c>
      <c r="AB175" s="45">
        <v>46102</v>
      </c>
      <c r="AC175" s="45"/>
      <c r="AD175" s="46" t="e">
        <f>IF(ISNA(VLOOKUP(D175,#REF!,5,0)),0,VLOOKUP(D175,#REF!,5,0))</f>
        <v>#REF!</v>
      </c>
      <c r="AE175" s="46" t="e">
        <f t="shared" si="15"/>
        <v>#REF!</v>
      </c>
      <c r="AF175" s="45">
        <v>46111</v>
      </c>
      <c r="AG175" s="33">
        <f t="shared" si="16"/>
        <v>55</v>
      </c>
      <c r="AH175" s="45">
        <v>46112</v>
      </c>
      <c r="AI175" s="39">
        <v>80</v>
      </c>
      <c r="AJ175" s="56">
        <f t="shared" si="18"/>
        <v>1</v>
      </c>
      <c r="AK175" s="39"/>
      <c r="AL175" s="35"/>
      <c r="AM175" s="34"/>
      <c r="AN175" s="34"/>
      <c r="AO175" s="39"/>
      <c r="AP175" s="47"/>
      <c r="AQ175" s="47"/>
      <c r="AR175" s="47"/>
      <c r="AS175" s="47"/>
    </row>
    <row r="176" spans="1:45" ht="12" customHeight="1" x14ac:dyDescent="0.25">
      <c r="A176" s="33">
        <v>175</v>
      </c>
      <c r="B176" s="34"/>
      <c r="C176" s="34" t="s">
        <v>409</v>
      </c>
      <c r="D176" s="35" t="s">
        <v>410</v>
      </c>
      <c r="E176" s="34" t="s">
        <v>61</v>
      </c>
      <c r="F176" s="34" t="s">
        <v>0</v>
      </c>
      <c r="G176" s="16" t="s">
        <v>167</v>
      </c>
      <c r="H176" s="34">
        <v>80</v>
      </c>
      <c r="I176" s="34" t="s">
        <v>66</v>
      </c>
      <c r="J176" s="34" t="s">
        <v>262</v>
      </c>
      <c r="K176" s="35" t="s">
        <v>411</v>
      </c>
      <c r="L176" s="36" t="e">
        <f>VLOOKUP(G176,#REF!,4,0)</f>
        <v>#REF!</v>
      </c>
      <c r="M176" s="37" t="e">
        <f>_xlfn.IFNA(VLOOKUP(G176,#REF!,2,0),"")</f>
        <v>#REF!</v>
      </c>
      <c r="N176" s="38" t="e">
        <f>_xlfn.IFNA(VLOOKUP(G176,#REF!,3,0),"")</f>
        <v>#REF!</v>
      </c>
      <c r="O176" s="39">
        <v>20</v>
      </c>
      <c r="P176" s="67">
        <v>478</v>
      </c>
      <c r="Q176" s="39" t="s">
        <v>10</v>
      </c>
      <c r="R176" s="34">
        <v>4.4000000000000004</v>
      </c>
      <c r="S176" s="38">
        <v>200</v>
      </c>
      <c r="T176" s="40">
        <v>200</v>
      </c>
      <c r="U176" s="41">
        <f t="shared" si="19"/>
        <v>2303.2000000000003</v>
      </c>
      <c r="V176" s="42">
        <f t="shared" si="14"/>
        <v>28.790000000000003</v>
      </c>
      <c r="W176" s="43">
        <f t="shared" si="17"/>
        <v>4.2970149253731345</v>
      </c>
      <c r="X176" s="38"/>
      <c r="Y176" s="38"/>
      <c r="Z176" s="44"/>
      <c r="AA176" s="45">
        <v>46056</v>
      </c>
      <c r="AB176" s="45">
        <v>46085</v>
      </c>
      <c r="AC176" s="45"/>
      <c r="AD176" s="46" t="e">
        <f>IF(ISNA(VLOOKUP(D176,#REF!,5,0)),0,VLOOKUP(D176,#REF!,5,0))</f>
        <v>#REF!</v>
      </c>
      <c r="AE176" s="46" t="e">
        <f t="shared" si="15"/>
        <v>#REF!</v>
      </c>
      <c r="AF176" s="45">
        <v>46110</v>
      </c>
      <c r="AG176" s="33">
        <f t="shared" si="16"/>
        <v>54</v>
      </c>
      <c r="AH176" s="45">
        <v>46121</v>
      </c>
      <c r="AI176" s="39">
        <v>80</v>
      </c>
      <c r="AJ176" s="56">
        <f t="shared" si="18"/>
        <v>11</v>
      </c>
      <c r="AK176" s="39"/>
      <c r="AL176" s="35"/>
      <c r="AM176" s="34"/>
      <c r="AN176" s="34"/>
      <c r="AO176" s="39"/>
      <c r="AP176" s="47"/>
      <c r="AQ176" s="47"/>
      <c r="AR176" s="47"/>
      <c r="AS176" s="47"/>
    </row>
    <row r="177" spans="1:45" ht="12" customHeight="1" x14ac:dyDescent="0.25">
      <c r="A177" s="33">
        <v>176</v>
      </c>
      <c r="B177" s="34"/>
      <c r="C177" s="34" t="s">
        <v>412</v>
      </c>
      <c r="D177" s="35" t="s">
        <v>446</v>
      </c>
      <c r="E177" s="34" t="s">
        <v>61</v>
      </c>
      <c r="F177" s="34" t="s">
        <v>0</v>
      </c>
      <c r="G177" s="16" t="s">
        <v>167</v>
      </c>
      <c r="H177" s="34">
        <v>80</v>
      </c>
      <c r="I177" s="34" t="s">
        <v>54</v>
      </c>
      <c r="J177" s="34" t="s">
        <v>263</v>
      </c>
      <c r="K177" s="35" t="s">
        <v>413</v>
      </c>
      <c r="L177" s="36" t="e">
        <f>VLOOKUP(G177,#REF!,4,0)</f>
        <v>#REF!</v>
      </c>
      <c r="M177" s="37" t="e">
        <f>_xlfn.IFNA(VLOOKUP(G177,#REF!,2,0),"")</f>
        <v>#REF!</v>
      </c>
      <c r="N177" s="38" t="e">
        <f>_xlfn.IFNA(VLOOKUP(G177,#REF!,3,0),"")</f>
        <v>#REF!</v>
      </c>
      <c r="O177" s="39">
        <v>20</v>
      </c>
      <c r="P177" s="67">
        <v>474</v>
      </c>
      <c r="Q177" s="39" t="s">
        <v>10</v>
      </c>
      <c r="R177" s="34">
        <v>6</v>
      </c>
      <c r="S177" s="38">
        <v>200</v>
      </c>
      <c r="T177" s="40">
        <v>200</v>
      </c>
      <c r="U177" s="41">
        <f t="shared" si="19"/>
        <v>3044</v>
      </c>
      <c r="V177" s="42">
        <f t="shared" si="14"/>
        <v>38.049999999999997</v>
      </c>
      <c r="W177" s="43">
        <f t="shared" si="17"/>
        <v>5.6791044776119399</v>
      </c>
      <c r="X177" s="38"/>
      <c r="Y177" s="38"/>
      <c r="Z177" s="44"/>
      <c r="AA177" s="45">
        <v>46056</v>
      </c>
      <c r="AB177" s="45">
        <v>46119</v>
      </c>
      <c r="AC177" s="45"/>
      <c r="AD177" s="46" t="e">
        <f>IF(ISNA(VLOOKUP(D177,#REF!,5,0)),0,VLOOKUP(D177,#REF!,5,0))</f>
        <v>#REF!</v>
      </c>
      <c r="AE177" s="46" t="e">
        <f t="shared" si="15"/>
        <v>#REF!</v>
      </c>
      <c r="AF177" s="45">
        <v>46130</v>
      </c>
      <c r="AG177" s="33">
        <f t="shared" si="16"/>
        <v>74</v>
      </c>
      <c r="AH177" s="45">
        <v>46140</v>
      </c>
      <c r="AI177" s="39"/>
      <c r="AJ177" s="56">
        <f t="shared" si="18"/>
        <v>10</v>
      </c>
      <c r="AK177" s="39"/>
      <c r="AL177" s="35"/>
      <c r="AM177" s="34"/>
      <c r="AN177" s="34"/>
      <c r="AO177" s="39"/>
      <c r="AP177" s="47"/>
      <c r="AQ177" s="47"/>
      <c r="AR177" s="47"/>
      <c r="AS177" s="47"/>
    </row>
    <row r="178" spans="1:45" ht="12" customHeight="1" x14ac:dyDescent="0.25">
      <c r="A178" s="33">
        <v>177</v>
      </c>
      <c r="B178" s="34"/>
      <c r="C178" s="34" t="s">
        <v>414</v>
      </c>
      <c r="D178" s="35" t="s">
        <v>415</v>
      </c>
      <c r="E178" s="34" t="s">
        <v>61</v>
      </c>
      <c r="F178" s="34" t="s">
        <v>0</v>
      </c>
      <c r="G178" s="16" t="s">
        <v>167</v>
      </c>
      <c r="H178" s="34">
        <v>80</v>
      </c>
      <c r="I178" s="34" t="s">
        <v>66</v>
      </c>
      <c r="J178" s="34" t="s">
        <v>2</v>
      </c>
      <c r="K178" s="35" t="s">
        <v>416</v>
      </c>
      <c r="L178" s="36" t="e">
        <f>VLOOKUP(G178,#REF!,4,0)</f>
        <v>#REF!</v>
      </c>
      <c r="M178" s="37" t="e">
        <f>_xlfn.IFNA(VLOOKUP(G178,#REF!,2,0),"")</f>
        <v>#REF!</v>
      </c>
      <c r="N178" s="38" t="e">
        <f>_xlfn.IFNA(VLOOKUP(G178,#REF!,3,0),"")</f>
        <v>#REF!</v>
      </c>
      <c r="O178" s="39">
        <v>20</v>
      </c>
      <c r="P178" s="67">
        <v>474</v>
      </c>
      <c r="Q178" s="39" t="s">
        <v>10</v>
      </c>
      <c r="R178" s="34">
        <v>5.7</v>
      </c>
      <c r="S178" s="38">
        <v>200</v>
      </c>
      <c r="T178" s="40">
        <v>200</v>
      </c>
      <c r="U178" s="41">
        <f t="shared" si="19"/>
        <v>2901.8</v>
      </c>
      <c r="V178" s="42">
        <f t="shared" si="14"/>
        <v>36.272500000000001</v>
      </c>
      <c r="W178" s="43">
        <f t="shared" si="17"/>
        <v>5.4138059701492534</v>
      </c>
      <c r="X178" s="38"/>
      <c r="Y178" s="38"/>
      <c r="Z178" s="44"/>
      <c r="AA178" s="45">
        <v>46056</v>
      </c>
      <c r="AB178" s="45">
        <v>46095</v>
      </c>
      <c r="AC178" s="45"/>
      <c r="AD178" s="46" t="e">
        <f>IF(ISNA(VLOOKUP(D178,#REF!,5,0)),0,VLOOKUP(D178,#REF!,5,0))</f>
        <v>#REF!</v>
      </c>
      <c r="AE178" s="46" t="e">
        <f t="shared" si="15"/>
        <v>#REF!</v>
      </c>
      <c r="AF178" s="45">
        <v>46108</v>
      </c>
      <c r="AG178" s="33">
        <f t="shared" si="16"/>
        <v>52</v>
      </c>
      <c r="AH178" s="45">
        <v>46108</v>
      </c>
      <c r="AI178" s="39">
        <v>80</v>
      </c>
      <c r="AJ178" s="56">
        <f t="shared" si="18"/>
        <v>0</v>
      </c>
      <c r="AK178" s="39"/>
      <c r="AL178" s="35"/>
      <c r="AM178" s="34"/>
      <c r="AN178" s="34"/>
      <c r="AO178" s="39"/>
      <c r="AP178" s="47"/>
      <c r="AQ178" s="47"/>
      <c r="AR178" s="47"/>
      <c r="AS178" s="47"/>
    </row>
    <row r="179" spans="1:45" ht="12" customHeight="1" x14ac:dyDescent="0.25">
      <c r="A179" s="33">
        <v>178</v>
      </c>
      <c r="B179" s="34"/>
      <c r="C179" s="34" t="s">
        <v>417</v>
      </c>
      <c r="D179" s="35" t="s">
        <v>418</v>
      </c>
      <c r="E179" s="34" t="s">
        <v>172</v>
      </c>
      <c r="F179" s="34" t="s">
        <v>0</v>
      </c>
      <c r="G179" s="16" t="s">
        <v>133</v>
      </c>
      <c r="H179" s="34">
        <v>160</v>
      </c>
      <c r="I179" s="34" t="s">
        <v>66</v>
      </c>
      <c r="J179" s="34" t="s">
        <v>2</v>
      </c>
      <c r="K179" s="35" t="s">
        <v>18</v>
      </c>
      <c r="L179" s="36" t="e">
        <f>VLOOKUP(G179,#REF!,4,0)</f>
        <v>#REF!</v>
      </c>
      <c r="M179" s="37" t="e">
        <f>_xlfn.IFNA(VLOOKUP(G179,#REF!,2,0),"")</f>
        <v>#REF!</v>
      </c>
      <c r="N179" s="38" t="e">
        <f>_xlfn.IFNA(VLOOKUP(G179,#REF!,3,0),"")</f>
        <v>#REF!</v>
      </c>
      <c r="O179" s="39">
        <v>10</v>
      </c>
      <c r="P179" s="67">
        <v>142</v>
      </c>
      <c r="Q179" s="39" t="s">
        <v>10</v>
      </c>
      <c r="R179" s="34">
        <v>9.5</v>
      </c>
      <c r="S179" s="38">
        <v>200</v>
      </c>
      <c r="T179" s="40">
        <v>200</v>
      </c>
      <c r="U179" s="41">
        <f t="shared" si="19"/>
        <v>1549</v>
      </c>
      <c r="V179" s="42">
        <f t="shared" si="14"/>
        <v>9.6812500000000004</v>
      </c>
      <c r="W179" s="43">
        <f t="shared" si="17"/>
        <v>1.4449626865671641</v>
      </c>
      <c r="X179" s="38"/>
      <c r="Y179" s="38"/>
      <c r="Z179" s="44"/>
      <c r="AA179" s="45">
        <v>46059</v>
      </c>
      <c r="AB179" s="45">
        <v>46075</v>
      </c>
      <c r="AC179" s="45"/>
      <c r="AD179" s="46" t="e">
        <f>IF(ISNA(VLOOKUP(D179,#REF!,5,0)),0,VLOOKUP(D179,#REF!,5,0))</f>
        <v>#REF!</v>
      </c>
      <c r="AE179" s="46" t="e">
        <f t="shared" si="15"/>
        <v>#REF!</v>
      </c>
      <c r="AF179" s="45">
        <v>46092</v>
      </c>
      <c r="AG179" s="33">
        <f t="shared" si="16"/>
        <v>33</v>
      </c>
      <c r="AH179" s="45">
        <v>46124</v>
      </c>
      <c r="AI179" s="39"/>
      <c r="AJ179" s="56">
        <f t="shared" si="18"/>
        <v>32</v>
      </c>
      <c r="AK179" s="39"/>
      <c r="AL179" s="35"/>
      <c r="AM179" s="34"/>
      <c r="AN179" s="34"/>
      <c r="AO179" s="39"/>
      <c r="AP179" s="47"/>
      <c r="AQ179" s="47"/>
      <c r="AR179" s="47"/>
      <c r="AS179" s="47"/>
    </row>
    <row r="180" spans="1:45" ht="12" customHeight="1" x14ac:dyDescent="0.25">
      <c r="A180" s="33">
        <v>179</v>
      </c>
      <c r="B180" s="34"/>
      <c r="C180" s="34" t="s">
        <v>122</v>
      </c>
      <c r="D180" s="35" t="s">
        <v>440</v>
      </c>
      <c r="E180" s="34" t="s">
        <v>61</v>
      </c>
      <c r="F180" s="34" t="s">
        <v>0</v>
      </c>
      <c r="G180" s="16" t="s">
        <v>242</v>
      </c>
      <c r="H180" s="34">
        <v>200</v>
      </c>
      <c r="I180" s="34" t="s">
        <v>54</v>
      </c>
      <c r="J180" s="34" t="s">
        <v>3</v>
      </c>
      <c r="K180" s="35" t="s">
        <v>22</v>
      </c>
      <c r="L180" s="36" t="e">
        <f>VLOOKUP(G180,#REF!,4,0)</f>
        <v>#REF!</v>
      </c>
      <c r="M180" s="37" t="e">
        <f>_xlfn.IFNA(VLOOKUP(G180,#REF!,2,0),"")</f>
        <v>#REF!</v>
      </c>
      <c r="N180" s="38" t="e">
        <f>_xlfn.IFNA(VLOOKUP(G180,#REF!,3,0),"")</f>
        <v>#REF!</v>
      </c>
      <c r="O180" s="39">
        <v>5</v>
      </c>
      <c r="P180" s="67">
        <v>73.849999999999994</v>
      </c>
      <c r="Q180" s="39" t="s">
        <v>10</v>
      </c>
      <c r="R180" s="34">
        <v>3.3</v>
      </c>
      <c r="S180" s="38">
        <v>200</v>
      </c>
      <c r="T180" s="40">
        <v>7.1942446043165464</v>
      </c>
      <c r="U180" s="41">
        <f t="shared" ref="U180:U195" si="20">R180*P180+T180</f>
        <v>250.89924460431649</v>
      </c>
      <c r="V180" s="42">
        <f t="shared" si="14"/>
        <v>1.2544962230215824</v>
      </c>
      <c r="W180" s="43">
        <f t="shared" ref="W180:W195" si="21">V180/6.7</f>
        <v>0.1872382422420272</v>
      </c>
      <c r="X180" s="38"/>
      <c r="Y180" s="38"/>
      <c r="Z180" s="44"/>
      <c r="AA180" s="45">
        <v>46087</v>
      </c>
      <c r="AB180" s="45">
        <v>46109</v>
      </c>
      <c r="AC180" s="45"/>
      <c r="AD180" s="46" t="e">
        <f>IF(ISNA(VLOOKUP(D180,#REF!,5,0)),0,VLOOKUP(D180,#REF!,5,0))</f>
        <v>#REF!</v>
      </c>
      <c r="AE180" s="46" t="e">
        <f t="shared" si="15"/>
        <v>#REF!</v>
      </c>
      <c r="AF180" s="45">
        <v>46116</v>
      </c>
      <c r="AG180" s="33">
        <f t="shared" si="16"/>
        <v>29</v>
      </c>
      <c r="AH180" s="45">
        <v>46149</v>
      </c>
      <c r="AI180" s="39"/>
      <c r="AJ180" s="56">
        <f t="shared" si="18"/>
        <v>33</v>
      </c>
      <c r="AK180" s="39"/>
      <c r="AL180" s="35"/>
      <c r="AM180" s="34"/>
      <c r="AN180" s="34"/>
      <c r="AO180" s="39"/>
      <c r="AP180" s="47"/>
      <c r="AQ180" s="47"/>
      <c r="AR180" s="47"/>
      <c r="AS180" s="47"/>
    </row>
    <row r="181" spans="1:45" ht="12" customHeight="1" x14ac:dyDescent="0.25">
      <c r="A181" s="33">
        <v>180</v>
      </c>
      <c r="B181" s="34"/>
      <c r="C181" s="34" t="s">
        <v>126</v>
      </c>
      <c r="D181" s="35" t="s">
        <v>441</v>
      </c>
      <c r="E181" s="34" t="s">
        <v>61</v>
      </c>
      <c r="F181" s="34" t="s">
        <v>0</v>
      </c>
      <c r="G181" s="16" t="s">
        <v>242</v>
      </c>
      <c r="H181" s="34">
        <v>600</v>
      </c>
      <c r="I181" s="34" t="s">
        <v>54</v>
      </c>
      <c r="J181" s="34" t="s">
        <v>261</v>
      </c>
      <c r="K181" s="35" t="s">
        <v>22</v>
      </c>
      <c r="L181" s="36" t="e">
        <f>VLOOKUP(G181,#REF!,4,0)</f>
        <v>#REF!</v>
      </c>
      <c r="M181" s="37" t="e">
        <f>_xlfn.IFNA(VLOOKUP(G181,#REF!,2,0),"")</f>
        <v>#REF!</v>
      </c>
      <c r="N181" s="38" t="e">
        <f>_xlfn.IFNA(VLOOKUP(G181,#REF!,3,0),"")</f>
        <v>#REF!</v>
      </c>
      <c r="O181" s="39">
        <v>15</v>
      </c>
      <c r="P181" s="67">
        <v>202</v>
      </c>
      <c r="Q181" s="39" t="s">
        <v>10</v>
      </c>
      <c r="R181" s="34">
        <v>4.2</v>
      </c>
      <c r="S181" s="48">
        <f>SUMIF(C:C,C181,T:T)</f>
        <v>200</v>
      </c>
      <c r="T181" s="40">
        <v>200</v>
      </c>
      <c r="U181" s="41">
        <f t="shared" si="20"/>
        <v>1048.4000000000001</v>
      </c>
      <c r="V181" s="42">
        <f t="shared" si="14"/>
        <v>1.7473333333333334</v>
      </c>
      <c r="W181" s="43">
        <f t="shared" si="21"/>
        <v>0.2607960199004975</v>
      </c>
      <c r="X181" s="38"/>
      <c r="Y181" s="38"/>
      <c r="Z181" s="44"/>
      <c r="AA181" s="45">
        <v>46087</v>
      </c>
      <c r="AB181" s="45">
        <v>46106</v>
      </c>
      <c r="AC181" s="45"/>
      <c r="AD181" s="46" t="e">
        <f>IF(ISNA(VLOOKUP(D181,#REF!,5,0)),0,VLOOKUP(D181,#REF!,5,0))</f>
        <v>#REF!</v>
      </c>
      <c r="AE181" s="46" t="e">
        <f t="shared" si="15"/>
        <v>#REF!</v>
      </c>
      <c r="AF181" s="45">
        <v>46116</v>
      </c>
      <c r="AG181" s="33">
        <f t="shared" si="16"/>
        <v>29</v>
      </c>
      <c r="AH181" s="45">
        <v>46141</v>
      </c>
      <c r="AI181" s="39"/>
      <c r="AJ181" s="56">
        <f t="shared" si="18"/>
        <v>25</v>
      </c>
      <c r="AK181" s="39"/>
      <c r="AL181" s="35"/>
      <c r="AM181" s="34"/>
      <c r="AN181" s="34"/>
      <c r="AO181" s="39"/>
      <c r="AP181" s="47"/>
      <c r="AQ181" s="47"/>
      <c r="AR181" s="47"/>
      <c r="AS181" s="47"/>
    </row>
    <row r="182" spans="1:45" ht="12" customHeight="1" x14ac:dyDescent="0.25">
      <c r="A182" s="33">
        <v>181</v>
      </c>
      <c r="B182" s="34"/>
      <c r="C182" s="34" t="s">
        <v>122</v>
      </c>
      <c r="D182" s="35" t="s">
        <v>442</v>
      </c>
      <c r="E182" s="34" t="s">
        <v>58</v>
      </c>
      <c r="F182" s="34" t="s">
        <v>0</v>
      </c>
      <c r="G182" s="16" t="s">
        <v>64</v>
      </c>
      <c r="H182" s="34">
        <v>800</v>
      </c>
      <c r="I182" s="34" t="s">
        <v>54</v>
      </c>
      <c r="J182" s="34" t="s">
        <v>3</v>
      </c>
      <c r="K182" s="35" t="s">
        <v>22</v>
      </c>
      <c r="L182" s="36" t="e">
        <f>VLOOKUP(G182,#REF!,4,0)</f>
        <v>#REF!</v>
      </c>
      <c r="M182" s="37" t="e">
        <f>_xlfn.IFNA(VLOOKUP(G182,#REF!,2,0),"")</f>
        <v>#REF!</v>
      </c>
      <c r="N182" s="38" t="e">
        <f>_xlfn.IFNA(VLOOKUP(G182,#REF!,3,0),"")</f>
        <v>#REF!</v>
      </c>
      <c r="O182" s="39">
        <v>20</v>
      </c>
      <c r="P182" s="67">
        <v>295.39555555555557</v>
      </c>
      <c r="Q182" s="39" t="s">
        <v>10</v>
      </c>
      <c r="R182" s="34">
        <v>3.3</v>
      </c>
      <c r="S182" s="38"/>
      <c r="T182" s="40">
        <v>28.776978417266186</v>
      </c>
      <c r="U182" s="41">
        <f t="shared" si="20"/>
        <v>1003.5823117505995</v>
      </c>
      <c r="V182" s="42">
        <f t="shared" si="14"/>
        <v>1.2544778896882494</v>
      </c>
      <c r="W182" s="43">
        <f t="shared" si="21"/>
        <v>0.18723550592361929</v>
      </c>
      <c r="X182" s="38"/>
      <c r="Y182" s="38"/>
      <c r="Z182" s="44"/>
      <c r="AA182" s="45">
        <v>46087</v>
      </c>
      <c r="AB182" s="45">
        <v>46109</v>
      </c>
      <c r="AC182" s="45"/>
      <c r="AD182" s="46" t="e">
        <f>IF(ISNA(VLOOKUP(D182,#REF!,5,0)),0,VLOOKUP(D182,#REF!,5,0))</f>
        <v>#REF!</v>
      </c>
      <c r="AE182" s="46" t="e">
        <f t="shared" si="15"/>
        <v>#REF!</v>
      </c>
      <c r="AF182" s="45">
        <v>46116</v>
      </c>
      <c r="AG182" s="33">
        <f t="shared" si="16"/>
        <v>29</v>
      </c>
      <c r="AH182" s="45">
        <v>46151</v>
      </c>
      <c r="AI182" s="39"/>
      <c r="AJ182" s="56">
        <f t="shared" si="18"/>
        <v>35</v>
      </c>
      <c r="AK182" s="39"/>
      <c r="AL182" s="35"/>
      <c r="AM182" s="34"/>
      <c r="AN182" s="34"/>
      <c r="AO182" s="39"/>
      <c r="AP182" s="47"/>
      <c r="AQ182" s="47"/>
      <c r="AR182" s="47"/>
      <c r="AS182" s="47"/>
    </row>
    <row r="183" spans="1:45" ht="12" customHeight="1" x14ac:dyDescent="0.25">
      <c r="A183" s="33">
        <v>182</v>
      </c>
      <c r="B183" s="34"/>
      <c r="C183" s="34" t="s">
        <v>122</v>
      </c>
      <c r="D183" s="35" t="s">
        <v>442</v>
      </c>
      <c r="E183" s="34" t="s">
        <v>58</v>
      </c>
      <c r="F183" s="34" t="s">
        <v>0</v>
      </c>
      <c r="G183" s="16" t="s">
        <v>65</v>
      </c>
      <c r="H183" s="34">
        <v>480</v>
      </c>
      <c r="I183" s="34" t="s">
        <v>54</v>
      </c>
      <c r="J183" s="34" t="s">
        <v>3</v>
      </c>
      <c r="K183" s="35" t="s">
        <v>22</v>
      </c>
      <c r="L183" s="36" t="e">
        <f>VLOOKUP(G183,#REF!,4,0)</f>
        <v>#REF!</v>
      </c>
      <c r="M183" s="37" t="e">
        <f>_xlfn.IFNA(VLOOKUP(G183,#REF!,2,0),"")</f>
        <v>#REF!</v>
      </c>
      <c r="N183" s="38" t="e">
        <f>_xlfn.IFNA(VLOOKUP(G183,#REF!,3,0),"")</f>
        <v>#REF!</v>
      </c>
      <c r="O183" s="39">
        <v>12</v>
      </c>
      <c r="P183" s="67">
        <v>177.23733333333334</v>
      </c>
      <c r="Q183" s="39" t="s">
        <v>10</v>
      </c>
      <c r="R183" s="34">
        <v>3.3</v>
      </c>
      <c r="S183" s="48"/>
      <c r="T183" s="40">
        <v>17.266187050359711</v>
      </c>
      <c r="U183" s="41">
        <f t="shared" si="20"/>
        <v>602.14938705035968</v>
      </c>
      <c r="V183" s="42">
        <f t="shared" si="14"/>
        <v>1.2544778896882494</v>
      </c>
      <c r="W183" s="43">
        <f t="shared" si="21"/>
        <v>0.18723550592361929</v>
      </c>
      <c r="X183" s="38"/>
      <c r="Y183" s="38"/>
      <c r="Z183" s="44"/>
      <c r="AA183" s="45">
        <v>46087</v>
      </c>
      <c r="AB183" s="45">
        <v>46109</v>
      </c>
      <c r="AC183" s="45"/>
      <c r="AD183" s="46" t="e">
        <f>IF(ISNA(VLOOKUP(D183,#REF!,5,0)),0,VLOOKUP(D183,#REF!,5,0))</f>
        <v>#REF!</v>
      </c>
      <c r="AE183" s="46" t="e">
        <f t="shared" si="15"/>
        <v>#REF!</v>
      </c>
      <c r="AF183" s="45">
        <v>46116</v>
      </c>
      <c r="AG183" s="33">
        <f t="shared" si="16"/>
        <v>29</v>
      </c>
      <c r="AH183" s="45">
        <v>46151</v>
      </c>
      <c r="AI183" s="39"/>
      <c r="AJ183" s="56">
        <f t="shared" si="18"/>
        <v>35</v>
      </c>
      <c r="AK183" s="39"/>
      <c r="AL183" s="35"/>
      <c r="AM183" s="34"/>
      <c r="AN183" s="34"/>
      <c r="AO183" s="39"/>
      <c r="AP183" s="47"/>
      <c r="AQ183" s="47"/>
      <c r="AR183" s="47"/>
      <c r="AS183" s="47"/>
    </row>
    <row r="184" spans="1:45" ht="12" customHeight="1" x14ac:dyDescent="0.25">
      <c r="A184" s="33">
        <v>183</v>
      </c>
      <c r="B184" s="34"/>
      <c r="C184" s="34" t="s">
        <v>122</v>
      </c>
      <c r="D184" s="35" t="s">
        <v>442</v>
      </c>
      <c r="E184" s="34" t="s">
        <v>58</v>
      </c>
      <c r="F184" s="34" t="s">
        <v>0</v>
      </c>
      <c r="G184" s="16" t="s">
        <v>206</v>
      </c>
      <c r="H184" s="34">
        <v>240</v>
      </c>
      <c r="I184" s="34" t="s">
        <v>54</v>
      </c>
      <c r="J184" s="34" t="s">
        <v>3</v>
      </c>
      <c r="K184" s="35" t="s">
        <v>22</v>
      </c>
      <c r="L184" s="36" t="e">
        <f>VLOOKUP(G184,#REF!,4,0)</f>
        <v>#REF!</v>
      </c>
      <c r="M184" s="37" t="e">
        <f>_xlfn.IFNA(VLOOKUP(G184,#REF!,2,0),"")</f>
        <v>#REF!</v>
      </c>
      <c r="N184" s="38" t="e">
        <f>_xlfn.IFNA(VLOOKUP(G184,#REF!,3,0),"")</f>
        <v>#REF!</v>
      </c>
      <c r="O184" s="39">
        <v>12</v>
      </c>
      <c r="P184" s="67">
        <v>177.23733333333334</v>
      </c>
      <c r="Q184" s="39" t="s">
        <v>10</v>
      </c>
      <c r="R184" s="34">
        <v>3.3</v>
      </c>
      <c r="S184" s="38"/>
      <c r="T184" s="40">
        <v>17.266187050359711</v>
      </c>
      <c r="U184" s="41">
        <f t="shared" si="20"/>
        <v>602.14938705035968</v>
      </c>
      <c r="V184" s="42">
        <f t="shared" si="14"/>
        <v>2.5089557793764987</v>
      </c>
      <c r="W184" s="43">
        <f t="shared" si="21"/>
        <v>0.37447101184723858</v>
      </c>
      <c r="X184" s="38"/>
      <c r="Y184" s="38"/>
      <c r="Z184" s="44"/>
      <c r="AA184" s="45">
        <v>46087</v>
      </c>
      <c r="AB184" s="45">
        <v>46109</v>
      </c>
      <c r="AC184" s="45"/>
      <c r="AD184" s="46" t="e">
        <f>IF(ISNA(VLOOKUP(D184,#REF!,5,0)),0,VLOOKUP(D184,#REF!,5,0))</f>
        <v>#REF!</v>
      </c>
      <c r="AE184" s="46" t="e">
        <f t="shared" si="15"/>
        <v>#REF!</v>
      </c>
      <c r="AF184" s="45">
        <v>46116</v>
      </c>
      <c r="AG184" s="33">
        <f t="shared" si="16"/>
        <v>29</v>
      </c>
      <c r="AH184" s="45">
        <v>46151</v>
      </c>
      <c r="AI184" s="39"/>
      <c r="AJ184" s="56">
        <f t="shared" si="18"/>
        <v>35</v>
      </c>
      <c r="AK184" s="39"/>
      <c r="AL184" s="35"/>
      <c r="AM184" s="34"/>
      <c r="AN184" s="34"/>
      <c r="AO184" s="39"/>
      <c r="AP184" s="47"/>
      <c r="AQ184" s="47"/>
      <c r="AR184" s="47"/>
      <c r="AS184" s="47"/>
    </row>
    <row r="185" spans="1:45" ht="12" customHeight="1" x14ac:dyDescent="0.25">
      <c r="A185" s="33">
        <v>184</v>
      </c>
      <c r="B185" s="34"/>
      <c r="C185" s="34" t="s">
        <v>122</v>
      </c>
      <c r="D185" s="35" t="s">
        <v>442</v>
      </c>
      <c r="E185" s="34" t="s">
        <v>58</v>
      </c>
      <c r="F185" s="34" t="s">
        <v>0</v>
      </c>
      <c r="G185" s="16" t="s">
        <v>315</v>
      </c>
      <c r="H185" s="34">
        <v>60</v>
      </c>
      <c r="I185" s="34" t="s">
        <v>54</v>
      </c>
      <c r="J185" s="34" t="s">
        <v>3</v>
      </c>
      <c r="K185" s="35" t="s">
        <v>22</v>
      </c>
      <c r="L185" s="36" t="e">
        <f>VLOOKUP(G185,#REF!,4,0)</f>
        <v>#REF!</v>
      </c>
      <c r="M185" s="37" t="e">
        <f>_xlfn.IFNA(VLOOKUP(G185,#REF!,2,0),"")</f>
        <v>#REF!</v>
      </c>
      <c r="N185" s="38" t="e">
        <f>_xlfn.IFNA(VLOOKUP(G185,#REF!,3,0),"")</f>
        <v>#REF!</v>
      </c>
      <c r="O185" s="39">
        <v>1</v>
      </c>
      <c r="P185" s="67">
        <v>14.769777777777778</v>
      </c>
      <c r="Q185" s="39" t="s">
        <v>10</v>
      </c>
      <c r="R185" s="34">
        <v>3.3</v>
      </c>
      <c r="S185" s="38"/>
      <c r="T185" s="40">
        <v>1.4388489208633093</v>
      </c>
      <c r="U185" s="41">
        <f t="shared" si="20"/>
        <v>50.179115587529971</v>
      </c>
      <c r="V185" s="42">
        <f t="shared" si="14"/>
        <v>0.8363185931254995</v>
      </c>
      <c r="W185" s="43">
        <f t="shared" si="21"/>
        <v>0.12482367061574619</v>
      </c>
      <c r="X185" s="38"/>
      <c r="Y185" s="38"/>
      <c r="Z185" s="44"/>
      <c r="AA185" s="45">
        <v>46087</v>
      </c>
      <c r="AB185" s="45">
        <v>46109</v>
      </c>
      <c r="AC185" s="45"/>
      <c r="AD185" s="46" t="e">
        <f>IF(ISNA(VLOOKUP(D185,#REF!,5,0)),0,VLOOKUP(D185,#REF!,5,0))</f>
        <v>#REF!</v>
      </c>
      <c r="AE185" s="46" t="e">
        <f t="shared" si="15"/>
        <v>#REF!</v>
      </c>
      <c r="AF185" s="45">
        <v>46116</v>
      </c>
      <c r="AG185" s="33">
        <f t="shared" si="16"/>
        <v>29</v>
      </c>
      <c r="AH185" s="45">
        <v>46151</v>
      </c>
      <c r="AI185" s="39"/>
      <c r="AJ185" s="56">
        <f t="shared" si="18"/>
        <v>35</v>
      </c>
      <c r="AK185" s="39"/>
      <c r="AL185" s="35"/>
      <c r="AM185" s="34"/>
      <c r="AN185" s="34"/>
      <c r="AO185" s="39"/>
      <c r="AP185" s="47"/>
      <c r="AQ185" s="47"/>
      <c r="AR185" s="47"/>
      <c r="AS185" s="47"/>
    </row>
    <row r="186" spans="1:45" ht="12" customHeight="1" x14ac:dyDescent="0.25">
      <c r="A186" s="33">
        <v>185</v>
      </c>
      <c r="B186" s="34"/>
      <c r="C186" s="34" t="s">
        <v>122</v>
      </c>
      <c r="D186" s="35" t="s">
        <v>443</v>
      </c>
      <c r="E186" s="34" t="s">
        <v>58</v>
      </c>
      <c r="F186" s="34" t="s">
        <v>0</v>
      </c>
      <c r="G186" s="16" t="s">
        <v>201</v>
      </c>
      <c r="H186" s="34">
        <v>300</v>
      </c>
      <c r="I186" s="34" t="s">
        <v>54</v>
      </c>
      <c r="J186" s="34" t="s">
        <v>3</v>
      </c>
      <c r="K186" s="35" t="s">
        <v>22</v>
      </c>
      <c r="L186" s="36" t="e">
        <f>VLOOKUP(G186,#REF!,4,0)</f>
        <v>#REF!</v>
      </c>
      <c r="M186" s="37" t="e">
        <f>_xlfn.IFNA(VLOOKUP(G186,#REF!,2,0),"")</f>
        <v>#REF!</v>
      </c>
      <c r="N186" s="38" t="e">
        <f>_xlfn.IFNA(VLOOKUP(G186,#REF!,3,0),"")</f>
        <v>#REF!</v>
      </c>
      <c r="O186" s="39">
        <v>10</v>
      </c>
      <c r="P186" s="67">
        <v>147.69753086419752</v>
      </c>
      <c r="Q186" s="39" t="s">
        <v>10</v>
      </c>
      <c r="R186" s="34">
        <v>3.3</v>
      </c>
      <c r="S186" s="38"/>
      <c r="T186" s="40">
        <v>14.388489208633093</v>
      </c>
      <c r="U186" s="41">
        <f t="shared" si="20"/>
        <v>501.79034106048488</v>
      </c>
      <c r="V186" s="42">
        <f t="shared" si="14"/>
        <v>1.6726344702016163</v>
      </c>
      <c r="W186" s="43">
        <f t="shared" si="21"/>
        <v>0.24964693585098749</v>
      </c>
      <c r="X186" s="38"/>
      <c r="Y186" s="38"/>
      <c r="Z186" s="44"/>
      <c r="AA186" s="45">
        <v>46087</v>
      </c>
      <c r="AB186" s="45">
        <v>46109</v>
      </c>
      <c r="AC186" s="45"/>
      <c r="AD186" s="46" t="e">
        <f>IF(ISNA(VLOOKUP(D186,#REF!,5,0)),0,VLOOKUP(D186,#REF!,5,0))</f>
        <v>#REF!</v>
      </c>
      <c r="AE186" s="46" t="e">
        <f t="shared" si="15"/>
        <v>#REF!</v>
      </c>
      <c r="AF186" s="45">
        <v>46116</v>
      </c>
      <c r="AG186" s="33">
        <f t="shared" si="16"/>
        <v>29</v>
      </c>
      <c r="AH186" s="45">
        <v>46151</v>
      </c>
      <c r="AI186" s="39"/>
      <c r="AJ186" s="56">
        <f t="shared" si="18"/>
        <v>35</v>
      </c>
      <c r="AK186" s="39"/>
      <c r="AL186" s="35"/>
      <c r="AM186" s="34"/>
      <c r="AN186" s="34"/>
      <c r="AO186" s="39"/>
      <c r="AP186" s="47"/>
      <c r="AQ186" s="47"/>
      <c r="AR186" s="47"/>
      <c r="AS186" s="47"/>
    </row>
    <row r="187" spans="1:45" ht="12" customHeight="1" x14ac:dyDescent="0.25">
      <c r="A187" s="33">
        <v>186</v>
      </c>
      <c r="B187" s="34"/>
      <c r="C187" s="34" t="s">
        <v>122</v>
      </c>
      <c r="D187" s="35" t="s">
        <v>443</v>
      </c>
      <c r="E187" s="34" t="s">
        <v>58</v>
      </c>
      <c r="F187" s="34" t="s">
        <v>0</v>
      </c>
      <c r="G187" s="16" t="s">
        <v>205</v>
      </c>
      <c r="H187" s="34">
        <v>1200</v>
      </c>
      <c r="I187" s="34" t="s">
        <v>54</v>
      </c>
      <c r="J187" s="34" t="s">
        <v>3</v>
      </c>
      <c r="K187" s="35" t="s">
        <v>22</v>
      </c>
      <c r="L187" s="36" t="e">
        <f>VLOOKUP(G187,#REF!,4,0)</f>
        <v>#REF!</v>
      </c>
      <c r="M187" s="37" t="e">
        <f>_xlfn.IFNA(VLOOKUP(G187,#REF!,2,0),"")</f>
        <v>#REF!</v>
      </c>
      <c r="N187" s="38" t="e">
        <f>_xlfn.IFNA(VLOOKUP(G187,#REF!,3,0),"")</f>
        <v>#REF!</v>
      </c>
      <c r="O187" s="39">
        <v>40</v>
      </c>
      <c r="P187" s="67">
        <v>590.79012345679007</v>
      </c>
      <c r="Q187" s="39" t="s">
        <v>10</v>
      </c>
      <c r="R187" s="34">
        <v>3.3</v>
      </c>
      <c r="S187" s="38"/>
      <c r="T187" s="40">
        <v>57.553956834532372</v>
      </c>
      <c r="U187" s="41">
        <f t="shared" si="20"/>
        <v>2007.1613642419395</v>
      </c>
      <c r="V187" s="42">
        <f t="shared" si="14"/>
        <v>1.6726344702016163</v>
      </c>
      <c r="W187" s="43">
        <f t="shared" si="21"/>
        <v>0.24964693585098749</v>
      </c>
      <c r="X187" s="38"/>
      <c r="Y187" s="38"/>
      <c r="Z187" s="44"/>
      <c r="AA187" s="45">
        <v>46087</v>
      </c>
      <c r="AB187" s="45">
        <v>46109</v>
      </c>
      <c r="AC187" s="45"/>
      <c r="AD187" s="46" t="e">
        <f>IF(ISNA(VLOOKUP(D187,#REF!,5,0)),0,VLOOKUP(D187,#REF!,5,0))</f>
        <v>#REF!</v>
      </c>
      <c r="AE187" s="46" t="e">
        <f t="shared" si="15"/>
        <v>#REF!</v>
      </c>
      <c r="AF187" s="45">
        <v>46116</v>
      </c>
      <c r="AG187" s="33">
        <f t="shared" si="16"/>
        <v>29</v>
      </c>
      <c r="AH187" s="45">
        <v>46151</v>
      </c>
      <c r="AI187" s="39"/>
      <c r="AJ187" s="56">
        <f t="shared" si="18"/>
        <v>35</v>
      </c>
      <c r="AK187" s="39"/>
      <c r="AL187" s="35"/>
      <c r="AM187" s="34"/>
      <c r="AN187" s="34"/>
      <c r="AO187" s="39"/>
      <c r="AP187" s="47"/>
      <c r="AQ187" s="47"/>
      <c r="AR187" s="47"/>
      <c r="AS187" s="47"/>
    </row>
    <row r="188" spans="1:45" ht="12" customHeight="1" x14ac:dyDescent="0.25">
      <c r="A188" s="33">
        <v>187</v>
      </c>
      <c r="B188" s="34"/>
      <c r="C188" s="34" t="s">
        <v>122</v>
      </c>
      <c r="D188" s="35" t="s">
        <v>443</v>
      </c>
      <c r="E188" s="34" t="s">
        <v>58</v>
      </c>
      <c r="F188" s="34" t="s">
        <v>0</v>
      </c>
      <c r="G188" s="16" t="s">
        <v>224</v>
      </c>
      <c r="H188" s="34">
        <v>450</v>
      </c>
      <c r="I188" s="34" t="s">
        <v>54</v>
      </c>
      <c r="J188" s="34" t="s">
        <v>3</v>
      </c>
      <c r="K188" s="35" t="s">
        <v>22</v>
      </c>
      <c r="L188" s="36" t="e">
        <f>VLOOKUP(G188,#REF!,4,0)</f>
        <v>#REF!</v>
      </c>
      <c r="M188" s="37" t="e">
        <f>_xlfn.IFNA(VLOOKUP(G188,#REF!,2,0),"")</f>
        <v>#REF!</v>
      </c>
      <c r="N188" s="38" t="e">
        <f>_xlfn.IFNA(VLOOKUP(G188,#REF!,3,0),"")</f>
        <v>#REF!</v>
      </c>
      <c r="O188" s="39">
        <v>15</v>
      </c>
      <c r="P188" s="67">
        <v>221.5462962962963</v>
      </c>
      <c r="Q188" s="39" t="s">
        <v>10</v>
      </c>
      <c r="R188" s="34">
        <v>3.3</v>
      </c>
      <c r="S188" s="38"/>
      <c r="T188" s="40">
        <v>21.582733812949641</v>
      </c>
      <c r="U188" s="41">
        <f t="shared" si="20"/>
        <v>752.6855115907274</v>
      </c>
      <c r="V188" s="42">
        <f t="shared" si="14"/>
        <v>1.6726344702016165</v>
      </c>
      <c r="W188" s="43">
        <f t="shared" si="21"/>
        <v>0.24964693585098752</v>
      </c>
      <c r="X188" s="38"/>
      <c r="Y188" s="38"/>
      <c r="Z188" s="44"/>
      <c r="AA188" s="45">
        <v>46087</v>
      </c>
      <c r="AB188" s="45">
        <v>46109</v>
      </c>
      <c r="AC188" s="45"/>
      <c r="AD188" s="46" t="e">
        <f>IF(ISNA(VLOOKUP(D188,#REF!,5,0)),0,VLOOKUP(D188,#REF!,5,0))</f>
        <v>#REF!</v>
      </c>
      <c r="AE188" s="46" t="e">
        <f t="shared" si="15"/>
        <v>#REF!</v>
      </c>
      <c r="AF188" s="45">
        <v>46116</v>
      </c>
      <c r="AG188" s="33">
        <f t="shared" si="16"/>
        <v>29</v>
      </c>
      <c r="AH188" s="45">
        <v>46151</v>
      </c>
      <c r="AI188" s="39"/>
      <c r="AJ188" s="56">
        <f t="shared" si="18"/>
        <v>35</v>
      </c>
      <c r="AK188" s="39"/>
      <c r="AL188" s="35"/>
      <c r="AM188" s="34"/>
      <c r="AN188" s="34"/>
      <c r="AO188" s="39"/>
      <c r="AP188" s="47"/>
      <c r="AQ188" s="47"/>
      <c r="AR188" s="47"/>
      <c r="AS188" s="47"/>
    </row>
    <row r="189" spans="1:45" ht="12" customHeight="1" x14ac:dyDescent="0.25">
      <c r="A189" s="33">
        <v>188</v>
      </c>
      <c r="B189" s="34"/>
      <c r="C189" s="34" t="s">
        <v>122</v>
      </c>
      <c r="D189" s="35" t="s">
        <v>443</v>
      </c>
      <c r="E189" s="34" t="s">
        <v>58</v>
      </c>
      <c r="F189" s="34" t="s">
        <v>0</v>
      </c>
      <c r="G189" s="16" t="s">
        <v>256</v>
      </c>
      <c r="H189" s="34">
        <v>320</v>
      </c>
      <c r="I189" s="34" t="s">
        <v>54</v>
      </c>
      <c r="J189" s="34" t="s">
        <v>3</v>
      </c>
      <c r="K189" s="35" t="s">
        <v>22</v>
      </c>
      <c r="L189" s="36" t="e">
        <f>VLOOKUP(G189,#REF!,4,0)</f>
        <v>#REF!</v>
      </c>
      <c r="M189" s="37" t="e">
        <f>_xlfn.IFNA(VLOOKUP(G189,#REF!,2,0),"")</f>
        <v>#REF!</v>
      </c>
      <c r="N189" s="38" t="e">
        <f>_xlfn.IFNA(VLOOKUP(G189,#REF!,3,0),"")</f>
        <v>#REF!</v>
      </c>
      <c r="O189" s="39">
        <v>16</v>
      </c>
      <c r="P189" s="67">
        <v>236.31604938271605</v>
      </c>
      <c r="Q189" s="39" t="s">
        <v>10</v>
      </c>
      <c r="R189" s="34">
        <v>3.3</v>
      </c>
      <c r="S189" s="38"/>
      <c r="T189" s="40">
        <v>23.021582733812949</v>
      </c>
      <c r="U189" s="41">
        <f t="shared" si="20"/>
        <v>802.86454569677585</v>
      </c>
      <c r="V189" s="42">
        <f t="shared" si="14"/>
        <v>2.5089517053024246</v>
      </c>
      <c r="W189" s="43">
        <f t="shared" si="21"/>
        <v>0.37447040377648128</v>
      </c>
      <c r="X189" s="38"/>
      <c r="Y189" s="38"/>
      <c r="Z189" s="44"/>
      <c r="AA189" s="45">
        <v>46087</v>
      </c>
      <c r="AB189" s="45">
        <v>46109</v>
      </c>
      <c r="AC189" s="45"/>
      <c r="AD189" s="46" t="e">
        <f>IF(ISNA(VLOOKUP(D189,#REF!,5,0)),0,VLOOKUP(D189,#REF!,5,0))</f>
        <v>#REF!</v>
      </c>
      <c r="AE189" s="46" t="e">
        <f t="shared" si="15"/>
        <v>#REF!</v>
      </c>
      <c r="AF189" s="45">
        <v>46116</v>
      </c>
      <c r="AG189" s="33">
        <f t="shared" si="16"/>
        <v>29</v>
      </c>
      <c r="AH189" s="45">
        <v>46151</v>
      </c>
      <c r="AI189" s="39"/>
      <c r="AJ189" s="56">
        <f t="shared" si="18"/>
        <v>35</v>
      </c>
      <c r="AK189" s="39"/>
      <c r="AL189" s="35"/>
      <c r="AM189" s="34"/>
      <c r="AN189" s="34"/>
      <c r="AO189" s="39"/>
      <c r="AP189" s="47"/>
      <c r="AQ189" s="47"/>
      <c r="AR189" s="47"/>
      <c r="AS189" s="47"/>
    </row>
    <row r="190" spans="1:45" ht="12" customHeight="1" x14ac:dyDescent="0.25">
      <c r="A190" s="33">
        <v>189</v>
      </c>
      <c r="B190" s="34"/>
      <c r="C190" s="34" t="s">
        <v>125</v>
      </c>
      <c r="D190" s="35" t="s">
        <v>473</v>
      </c>
      <c r="E190" s="34" t="s">
        <v>51</v>
      </c>
      <c r="F190" s="34" t="s">
        <v>52</v>
      </c>
      <c r="G190" s="16" t="s">
        <v>64</v>
      </c>
      <c r="H190" s="34">
        <v>160</v>
      </c>
      <c r="I190" s="34" t="s">
        <v>54</v>
      </c>
      <c r="J190" s="34" t="s">
        <v>55</v>
      </c>
      <c r="K190" s="35" t="s">
        <v>270</v>
      </c>
      <c r="L190" s="36" t="e">
        <f>VLOOKUP(G190,#REF!,4,0)</f>
        <v>#REF!</v>
      </c>
      <c r="M190" s="37" t="e">
        <f>_xlfn.IFNA(VLOOKUP(G190,#REF!,2,0),"")</f>
        <v>#REF!</v>
      </c>
      <c r="N190" s="38" t="e">
        <f>_xlfn.IFNA(VLOOKUP(G190,#REF!,3,0),"")</f>
        <v>#REF!</v>
      </c>
      <c r="O190" s="39">
        <v>4</v>
      </c>
      <c r="P190" s="67">
        <v>54.8</v>
      </c>
      <c r="Q190" s="39" t="s">
        <v>10</v>
      </c>
      <c r="R190" s="34">
        <v>6</v>
      </c>
      <c r="S190" s="38">
        <v>200</v>
      </c>
      <c r="T190" s="40">
        <v>80</v>
      </c>
      <c r="U190" s="41">
        <f t="shared" si="20"/>
        <v>408.79999999999995</v>
      </c>
      <c r="V190" s="42">
        <f t="shared" si="14"/>
        <v>2.5549999999999997</v>
      </c>
      <c r="W190" s="43">
        <f t="shared" si="21"/>
        <v>0.38134328358208952</v>
      </c>
      <c r="X190" s="38"/>
      <c r="Y190" s="38"/>
      <c r="Z190" s="44"/>
      <c r="AA190" s="45">
        <v>46087</v>
      </c>
      <c r="AB190" s="45">
        <v>46121</v>
      </c>
      <c r="AC190" s="45"/>
      <c r="AD190" s="46" t="e">
        <f>IF(ISNA(VLOOKUP(D190,#REF!,5,0)),0,VLOOKUP(D190,#REF!,5,0))</f>
        <v>#REF!</v>
      </c>
      <c r="AE190" s="46" t="e">
        <f t="shared" si="15"/>
        <v>#REF!</v>
      </c>
      <c r="AF190" s="45">
        <v>46125</v>
      </c>
      <c r="AG190" s="33">
        <f t="shared" si="16"/>
        <v>38</v>
      </c>
      <c r="AH190" s="45">
        <v>46155</v>
      </c>
      <c r="AI190" s="39"/>
      <c r="AJ190" s="56">
        <f t="shared" si="18"/>
        <v>30</v>
      </c>
      <c r="AK190" s="39"/>
      <c r="AL190" s="35"/>
      <c r="AM190" s="34"/>
      <c r="AN190" s="34"/>
      <c r="AO190" s="39"/>
      <c r="AP190" s="47"/>
      <c r="AQ190" s="47"/>
      <c r="AR190" s="47"/>
      <c r="AS190" s="47"/>
    </row>
    <row r="191" spans="1:45" ht="12" customHeight="1" x14ac:dyDescent="0.25">
      <c r="A191" s="33">
        <v>190</v>
      </c>
      <c r="B191" s="34"/>
      <c r="C191" s="34" t="s">
        <v>125</v>
      </c>
      <c r="D191" s="35" t="s">
        <v>444</v>
      </c>
      <c r="E191" s="34" t="s">
        <v>51</v>
      </c>
      <c r="F191" s="34" t="s">
        <v>52</v>
      </c>
      <c r="G191" s="16" t="s">
        <v>65</v>
      </c>
      <c r="H191" s="34">
        <v>200</v>
      </c>
      <c r="I191" s="34" t="s">
        <v>54</v>
      </c>
      <c r="J191" s="34" t="s">
        <v>55</v>
      </c>
      <c r="K191" s="35" t="s">
        <v>270</v>
      </c>
      <c r="L191" s="36" t="e">
        <f>VLOOKUP(G191,#REF!,4,0)</f>
        <v>#REF!</v>
      </c>
      <c r="M191" s="37" t="e">
        <f>_xlfn.IFNA(VLOOKUP(G191,#REF!,2,0),"")</f>
        <v>#REF!</v>
      </c>
      <c r="N191" s="38" t="e">
        <f>_xlfn.IFNA(VLOOKUP(G191,#REF!,3,0),"")</f>
        <v>#REF!</v>
      </c>
      <c r="O191" s="39">
        <v>5</v>
      </c>
      <c r="P191" s="67">
        <v>68.5</v>
      </c>
      <c r="Q191" s="39" t="s">
        <v>10</v>
      </c>
      <c r="R191" s="34">
        <v>6</v>
      </c>
      <c r="S191" s="48">
        <f>SUMIF(C:C,C190,T:T)</f>
        <v>200</v>
      </c>
      <c r="T191" s="40">
        <v>100</v>
      </c>
      <c r="U191" s="41">
        <f t="shared" si="20"/>
        <v>511</v>
      </c>
      <c r="V191" s="42">
        <f t="shared" si="14"/>
        <v>2.5550000000000002</v>
      </c>
      <c r="W191" s="43">
        <f t="shared" si="21"/>
        <v>0.38134328358208958</v>
      </c>
      <c r="X191" s="38"/>
      <c r="Y191" s="38"/>
      <c r="Z191" s="44"/>
      <c r="AA191" s="45">
        <v>46087</v>
      </c>
      <c r="AB191" s="45">
        <v>46121</v>
      </c>
      <c r="AC191" s="45"/>
      <c r="AD191" s="46" t="e">
        <f>IF(ISNA(VLOOKUP(D191,#REF!,5,0)),0,VLOOKUP(D191,#REF!,5,0))</f>
        <v>#REF!</v>
      </c>
      <c r="AE191" s="46" t="e">
        <f t="shared" si="15"/>
        <v>#REF!</v>
      </c>
      <c r="AF191" s="45">
        <v>46125</v>
      </c>
      <c r="AG191" s="33">
        <f t="shared" si="16"/>
        <v>38</v>
      </c>
      <c r="AH191" s="45">
        <v>46155</v>
      </c>
      <c r="AI191" s="39"/>
      <c r="AJ191" s="56">
        <f t="shared" si="18"/>
        <v>30</v>
      </c>
      <c r="AK191" s="39"/>
      <c r="AL191" s="35"/>
      <c r="AM191" s="34"/>
      <c r="AN191" s="34"/>
      <c r="AO191" s="39"/>
      <c r="AP191" s="47"/>
      <c r="AQ191" s="47"/>
      <c r="AR191" s="47"/>
      <c r="AS191" s="47"/>
    </row>
    <row r="192" spans="1:45" ht="12" customHeight="1" x14ac:dyDescent="0.25">
      <c r="A192" s="33">
        <v>191</v>
      </c>
      <c r="B192" s="34"/>
      <c r="C192" s="34" t="s">
        <v>125</v>
      </c>
      <c r="D192" s="35" t="s">
        <v>444</v>
      </c>
      <c r="E192" s="34" t="s">
        <v>51</v>
      </c>
      <c r="F192" s="34" t="s">
        <v>52</v>
      </c>
      <c r="G192" s="16" t="s">
        <v>99</v>
      </c>
      <c r="H192" s="34">
        <v>150</v>
      </c>
      <c r="I192" s="34" t="s">
        <v>54</v>
      </c>
      <c r="J192" s="34" t="s">
        <v>55</v>
      </c>
      <c r="K192" s="35" t="s">
        <v>270</v>
      </c>
      <c r="L192" s="36" t="e">
        <f>VLOOKUP(G192,#REF!,4,0)</f>
        <v>#REF!</v>
      </c>
      <c r="M192" s="37" t="e">
        <f>_xlfn.IFNA(VLOOKUP(G192,#REF!,2,0),"")</f>
        <v>#REF!</v>
      </c>
      <c r="N192" s="38" t="e">
        <f>_xlfn.IFNA(VLOOKUP(G192,#REF!,3,0),"")</f>
        <v>#REF!</v>
      </c>
      <c r="O192" s="39">
        <v>0.75</v>
      </c>
      <c r="P192" s="67">
        <v>10.274999999999999</v>
      </c>
      <c r="Q192" s="39" t="s">
        <v>10</v>
      </c>
      <c r="R192" s="34">
        <v>6</v>
      </c>
      <c r="S192" s="38"/>
      <c r="T192" s="40">
        <v>15</v>
      </c>
      <c r="U192" s="41">
        <f t="shared" si="20"/>
        <v>76.649999999999991</v>
      </c>
      <c r="V192" s="42">
        <f t="shared" si="14"/>
        <v>0.5109999999999999</v>
      </c>
      <c r="W192" s="43">
        <f t="shared" si="21"/>
        <v>7.6268656716417887E-2</v>
      </c>
      <c r="X192" s="38"/>
      <c r="Y192" s="38"/>
      <c r="Z192" s="44"/>
      <c r="AA192" s="45">
        <v>46087</v>
      </c>
      <c r="AB192" s="45">
        <v>46121</v>
      </c>
      <c r="AC192" s="45"/>
      <c r="AD192" s="46" t="e">
        <f>IF(ISNA(VLOOKUP(D192,#REF!,5,0)),0,VLOOKUP(D192,#REF!,5,0))</f>
        <v>#REF!</v>
      </c>
      <c r="AE192" s="46" t="e">
        <f t="shared" si="15"/>
        <v>#REF!</v>
      </c>
      <c r="AF192" s="45">
        <v>46125</v>
      </c>
      <c r="AG192" s="33">
        <f t="shared" si="16"/>
        <v>38</v>
      </c>
      <c r="AH192" s="45">
        <v>46155</v>
      </c>
      <c r="AI192" s="39"/>
      <c r="AJ192" s="56">
        <f t="shared" si="18"/>
        <v>30</v>
      </c>
      <c r="AK192" s="39"/>
      <c r="AL192" s="35"/>
      <c r="AM192" s="34"/>
      <c r="AN192" s="34"/>
      <c r="AO192" s="39"/>
      <c r="AP192" s="47"/>
      <c r="AQ192" s="47"/>
      <c r="AR192" s="47"/>
      <c r="AS192" s="47"/>
    </row>
    <row r="193" spans="1:45" ht="12" customHeight="1" x14ac:dyDescent="0.25">
      <c r="A193" s="33">
        <v>192</v>
      </c>
      <c r="B193" s="34"/>
      <c r="C193" s="34" t="s">
        <v>125</v>
      </c>
      <c r="D193" s="35" t="s">
        <v>444</v>
      </c>
      <c r="E193" s="34" t="s">
        <v>51</v>
      </c>
      <c r="F193" s="34" t="s">
        <v>52</v>
      </c>
      <c r="G193" s="16" t="s">
        <v>100</v>
      </c>
      <c r="H193" s="34">
        <v>50</v>
      </c>
      <c r="I193" s="34" t="s">
        <v>54</v>
      </c>
      <c r="J193" s="34" t="s">
        <v>55</v>
      </c>
      <c r="K193" s="35" t="s">
        <v>270</v>
      </c>
      <c r="L193" s="36" t="e">
        <f>VLOOKUP(G193,#REF!,4,0)</f>
        <v>#REF!</v>
      </c>
      <c r="M193" s="37" t="e">
        <f>_xlfn.IFNA(VLOOKUP(G193,#REF!,2,0),"")</f>
        <v>#REF!</v>
      </c>
      <c r="N193" s="38" t="e">
        <f>_xlfn.IFNA(VLOOKUP(G193,#REF!,3,0),"")</f>
        <v>#REF!</v>
      </c>
      <c r="O193" s="39">
        <v>0.25</v>
      </c>
      <c r="P193" s="67">
        <v>3.4249999999999998</v>
      </c>
      <c r="Q193" s="39" t="s">
        <v>10</v>
      </c>
      <c r="R193" s="34">
        <v>6</v>
      </c>
      <c r="S193" s="38"/>
      <c r="T193" s="40">
        <v>5</v>
      </c>
      <c r="U193" s="41">
        <f t="shared" si="20"/>
        <v>25.549999999999997</v>
      </c>
      <c r="V193" s="42">
        <f t="shared" si="14"/>
        <v>0.5109999999999999</v>
      </c>
      <c r="W193" s="43">
        <f t="shared" si="21"/>
        <v>7.6268656716417887E-2</v>
      </c>
      <c r="X193" s="38"/>
      <c r="Y193" s="38"/>
      <c r="Z193" s="44"/>
      <c r="AA193" s="45">
        <v>46087</v>
      </c>
      <c r="AB193" s="45">
        <v>46121</v>
      </c>
      <c r="AC193" s="45"/>
      <c r="AD193" s="46" t="e">
        <f>IF(ISNA(VLOOKUP(D193,#REF!,5,0)),0,VLOOKUP(D193,#REF!,5,0))</f>
        <v>#REF!</v>
      </c>
      <c r="AE193" s="46" t="e">
        <f t="shared" si="15"/>
        <v>#REF!</v>
      </c>
      <c r="AF193" s="45">
        <v>46125</v>
      </c>
      <c r="AG193" s="33">
        <f t="shared" si="16"/>
        <v>38</v>
      </c>
      <c r="AH193" s="45">
        <v>46155</v>
      </c>
      <c r="AI193" s="39"/>
      <c r="AJ193" s="56">
        <f t="shared" si="18"/>
        <v>30</v>
      </c>
      <c r="AK193" s="39"/>
      <c r="AL193" s="35"/>
      <c r="AM193" s="34"/>
      <c r="AN193" s="34"/>
      <c r="AO193" s="39"/>
      <c r="AP193" s="47"/>
      <c r="AQ193" s="47"/>
      <c r="AR193" s="47"/>
      <c r="AS193" s="47"/>
    </row>
    <row r="194" spans="1:45" ht="12" customHeight="1" x14ac:dyDescent="0.25">
      <c r="A194" s="33">
        <v>193</v>
      </c>
      <c r="B194" s="34"/>
      <c r="C194" s="34" t="s">
        <v>122</v>
      </c>
      <c r="D194" s="35" t="s">
        <v>445</v>
      </c>
      <c r="E194" s="34" t="s">
        <v>58</v>
      </c>
      <c r="F194" s="34" t="s">
        <v>0</v>
      </c>
      <c r="G194" s="16" t="s">
        <v>64</v>
      </c>
      <c r="H194" s="34">
        <v>200</v>
      </c>
      <c r="I194" s="34" t="s">
        <v>54</v>
      </c>
      <c r="J194" s="34" t="s">
        <v>3</v>
      </c>
      <c r="K194" s="35" t="s">
        <v>22</v>
      </c>
      <c r="L194" s="36" t="e">
        <f>VLOOKUP(G194,#REF!,4,0)</f>
        <v>#REF!</v>
      </c>
      <c r="M194" s="37" t="e">
        <f>_xlfn.IFNA(VLOOKUP(G194,#REF!,2,0),"")</f>
        <v>#REF!</v>
      </c>
      <c r="N194" s="38" t="e">
        <f>_xlfn.IFNA(VLOOKUP(G194,#REF!,3,0),"")</f>
        <v>#REF!</v>
      </c>
      <c r="O194" s="39">
        <v>5</v>
      </c>
      <c r="P194" s="67">
        <v>73.849999999999994</v>
      </c>
      <c r="Q194" s="39" t="s">
        <v>10</v>
      </c>
      <c r="R194" s="34">
        <v>3.3</v>
      </c>
      <c r="S194" s="38"/>
      <c r="T194" s="40">
        <v>7.1942446043165464</v>
      </c>
      <c r="U194" s="41">
        <f t="shared" si="20"/>
        <v>250.89924460431649</v>
      </c>
      <c r="V194" s="42">
        <f t="shared" ref="V194:V257" si="22">U194/H194</f>
        <v>1.2544962230215824</v>
      </c>
      <c r="W194" s="43">
        <f t="shared" si="21"/>
        <v>0.1872382422420272</v>
      </c>
      <c r="X194" s="38"/>
      <c r="Y194" s="38"/>
      <c r="Z194" s="44"/>
      <c r="AA194" s="45">
        <v>46087</v>
      </c>
      <c r="AB194" s="45">
        <v>46109</v>
      </c>
      <c r="AC194" s="45"/>
      <c r="AD194" s="46" t="e">
        <f>IF(ISNA(VLOOKUP(D194,#REF!,5,0)),0,VLOOKUP(D194,#REF!,5,0))</f>
        <v>#REF!</v>
      </c>
      <c r="AE194" s="46" t="e">
        <f t="shared" ref="AE194:AE208" si="23">AD194*H194</f>
        <v>#REF!</v>
      </c>
      <c r="AF194" s="45">
        <v>46116</v>
      </c>
      <c r="AG194" s="33">
        <f t="shared" ref="AG194:AG257" si="24">AF194-AA194</f>
        <v>29</v>
      </c>
      <c r="AH194" s="45">
        <v>46148</v>
      </c>
      <c r="AI194" s="39"/>
      <c r="AJ194" s="56">
        <f t="shared" si="18"/>
        <v>32</v>
      </c>
      <c r="AK194" s="39"/>
      <c r="AL194" s="35"/>
      <c r="AM194" s="34"/>
      <c r="AN194" s="34"/>
      <c r="AO194" s="39"/>
      <c r="AP194" s="47"/>
      <c r="AQ194" s="47"/>
      <c r="AR194" s="47"/>
      <c r="AS194" s="47"/>
    </row>
    <row r="195" spans="1:45" ht="12" customHeight="1" x14ac:dyDescent="0.25">
      <c r="A195" s="33">
        <v>194</v>
      </c>
      <c r="B195" s="34"/>
      <c r="C195" s="34" t="s">
        <v>122</v>
      </c>
      <c r="D195" s="35" t="s">
        <v>445</v>
      </c>
      <c r="E195" s="34" t="s">
        <v>58</v>
      </c>
      <c r="F195" s="34" t="s">
        <v>0</v>
      </c>
      <c r="G195" s="16" t="s">
        <v>149</v>
      </c>
      <c r="H195" s="34">
        <v>120</v>
      </c>
      <c r="I195" s="34" t="s">
        <v>54</v>
      </c>
      <c r="J195" s="34" t="s">
        <v>3</v>
      </c>
      <c r="K195" s="35" t="s">
        <v>22</v>
      </c>
      <c r="L195" s="36" t="e">
        <f>VLOOKUP(G195,#REF!,4,0)</f>
        <v>#REF!</v>
      </c>
      <c r="M195" s="37" t="e">
        <f>_xlfn.IFNA(VLOOKUP(G195,#REF!,2,0),"")</f>
        <v>#REF!</v>
      </c>
      <c r="N195" s="38" t="e">
        <f>_xlfn.IFNA(VLOOKUP(G195,#REF!,3,0),"")</f>
        <v>#REF!</v>
      </c>
      <c r="O195" s="39">
        <v>3</v>
      </c>
      <c r="P195" s="67">
        <v>44.31</v>
      </c>
      <c r="Q195" s="39" t="s">
        <v>10</v>
      </c>
      <c r="R195" s="34">
        <v>3.3</v>
      </c>
      <c r="S195" s="38"/>
      <c r="T195" s="40">
        <v>4.3165467625899279</v>
      </c>
      <c r="U195" s="41">
        <f t="shared" si="20"/>
        <v>150.53954676258994</v>
      </c>
      <c r="V195" s="42">
        <f t="shared" si="22"/>
        <v>1.2544962230215828</v>
      </c>
      <c r="W195" s="43">
        <f t="shared" si="21"/>
        <v>0.18723824224202729</v>
      </c>
      <c r="X195" s="38"/>
      <c r="Y195" s="38"/>
      <c r="Z195" s="44"/>
      <c r="AA195" s="45">
        <v>46087</v>
      </c>
      <c r="AB195" s="45">
        <v>46109</v>
      </c>
      <c r="AC195" s="45"/>
      <c r="AD195" s="46" t="e">
        <f>IF(ISNA(VLOOKUP(D195,#REF!,5,0)),0,VLOOKUP(D195,#REF!,5,0))</f>
        <v>#REF!</v>
      </c>
      <c r="AE195" s="46" t="e">
        <f t="shared" si="23"/>
        <v>#REF!</v>
      </c>
      <c r="AF195" s="45">
        <v>46116</v>
      </c>
      <c r="AG195" s="33">
        <f t="shared" si="24"/>
        <v>29</v>
      </c>
      <c r="AH195" s="45">
        <v>46148</v>
      </c>
      <c r="AI195" s="39"/>
      <c r="AJ195" s="56">
        <f t="shared" ref="AJ195:AJ258" si="25">AH195-AF195</f>
        <v>32</v>
      </c>
      <c r="AK195" s="39"/>
      <c r="AL195" s="35"/>
      <c r="AM195" s="34"/>
      <c r="AN195" s="34"/>
      <c r="AO195" s="39"/>
      <c r="AP195" s="47"/>
      <c r="AQ195" s="47"/>
      <c r="AR195" s="47"/>
      <c r="AS195" s="47"/>
    </row>
    <row r="196" spans="1:45" ht="12" customHeight="1" x14ac:dyDescent="0.25">
      <c r="A196" s="33">
        <v>195</v>
      </c>
      <c r="B196" s="34"/>
      <c r="C196" s="34" t="s">
        <v>131</v>
      </c>
      <c r="D196" s="35" t="s">
        <v>447</v>
      </c>
      <c r="E196" s="34" t="s">
        <v>61</v>
      </c>
      <c r="F196" s="34" t="s">
        <v>0</v>
      </c>
      <c r="G196" s="16" t="s">
        <v>242</v>
      </c>
      <c r="H196" s="34">
        <v>400</v>
      </c>
      <c r="I196" s="34" t="s">
        <v>54</v>
      </c>
      <c r="J196" s="34" t="s">
        <v>2</v>
      </c>
      <c r="K196" s="35" t="s">
        <v>18</v>
      </c>
      <c r="L196" s="36" t="e">
        <f>VLOOKUP(G196,#REF!,4,0)</f>
        <v>#REF!</v>
      </c>
      <c r="M196" s="37" t="e">
        <f>_xlfn.IFNA(VLOOKUP(G196,#REF!,2,0),"")</f>
        <v>#REF!</v>
      </c>
      <c r="N196" s="38" t="e">
        <f>_xlfn.IFNA(VLOOKUP(G196,#REF!,3,0),"")</f>
        <v>#REF!</v>
      </c>
      <c r="O196" s="39">
        <v>10</v>
      </c>
      <c r="P196" s="67">
        <v>136</v>
      </c>
      <c r="Q196" s="39" t="s">
        <v>10</v>
      </c>
      <c r="R196" s="34">
        <v>6.3</v>
      </c>
      <c r="S196" s="49">
        <v>200</v>
      </c>
      <c r="T196" s="72">
        <v>40</v>
      </c>
      <c r="U196" s="41">
        <f t="shared" ref="U196:U234" si="26">R196*P196+T196</f>
        <v>896.8</v>
      </c>
      <c r="V196" s="42">
        <f t="shared" si="22"/>
        <v>2.242</v>
      </c>
      <c r="W196" s="43">
        <f t="shared" ref="W196:W234" si="27">V196/6.7</f>
        <v>0.33462686567164179</v>
      </c>
      <c r="X196" s="38"/>
      <c r="Y196" s="38"/>
      <c r="Z196" s="44"/>
      <c r="AA196" s="45">
        <v>46094</v>
      </c>
      <c r="AB196" s="45">
        <v>46110</v>
      </c>
      <c r="AC196" s="45"/>
      <c r="AD196" s="46" t="e">
        <f>IF(ISNA(VLOOKUP(D196,#REF!,5,0)),0,VLOOKUP(D196,#REF!,5,0))</f>
        <v>#REF!</v>
      </c>
      <c r="AE196" s="46" t="e">
        <f t="shared" si="23"/>
        <v>#REF!</v>
      </c>
      <c r="AF196" s="45">
        <v>46115</v>
      </c>
      <c r="AG196" s="33">
        <f t="shared" si="24"/>
        <v>21</v>
      </c>
      <c r="AH196" s="45">
        <v>46147</v>
      </c>
      <c r="AI196" s="39"/>
      <c r="AJ196" s="56">
        <f t="shared" si="25"/>
        <v>32</v>
      </c>
      <c r="AK196" s="39"/>
      <c r="AL196" s="35"/>
      <c r="AM196" s="34"/>
      <c r="AN196" s="34"/>
      <c r="AO196" s="39"/>
      <c r="AP196" s="47"/>
      <c r="AQ196" s="47"/>
      <c r="AR196" s="47"/>
      <c r="AS196" s="47"/>
    </row>
    <row r="197" spans="1:45" ht="12" customHeight="1" x14ac:dyDescent="0.25">
      <c r="A197" s="33">
        <v>196</v>
      </c>
      <c r="B197" s="34"/>
      <c r="C197" s="34" t="s">
        <v>448</v>
      </c>
      <c r="D197" s="35" t="s">
        <v>449</v>
      </c>
      <c r="E197" s="34" t="s">
        <v>61</v>
      </c>
      <c r="F197" s="34" t="s">
        <v>0</v>
      </c>
      <c r="G197" s="16" t="s">
        <v>119</v>
      </c>
      <c r="H197" s="34">
        <v>120</v>
      </c>
      <c r="I197" s="34" t="s">
        <v>54</v>
      </c>
      <c r="J197" s="34" t="s">
        <v>3</v>
      </c>
      <c r="K197" s="35" t="s">
        <v>18</v>
      </c>
      <c r="L197" s="36" t="e">
        <f>VLOOKUP(G197,#REF!,4,0)</f>
        <v>#REF!</v>
      </c>
      <c r="M197" s="37" t="e">
        <f>_xlfn.IFNA(VLOOKUP(G197,#REF!,2,0),"")</f>
        <v>#REF!</v>
      </c>
      <c r="N197" s="38" t="e">
        <f>_xlfn.IFNA(VLOOKUP(G197,#REF!,3,0),"")</f>
        <v>#REF!</v>
      </c>
      <c r="O197" s="39">
        <v>4</v>
      </c>
      <c r="P197" s="67">
        <v>53</v>
      </c>
      <c r="Q197" s="39" t="s">
        <v>10</v>
      </c>
      <c r="R197" s="34">
        <v>3.1</v>
      </c>
      <c r="S197" s="38">
        <v>200</v>
      </c>
      <c r="T197" s="40">
        <v>50</v>
      </c>
      <c r="U197" s="41">
        <f t="shared" si="26"/>
        <v>214.3</v>
      </c>
      <c r="V197" s="42">
        <f t="shared" si="22"/>
        <v>1.7858333333333334</v>
      </c>
      <c r="W197" s="43">
        <f t="shared" si="27"/>
        <v>0.26654228855721396</v>
      </c>
      <c r="X197" s="38"/>
      <c r="Y197" s="38"/>
      <c r="Z197" s="44"/>
      <c r="AA197" s="45">
        <v>46094</v>
      </c>
      <c r="AB197" s="45">
        <v>46118</v>
      </c>
      <c r="AC197" s="45"/>
      <c r="AD197" s="46" t="e">
        <f>IF(ISNA(VLOOKUP(D197,#REF!,5,0)),0,VLOOKUP(D197,#REF!,5,0))</f>
        <v>#REF!</v>
      </c>
      <c r="AE197" s="46" t="e">
        <f t="shared" si="23"/>
        <v>#REF!</v>
      </c>
      <c r="AF197" s="45">
        <v>46129</v>
      </c>
      <c r="AG197" s="33">
        <f t="shared" si="24"/>
        <v>35</v>
      </c>
      <c r="AH197" s="45">
        <v>46161</v>
      </c>
      <c r="AI197" s="39"/>
      <c r="AJ197" s="56">
        <f t="shared" si="25"/>
        <v>32</v>
      </c>
      <c r="AK197" s="39"/>
      <c r="AL197" s="35"/>
      <c r="AM197" s="34"/>
      <c r="AN197" s="34"/>
      <c r="AO197" s="39"/>
      <c r="AP197" s="47"/>
      <c r="AQ197" s="47"/>
      <c r="AR197" s="47"/>
      <c r="AS197" s="47"/>
    </row>
    <row r="198" spans="1:45" ht="12" customHeight="1" x14ac:dyDescent="0.25">
      <c r="A198" s="33">
        <v>197</v>
      </c>
      <c r="B198" s="34"/>
      <c r="C198" s="34" t="s">
        <v>448</v>
      </c>
      <c r="D198" s="35" t="s">
        <v>449</v>
      </c>
      <c r="E198" s="34" t="s">
        <v>61</v>
      </c>
      <c r="F198" s="34" t="s">
        <v>0</v>
      </c>
      <c r="G198" s="16" t="s">
        <v>242</v>
      </c>
      <c r="H198" s="34">
        <v>480</v>
      </c>
      <c r="I198" s="34" t="s">
        <v>54</v>
      </c>
      <c r="J198" s="34" t="s">
        <v>3</v>
      </c>
      <c r="K198" s="35" t="s">
        <v>18</v>
      </c>
      <c r="L198" s="36" t="e">
        <f>VLOOKUP(G198,#REF!,4,0)</f>
        <v>#REF!</v>
      </c>
      <c r="M198" s="37" t="e">
        <f>_xlfn.IFNA(VLOOKUP(G198,#REF!,2,0),"")</f>
        <v>#REF!</v>
      </c>
      <c r="N198" s="38" t="e">
        <f>_xlfn.IFNA(VLOOKUP(G198,#REF!,3,0),"")</f>
        <v>#REF!</v>
      </c>
      <c r="O198" s="39">
        <v>12</v>
      </c>
      <c r="P198" s="67">
        <v>159</v>
      </c>
      <c r="Q198" s="39" t="s">
        <v>10</v>
      </c>
      <c r="R198" s="34">
        <v>3.1</v>
      </c>
      <c r="S198" s="48">
        <f>SUMIF(C:C,C197,T:T)</f>
        <v>200</v>
      </c>
      <c r="T198" s="40">
        <v>150</v>
      </c>
      <c r="U198" s="41">
        <f t="shared" si="26"/>
        <v>642.90000000000009</v>
      </c>
      <c r="V198" s="42">
        <f t="shared" si="22"/>
        <v>1.3393750000000002</v>
      </c>
      <c r="W198" s="43">
        <f t="shared" si="27"/>
        <v>0.19990671641791047</v>
      </c>
      <c r="X198" s="38"/>
      <c r="Y198" s="38"/>
      <c r="Z198" s="44"/>
      <c r="AA198" s="45">
        <v>46094</v>
      </c>
      <c r="AB198" s="45">
        <v>46118</v>
      </c>
      <c r="AC198" s="45"/>
      <c r="AD198" s="46" t="e">
        <f>IF(ISNA(VLOOKUP(D198,#REF!,5,0)),0,VLOOKUP(D198,#REF!,5,0))</f>
        <v>#REF!</v>
      </c>
      <c r="AE198" s="46" t="e">
        <f t="shared" si="23"/>
        <v>#REF!</v>
      </c>
      <c r="AF198" s="45">
        <v>46129</v>
      </c>
      <c r="AG198" s="33">
        <f t="shared" si="24"/>
        <v>35</v>
      </c>
      <c r="AH198" s="45">
        <v>46161</v>
      </c>
      <c r="AI198" s="39"/>
      <c r="AJ198" s="56">
        <f t="shared" si="25"/>
        <v>32</v>
      </c>
      <c r="AK198" s="39"/>
      <c r="AL198" s="35"/>
      <c r="AM198" s="34"/>
      <c r="AN198" s="34"/>
      <c r="AO198" s="39"/>
      <c r="AP198" s="47"/>
      <c r="AQ198" s="47"/>
      <c r="AR198" s="47"/>
      <c r="AS198" s="47"/>
    </row>
    <row r="199" spans="1:45" ht="12" customHeight="1" x14ac:dyDescent="0.25">
      <c r="A199" s="33">
        <v>198</v>
      </c>
      <c r="B199" s="34"/>
      <c r="C199" s="34" t="s">
        <v>450</v>
      </c>
      <c r="D199" s="35" t="s">
        <v>451</v>
      </c>
      <c r="E199" s="34" t="s">
        <v>71</v>
      </c>
      <c r="F199" s="34" t="s">
        <v>72</v>
      </c>
      <c r="G199" s="16" t="s">
        <v>97</v>
      </c>
      <c r="H199" s="34">
        <v>240</v>
      </c>
      <c r="I199" s="34" t="s">
        <v>54</v>
      </c>
      <c r="J199" s="34" t="s">
        <v>255</v>
      </c>
      <c r="K199" s="35" t="s">
        <v>107</v>
      </c>
      <c r="L199" s="36" t="e">
        <f>VLOOKUP(G199,#REF!,4,0)</f>
        <v>#REF!</v>
      </c>
      <c r="M199" s="37" t="e">
        <f>_xlfn.IFNA(VLOOKUP(G199,#REF!,2,0),"")</f>
        <v>#REF!</v>
      </c>
      <c r="N199" s="38" t="e">
        <f>_xlfn.IFNA(VLOOKUP(G199,#REF!,3,0),"")</f>
        <v>#REF!</v>
      </c>
      <c r="O199" s="39">
        <v>6</v>
      </c>
      <c r="P199" s="67">
        <v>80.400000000000006</v>
      </c>
      <c r="Q199" s="39" t="s">
        <v>10</v>
      </c>
      <c r="R199" s="34">
        <v>4.0999999999999996</v>
      </c>
      <c r="S199" s="38">
        <v>500</v>
      </c>
      <c r="T199" s="40">
        <v>300</v>
      </c>
      <c r="U199" s="41">
        <f t="shared" si="26"/>
        <v>629.64</v>
      </c>
      <c r="V199" s="42">
        <f t="shared" si="22"/>
        <v>2.6234999999999999</v>
      </c>
      <c r="W199" s="43">
        <f t="shared" si="27"/>
        <v>0.39156716417910448</v>
      </c>
      <c r="X199" s="38">
        <v>428.1</v>
      </c>
      <c r="Y199" s="38">
        <v>256.86</v>
      </c>
      <c r="Z199" s="44" t="s">
        <v>96</v>
      </c>
      <c r="AA199" s="45">
        <v>46094</v>
      </c>
      <c r="AB199" s="45">
        <v>46138</v>
      </c>
      <c r="AC199" s="45"/>
      <c r="AD199" s="46" t="e">
        <f>IF(ISNA(VLOOKUP(D199,#REF!,5,0)),0,VLOOKUP(D199,#REF!,5,0))</f>
        <v>#REF!</v>
      </c>
      <c r="AE199" s="46" t="e">
        <f t="shared" si="23"/>
        <v>#REF!</v>
      </c>
      <c r="AF199" s="45">
        <v>46143</v>
      </c>
      <c r="AG199" s="33">
        <f t="shared" si="24"/>
        <v>49</v>
      </c>
      <c r="AH199" s="45">
        <v>46174</v>
      </c>
      <c r="AI199" s="39"/>
      <c r="AJ199" s="56">
        <f t="shared" si="25"/>
        <v>31</v>
      </c>
      <c r="AK199" s="39"/>
      <c r="AL199" s="35"/>
      <c r="AM199" s="34"/>
      <c r="AN199" s="34"/>
      <c r="AO199" s="39"/>
      <c r="AP199" s="47"/>
      <c r="AQ199" s="47"/>
      <c r="AR199" s="47"/>
      <c r="AS199" s="47"/>
    </row>
    <row r="200" spans="1:45" ht="12" customHeight="1" x14ac:dyDescent="0.25">
      <c r="A200" s="33">
        <v>199</v>
      </c>
      <c r="B200" s="34"/>
      <c r="C200" s="34" t="s">
        <v>450</v>
      </c>
      <c r="D200" s="35" t="s">
        <v>451</v>
      </c>
      <c r="E200" s="34" t="s">
        <v>71</v>
      </c>
      <c r="F200" s="34" t="s">
        <v>72</v>
      </c>
      <c r="G200" s="16" t="s">
        <v>98</v>
      </c>
      <c r="H200" s="34">
        <v>80</v>
      </c>
      <c r="I200" s="34" t="s">
        <v>54</v>
      </c>
      <c r="J200" s="34" t="s">
        <v>255</v>
      </c>
      <c r="K200" s="35" t="s">
        <v>107</v>
      </c>
      <c r="L200" s="36" t="e">
        <f>VLOOKUP(G200,#REF!,4,0)</f>
        <v>#REF!</v>
      </c>
      <c r="M200" s="37" t="e">
        <f>_xlfn.IFNA(VLOOKUP(G200,#REF!,2,0),"")</f>
        <v>#REF!</v>
      </c>
      <c r="N200" s="38" t="e">
        <f>_xlfn.IFNA(VLOOKUP(G200,#REF!,3,0),"")</f>
        <v>#REF!</v>
      </c>
      <c r="O200" s="39">
        <v>2</v>
      </c>
      <c r="P200" s="67">
        <v>26.8</v>
      </c>
      <c r="Q200" s="39" t="s">
        <v>10</v>
      </c>
      <c r="R200" s="34">
        <v>4.0999999999999996</v>
      </c>
      <c r="S200" s="48">
        <f>SUMIF(C:C,C199,T:T)</f>
        <v>500</v>
      </c>
      <c r="T200" s="40">
        <v>100</v>
      </c>
      <c r="U200" s="41">
        <f t="shared" si="26"/>
        <v>209.88</v>
      </c>
      <c r="V200" s="42">
        <f t="shared" si="22"/>
        <v>2.6234999999999999</v>
      </c>
      <c r="W200" s="43">
        <f t="shared" si="27"/>
        <v>0.39156716417910448</v>
      </c>
      <c r="X200" s="38"/>
      <c r="Y200" s="38">
        <v>85.62</v>
      </c>
      <c r="Z200" s="44" t="s">
        <v>96</v>
      </c>
      <c r="AA200" s="45">
        <v>46094</v>
      </c>
      <c r="AB200" s="45">
        <v>46138</v>
      </c>
      <c r="AC200" s="45"/>
      <c r="AD200" s="46" t="e">
        <f>IF(ISNA(VLOOKUP(D200,#REF!,5,0)),0,VLOOKUP(D200,#REF!,5,0))</f>
        <v>#REF!</v>
      </c>
      <c r="AE200" s="46" t="e">
        <f t="shared" si="23"/>
        <v>#REF!</v>
      </c>
      <c r="AF200" s="45">
        <v>46143</v>
      </c>
      <c r="AG200" s="33">
        <f t="shared" si="24"/>
        <v>49</v>
      </c>
      <c r="AH200" s="45">
        <v>46174</v>
      </c>
      <c r="AI200" s="39"/>
      <c r="AJ200" s="56">
        <f t="shared" si="25"/>
        <v>31</v>
      </c>
      <c r="AK200" s="39"/>
      <c r="AL200" s="35"/>
      <c r="AM200" s="34"/>
      <c r="AN200" s="34"/>
      <c r="AO200" s="39"/>
      <c r="AP200" s="47"/>
      <c r="AQ200" s="47"/>
      <c r="AR200" s="47"/>
      <c r="AS200" s="47"/>
    </row>
    <row r="201" spans="1:45" ht="12" customHeight="1" x14ac:dyDescent="0.25">
      <c r="A201" s="33">
        <v>200</v>
      </c>
      <c r="B201" s="34"/>
      <c r="C201" s="34" t="s">
        <v>450</v>
      </c>
      <c r="D201" s="35" t="s">
        <v>451</v>
      </c>
      <c r="E201" s="34" t="s">
        <v>71</v>
      </c>
      <c r="F201" s="34" t="s">
        <v>72</v>
      </c>
      <c r="G201" s="16" t="s">
        <v>119</v>
      </c>
      <c r="H201" s="34">
        <v>60</v>
      </c>
      <c r="I201" s="34" t="s">
        <v>54</v>
      </c>
      <c r="J201" s="34" t="s">
        <v>255</v>
      </c>
      <c r="K201" s="35" t="s">
        <v>107</v>
      </c>
      <c r="L201" s="36" t="e">
        <f>VLOOKUP(G201,#REF!,4,0)</f>
        <v>#REF!</v>
      </c>
      <c r="M201" s="37" t="e">
        <f>_xlfn.IFNA(VLOOKUP(G201,#REF!,2,0),"")</f>
        <v>#REF!</v>
      </c>
      <c r="N201" s="38" t="e">
        <f>_xlfn.IFNA(VLOOKUP(G201,#REF!,3,0),"")</f>
        <v>#REF!</v>
      </c>
      <c r="O201" s="39">
        <v>2</v>
      </c>
      <c r="P201" s="67">
        <v>26.8</v>
      </c>
      <c r="Q201" s="39" t="s">
        <v>10</v>
      </c>
      <c r="R201" s="34">
        <v>4.0999999999999996</v>
      </c>
      <c r="S201" s="38"/>
      <c r="T201" s="40">
        <v>100</v>
      </c>
      <c r="U201" s="41">
        <f t="shared" si="26"/>
        <v>209.88</v>
      </c>
      <c r="V201" s="42">
        <f t="shared" si="22"/>
        <v>3.4979999999999998</v>
      </c>
      <c r="W201" s="43">
        <f t="shared" si="27"/>
        <v>0.52208955223880593</v>
      </c>
      <c r="X201" s="38"/>
      <c r="Y201" s="38">
        <v>85.62</v>
      </c>
      <c r="Z201" s="44" t="s">
        <v>96</v>
      </c>
      <c r="AA201" s="45">
        <v>46094</v>
      </c>
      <c r="AB201" s="45">
        <v>46138</v>
      </c>
      <c r="AC201" s="45"/>
      <c r="AD201" s="46" t="e">
        <f>IF(ISNA(VLOOKUP(D201,#REF!,5,0)),0,VLOOKUP(D201,#REF!,5,0))</f>
        <v>#REF!</v>
      </c>
      <c r="AE201" s="46" t="e">
        <f t="shared" si="23"/>
        <v>#REF!</v>
      </c>
      <c r="AF201" s="45">
        <v>46143</v>
      </c>
      <c r="AG201" s="33">
        <f t="shared" si="24"/>
        <v>49</v>
      </c>
      <c r="AH201" s="45">
        <v>46174</v>
      </c>
      <c r="AI201" s="39"/>
      <c r="AJ201" s="56">
        <f t="shared" si="25"/>
        <v>31</v>
      </c>
      <c r="AK201" s="39"/>
      <c r="AL201" s="35"/>
      <c r="AM201" s="34"/>
      <c r="AN201" s="34"/>
      <c r="AO201" s="39"/>
      <c r="AP201" s="47"/>
      <c r="AQ201" s="47"/>
      <c r="AR201" s="47"/>
      <c r="AS201" s="47"/>
    </row>
    <row r="202" spans="1:45" ht="12" customHeight="1" x14ac:dyDescent="0.25">
      <c r="A202" s="33">
        <v>201</v>
      </c>
      <c r="B202" s="34"/>
      <c r="C202" s="34" t="s">
        <v>452</v>
      </c>
      <c r="D202" s="35" t="s">
        <v>453</v>
      </c>
      <c r="E202" s="34" t="s">
        <v>194</v>
      </c>
      <c r="F202" s="34" t="s">
        <v>195</v>
      </c>
      <c r="G202" s="16" t="s">
        <v>97</v>
      </c>
      <c r="H202" s="34">
        <v>240</v>
      </c>
      <c r="I202" s="34" t="s">
        <v>66</v>
      </c>
      <c r="J202" s="34" t="s">
        <v>234</v>
      </c>
      <c r="K202" s="35" t="s">
        <v>454</v>
      </c>
      <c r="L202" s="36" t="e">
        <f>VLOOKUP(G202,#REF!,4,0)</f>
        <v>#REF!</v>
      </c>
      <c r="M202" s="37" t="e">
        <f>_xlfn.IFNA(VLOOKUP(G202,#REF!,2,0),"")</f>
        <v>#REF!</v>
      </c>
      <c r="N202" s="38" t="e">
        <f>_xlfn.IFNA(VLOOKUP(G202,#REF!,3,0),"")</f>
        <v>#REF!</v>
      </c>
      <c r="O202" s="39">
        <v>6</v>
      </c>
      <c r="P202" s="67">
        <v>81.599999999999994</v>
      </c>
      <c r="Q202" s="39" t="s">
        <v>10</v>
      </c>
      <c r="R202" s="34">
        <v>6.7</v>
      </c>
      <c r="S202" s="38">
        <v>250</v>
      </c>
      <c r="T202" s="40">
        <v>150</v>
      </c>
      <c r="U202" s="41">
        <f t="shared" si="26"/>
        <v>696.72</v>
      </c>
      <c r="V202" s="42">
        <f t="shared" si="22"/>
        <v>2.903</v>
      </c>
      <c r="W202" s="43">
        <f t="shared" si="27"/>
        <v>0.43328358208955225</v>
      </c>
      <c r="X202" s="38"/>
      <c r="Y202" s="38"/>
      <c r="Z202" s="44" t="s">
        <v>96</v>
      </c>
      <c r="AA202" s="45">
        <v>46095</v>
      </c>
      <c r="AB202" s="45">
        <v>46130</v>
      </c>
      <c r="AC202" s="45"/>
      <c r="AD202" s="46" t="e">
        <f>IF(ISNA(VLOOKUP(D202,#REF!,5,0)),0,VLOOKUP(D202,#REF!,5,0))</f>
        <v>#REF!</v>
      </c>
      <c r="AE202" s="46" t="e">
        <f t="shared" si="23"/>
        <v>#REF!</v>
      </c>
      <c r="AF202" s="45">
        <v>46164</v>
      </c>
      <c r="AG202" s="33">
        <f t="shared" si="24"/>
        <v>69</v>
      </c>
      <c r="AH202" s="45"/>
      <c r="AI202" s="39"/>
      <c r="AJ202" s="56">
        <f t="shared" si="25"/>
        <v>-46164</v>
      </c>
      <c r="AK202" s="39"/>
      <c r="AL202" s="35"/>
      <c r="AM202" s="34"/>
      <c r="AN202" s="34"/>
      <c r="AO202" s="39"/>
      <c r="AP202" s="47"/>
      <c r="AQ202" s="47"/>
      <c r="AR202" s="47"/>
      <c r="AS202" s="47"/>
    </row>
    <row r="203" spans="1:45" ht="12" customHeight="1" x14ac:dyDescent="0.25">
      <c r="A203" s="33">
        <v>202</v>
      </c>
      <c r="B203" s="34"/>
      <c r="C203" s="34" t="s">
        <v>452</v>
      </c>
      <c r="D203" s="35" t="s">
        <v>453</v>
      </c>
      <c r="E203" s="34" t="s">
        <v>194</v>
      </c>
      <c r="F203" s="34" t="s">
        <v>195</v>
      </c>
      <c r="G203" s="16" t="s">
        <v>65</v>
      </c>
      <c r="H203" s="34">
        <v>160</v>
      </c>
      <c r="I203" s="34" t="s">
        <v>66</v>
      </c>
      <c r="J203" s="34" t="s">
        <v>234</v>
      </c>
      <c r="K203" s="35" t="s">
        <v>454</v>
      </c>
      <c r="L203" s="36" t="e">
        <f>VLOOKUP(G203,#REF!,4,0)</f>
        <v>#REF!</v>
      </c>
      <c r="M203" s="37" t="e">
        <f>_xlfn.IFNA(VLOOKUP(G203,#REF!,2,0),"")</f>
        <v>#REF!</v>
      </c>
      <c r="N203" s="38" t="e">
        <f>_xlfn.IFNA(VLOOKUP(G203,#REF!,3,0),"")</f>
        <v>#REF!</v>
      </c>
      <c r="O203" s="39">
        <v>4</v>
      </c>
      <c r="P203" s="67">
        <v>54.4</v>
      </c>
      <c r="Q203" s="39" t="s">
        <v>10</v>
      </c>
      <c r="R203" s="34">
        <v>6.7</v>
      </c>
      <c r="S203" s="48">
        <f>SUMIF(C:C,C202,T:T)</f>
        <v>250</v>
      </c>
      <c r="T203" s="40">
        <v>100</v>
      </c>
      <c r="U203" s="41">
        <f t="shared" si="26"/>
        <v>464.48</v>
      </c>
      <c r="V203" s="42">
        <f t="shared" si="22"/>
        <v>2.903</v>
      </c>
      <c r="W203" s="43">
        <f t="shared" si="27"/>
        <v>0.43328358208955225</v>
      </c>
      <c r="X203" s="38"/>
      <c r="Y203" s="38"/>
      <c r="Z203" s="44" t="s">
        <v>96</v>
      </c>
      <c r="AA203" s="45">
        <v>46095</v>
      </c>
      <c r="AB203" s="45">
        <v>46130</v>
      </c>
      <c r="AC203" s="45"/>
      <c r="AD203" s="46" t="e">
        <f>IF(ISNA(VLOOKUP(D203,#REF!,5,0)),0,VLOOKUP(D203,#REF!,5,0))</f>
        <v>#REF!</v>
      </c>
      <c r="AE203" s="46" t="e">
        <f t="shared" si="23"/>
        <v>#REF!</v>
      </c>
      <c r="AF203" s="45">
        <v>46164</v>
      </c>
      <c r="AG203" s="33">
        <f t="shared" si="24"/>
        <v>69</v>
      </c>
      <c r="AH203" s="45"/>
      <c r="AI203" s="39"/>
      <c r="AJ203" s="56">
        <f t="shared" si="25"/>
        <v>-46164</v>
      </c>
      <c r="AK203" s="39"/>
      <c r="AL203" s="35"/>
      <c r="AM203" s="34"/>
      <c r="AN203" s="34"/>
      <c r="AO203" s="39"/>
      <c r="AP203" s="47"/>
      <c r="AQ203" s="47"/>
      <c r="AR203" s="47"/>
      <c r="AS203" s="47"/>
    </row>
    <row r="204" spans="1:45" ht="12" customHeight="1" x14ac:dyDescent="0.25">
      <c r="A204" s="33">
        <v>203</v>
      </c>
      <c r="B204" s="34"/>
      <c r="C204" s="34" t="s">
        <v>455</v>
      </c>
      <c r="D204" s="35" t="s">
        <v>456</v>
      </c>
      <c r="E204" s="34" t="s">
        <v>58</v>
      </c>
      <c r="F204" s="34" t="s">
        <v>0</v>
      </c>
      <c r="G204" s="16" t="s">
        <v>205</v>
      </c>
      <c r="H204" s="34">
        <v>510</v>
      </c>
      <c r="I204" s="34" t="s">
        <v>509</v>
      </c>
      <c r="J204" s="34" t="s">
        <v>3</v>
      </c>
      <c r="K204" s="35" t="s">
        <v>19</v>
      </c>
      <c r="L204" s="36" t="e">
        <f>VLOOKUP(G204,#REF!,4,0)</f>
        <v>#REF!</v>
      </c>
      <c r="M204" s="37" t="e">
        <f>_xlfn.IFNA(VLOOKUP(G204,#REF!,2,0),"")</f>
        <v>#REF!</v>
      </c>
      <c r="N204" s="38" t="e">
        <f>_xlfn.IFNA(VLOOKUP(G204,#REF!,3,0),"")</f>
        <v>#REF!</v>
      </c>
      <c r="O204" s="39">
        <v>17</v>
      </c>
      <c r="P204" s="67">
        <v>273</v>
      </c>
      <c r="Q204" s="39" t="s">
        <v>10</v>
      </c>
      <c r="R204" s="34">
        <v>3.2</v>
      </c>
      <c r="S204" s="38">
        <v>200</v>
      </c>
      <c r="T204" s="40">
        <v>200</v>
      </c>
      <c r="U204" s="41">
        <f t="shared" si="26"/>
        <v>1073.5999999999999</v>
      </c>
      <c r="V204" s="42">
        <f t="shared" si="22"/>
        <v>2.1050980392156862</v>
      </c>
      <c r="W204" s="43">
        <f t="shared" si="27"/>
        <v>0.31419373719637106</v>
      </c>
      <c r="X204" s="38"/>
      <c r="Y204" s="38"/>
      <c r="Z204" s="44" t="s">
        <v>96</v>
      </c>
      <c r="AA204" s="45">
        <v>46095</v>
      </c>
      <c r="AB204" s="45">
        <v>46116</v>
      </c>
      <c r="AC204" s="45"/>
      <c r="AD204" s="46" t="e">
        <f>IF(ISNA(VLOOKUP(D204,#REF!,5,0)),0,VLOOKUP(D204,#REF!,5,0))</f>
        <v>#REF!</v>
      </c>
      <c r="AE204" s="46" t="e">
        <f t="shared" si="23"/>
        <v>#REF!</v>
      </c>
      <c r="AF204" s="45">
        <v>46123</v>
      </c>
      <c r="AG204" s="33">
        <f t="shared" si="24"/>
        <v>28</v>
      </c>
      <c r="AH204" s="45">
        <v>46154</v>
      </c>
      <c r="AI204" s="39"/>
      <c r="AJ204" s="56">
        <f t="shared" si="25"/>
        <v>31</v>
      </c>
      <c r="AK204" s="39"/>
      <c r="AL204" s="35"/>
      <c r="AM204" s="34"/>
      <c r="AN204" s="34"/>
      <c r="AO204" s="39"/>
      <c r="AP204" s="47"/>
      <c r="AQ204" s="47"/>
      <c r="AR204" s="47"/>
      <c r="AS204" s="47"/>
    </row>
    <row r="205" spans="1:45" ht="12" customHeight="1" x14ac:dyDescent="0.25">
      <c r="A205" s="33">
        <v>204</v>
      </c>
      <c r="B205" s="34"/>
      <c r="C205" s="34" t="s">
        <v>132</v>
      </c>
      <c r="D205" s="35" t="s">
        <v>457</v>
      </c>
      <c r="E205" s="34" t="s">
        <v>58</v>
      </c>
      <c r="F205" s="34" t="s">
        <v>0</v>
      </c>
      <c r="G205" s="16" t="s">
        <v>205</v>
      </c>
      <c r="H205" s="34">
        <v>1800</v>
      </c>
      <c r="I205" s="34" t="s">
        <v>66</v>
      </c>
      <c r="J205" s="34" t="s">
        <v>261</v>
      </c>
      <c r="K205" s="35" t="s">
        <v>19</v>
      </c>
      <c r="L205" s="36" t="e">
        <f>VLOOKUP(G205,#REF!,4,0)</f>
        <v>#REF!</v>
      </c>
      <c r="M205" s="37" t="e">
        <f>_xlfn.IFNA(VLOOKUP(G205,#REF!,2,0),"")</f>
        <v>#REF!</v>
      </c>
      <c r="N205" s="38" t="e">
        <f>_xlfn.IFNA(VLOOKUP(G205,#REF!,3,0),"")</f>
        <v>#REF!</v>
      </c>
      <c r="O205" s="39">
        <v>60</v>
      </c>
      <c r="P205" s="67">
        <v>968.99999999999989</v>
      </c>
      <c r="Q205" s="39" t="s">
        <v>10</v>
      </c>
      <c r="R205" s="34">
        <v>4.2</v>
      </c>
      <c r="S205" s="38">
        <v>200</v>
      </c>
      <c r="T205" s="40">
        <v>200</v>
      </c>
      <c r="U205" s="41">
        <f t="shared" si="26"/>
        <v>4269.7999999999993</v>
      </c>
      <c r="V205" s="42">
        <f t="shared" si="22"/>
        <v>2.3721111111111108</v>
      </c>
      <c r="W205" s="43">
        <f t="shared" si="27"/>
        <v>0.35404643449419565</v>
      </c>
      <c r="X205" s="38"/>
      <c r="Y205" s="38"/>
      <c r="Z205" s="44" t="s">
        <v>96</v>
      </c>
      <c r="AA205" s="45">
        <v>46095</v>
      </c>
      <c r="AB205" s="45">
        <v>46114</v>
      </c>
      <c r="AC205" s="45"/>
      <c r="AD205" s="46" t="e">
        <f>IF(ISNA(VLOOKUP(D205,#REF!,5,0)),0,VLOOKUP(D205,#REF!,5,0))</f>
        <v>#REF!</v>
      </c>
      <c r="AE205" s="46" t="e">
        <f t="shared" si="23"/>
        <v>#REF!</v>
      </c>
      <c r="AF205" s="45">
        <v>46123</v>
      </c>
      <c r="AG205" s="33">
        <f t="shared" si="24"/>
        <v>28</v>
      </c>
      <c r="AH205" s="45">
        <v>46157</v>
      </c>
      <c r="AI205" s="39"/>
      <c r="AJ205" s="56">
        <f t="shared" si="25"/>
        <v>34</v>
      </c>
      <c r="AK205" s="39"/>
      <c r="AL205" s="35"/>
      <c r="AM205" s="34"/>
      <c r="AN205" s="34"/>
      <c r="AO205" s="39"/>
      <c r="AP205" s="47"/>
      <c r="AQ205" s="47"/>
      <c r="AR205" s="47"/>
      <c r="AS205" s="47"/>
    </row>
    <row r="206" spans="1:45" ht="12" customHeight="1" x14ac:dyDescent="0.25">
      <c r="A206" s="33">
        <v>205</v>
      </c>
      <c r="B206" s="34"/>
      <c r="C206" s="34" t="s">
        <v>458</v>
      </c>
      <c r="D206" s="35" t="s">
        <v>810</v>
      </c>
      <c r="E206" s="34" t="s">
        <v>58</v>
      </c>
      <c r="F206" s="34" t="s">
        <v>0</v>
      </c>
      <c r="G206" s="16" t="s">
        <v>64</v>
      </c>
      <c r="H206" s="34">
        <v>1400</v>
      </c>
      <c r="I206" s="34" t="s">
        <v>66</v>
      </c>
      <c r="J206" s="34" t="s">
        <v>3</v>
      </c>
      <c r="K206" s="35" t="s">
        <v>15</v>
      </c>
      <c r="L206" s="36" t="e">
        <f>VLOOKUP(G206,#REF!,4,0)</f>
        <v>#REF!</v>
      </c>
      <c r="M206" s="37" t="e">
        <f>_xlfn.IFNA(VLOOKUP(G206,#REF!,2,0),"")</f>
        <v>#REF!</v>
      </c>
      <c r="N206" s="38" t="e">
        <f>_xlfn.IFNA(VLOOKUP(G206,#REF!,3,0),"")</f>
        <v>#REF!</v>
      </c>
      <c r="O206" s="39">
        <v>35</v>
      </c>
      <c r="P206" s="67">
        <v>535.15</v>
      </c>
      <c r="Q206" s="39" t="s">
        <v>10</v>
      </c>
      <c r="R206" s="34">
        <v>3.5</v>
      </c>
      <c r="S206" s="38">
        <v>200</v>
      </c>
      <c r="T206" s="40">
        <v>41.420118343195263</v>
      </c>
      <c r="U206" s="41">
        <f t="shared" si="26"/>
        <v>1914.4451183431952</v>
      </c>
      <c r="V206" s="42">
        <f t="shared" si="22"/>
        <v>1.3674607988165679</v>
      </c>
      <c r="W206" s="43">
        <f t="shared" si="27"/>
        <v>0.20409862668903997</v>
      </c>
      <c r="X206" s="38"/>
      <c r="Y206" s="38"/>
      <c r="Z206" s="44" t="s">
        <v>96</v>
      </c>
      <c r="AA206" s="45">
        <v>46095</v>
      </c>
      <c r="AB206" s="45">
        <v>46116</v>
      </c>
      <c r="AC206" s="45"/>
      <c r="AD206" s="46" t="e">
        <f>IF(ISNA(VLOOKUP(D206,#REF!,5,0)),0,VLOOKUP(D206,#REF!,5,0))</f>
        <v>#REF!</v>
      </c>
      <c r="AE206" s="46" t="e">
        <f t="shared" si="23"/>
        <v>#REF!</v>
      </c>
      <c r="AF206" s="45">
        <v>46122</v>
      </c>
      <c r="AG206" s="33">
        <f t="shared" si="24"/>
        <v>27</v>
      </c>
      <c r="AH206" s="45">
        <v>46182</v>
      </c>
      <c r="AI206" s="39"/>
      <c r="AJ206" s="56">
        <f t="shared" si="25"/>
        <v>60</v>
      </c>
      <c r="AK206" s="39"/>
      <c r="AL206" s="35"/>
      <c r="AM206" s="34"/>
      <c r="AN206" s="34"/>
      <c r="AO206" s="39"/>
      <c r="AP206" s="47"/>
      <c r="AQ206" s="47"/>
      <c r="AR206" s="47"/>
      <c r="AS206" s="47"/>
    </row>
    <row r="207" spans="1:45" ht="12" customHeight="1" x14ac:dyDescent="0.25">
      <c r="A207" s="33">
        <v>206</v>
      </c>
      <c r="B207" s="34"/>
      <c r="C207" s="34" t="s">
        <v>458</v>
      </c>
      <c r="D207" s="35" t="s">
        <v>459</v>
      </c>
      <c r="E207" s="34" t="s">
        <v>58</v>
      </c>
      <c r="F207" s="34" t="s">
        <v>0</v>
      </c>
      <c r="G207" s="16" t="s">
        <v>149</v>
      </c>
      <c r="H207" s="34">
        <v>120</v>
      </c>
      <c r="I207" s="34" t="s">
        <v>66</v>
      </c>
      <c r="J207" s="34" t="s">
        <v>3</v>
      </c>
      <c r="K207" s="35" t="s">
        <v>15</v>
      </c>
      <c r="L207" s="36" t="e">
        <f>VLOOKUP(G207,#REF!,4,0)</f>
        <v>#REF!</v>
      </c>
      <c r="M207" s="37" t="e">
        <f>_xlfn.IFNA(VLOOKUP(G207,#REF!,2,0),"")</f>
        <v>#REF!</v>
      </c>
      <c r="N207" s="38" t="e">
        <f>_xlfn.IFNA(VLOOKUP(G207,#REF!,3,0),"")</f>
        <v>#REF!</v>
      </c>
      <c r="O207" s="39">
        <v>3</v>
      </c>
      <c r="P207" s="67">
        <v>45.870000000000005</v>
      </c>
      <c r="Q207" s="39" t="s">
        <v>10</v>
      </c>
      <c r="R207" s="34">
        <v>3.5</v>
      </c>
      <c r="S207" s="48">
        <f>SUMIF(C:C,C206,T:T)</f>
        <v>200</v>
      </c>
      <c r="T207" s="40">
        <v>3.5502958579881656</v>
      </c>
      <c r="U207" s="41">
        <f t="shared" si="26"/>
        <v>164.09529585798819</v>
      </c>
      <c r="V207" s="42">
        <f t="shared" si="22"/>
        <v>1.3674607988165683</v>
      </c>
      <c r="W207" s="43">
        <f t="shared" si="27"/>
        <v>0.20409862668904005</v>
      </c>
      <c r="X207" s="38"/>
      <c r="Y207" s="38"/>
      <c r="Z207" s="44" t="s">
        <v>96</v>
      </c>
      <c r="AA207" s="45">
        <v>46095</v>
      </c>
      <c r="AB207" s="45">
        <v>46116</v>
      </c>
      <c r="AC207" s="45"/>
      <c r="AD207" s="46" t="e">
        <f>IF(ISNA(VLOOKUP(D207,#REF!,5,0)),0,VLOOKUP(D207,#REF!,5,0))</f>
        <v>#REF!</v>
      </c>
      <c r="AE207" s="46" t="e">
        <f t="shared" si="23"/>
        <v>#REF!</v>
      </c>
      <c r="AF207" s="45">
        <v>46122</v>
      </c>
      <c r="AG207" s="33">
        <f t="shared" si="24"/>
        <v>27</v>
      </c>
      <c r="AH207" s="45">
        <v>46182</v>
      </c>
      <c r="AI207" s="39"/>
      <c r="AJ207" s="56">
        <f t="shared" si="25"/>
        <v>60</v>
      </c>
      <c r="AK207" s="39"/>
      <c r="AL207" s="35"/>
      <c r="AM207" s="34"/>
      <c r="AN207" s="34"/>
      <c r="AO207" s="39"/>
      <c r="AP207" s="47"/>
      <c r="AQ207" s="47"/>
      <c r="AR207" s="47"/>
      <c r="AS207" s="47"/>
    </row>
    <row r="208" spans="1:45" ht="12" customHeight="1" x14ac:dyDescent="0.25">
      <c r="A208" s="33">
        <v>207</v>
      </c>
      <c r="B208" s="34"/>
      <c r="C208" s="34" t="s">
        <v>458</v>
      </c>
      <c r="D208" s="35" t="s">
        <v>459</v>
      </c>
      <c r="E208" s="34" t="s">
        <v>58</v>
      </c>
      <c r="F208" s="34" t="s">
        <v>0</v>
      </c>
      <c r="G208" s="16" t="s">
        <v>65</v>
      </c>
      <c r="H208" s="34">
        <v>600</v>
      </c>
      <c r="I208" s="34" t="s">
        <v>66</v>
      </c>
      <c r="J208" s="34" t="s">
        <v>3</v>
      </c>
      <c r="K208" s="35" t="s">
        <v>15</v>
      </c>
      <c r="L208" s="36" t="e">
        <f>VLOOKUP(G208,#REF!,4,0)</f>
        <v>#REF!</v>
      </c>
      <c r="M208" s="37" t="e">
        <f>_xlfn.IFNA(VLOOKUP(G208,#REF!,2,0),"")</f>
        <v>#REF!</v>
      </c>
      <c r="N208" s="38" t="e">
        <f>_xlfn.IFNA(VLOOKUP(G208,#REF!,3,0),"")</f>
        <v>#REF!</v>
      </c>
      <c r="O208" s="39">
        <v>15</v>
      </c>
      <c r="P208" s="67">
        <v>229.35000000000002</v>
      </c>
      <c r="Q208" s="39" t="s">
        <v>10</v>
      </c>
      <c r="R208" s="34">
        <v>3.5</v>
      </c>
      <c r="S208" s="38"/>
      <c r="T208" s="40">
        <v>17.751479289940828</v>
      </c>
      <c r="U208" s="41">
        <f t="shared" si="26"/>
        <v>820.47647928994093</v>
      </c>
      <c r="V208" s="42">
        <f t="shared" si="22"/>
        <v>1.3674607988165681</v>
      </c>
      <c r="W208" s="43">
        <f t="shared" si="27"/>
        <v>0.20409862668904002</v>
      </c>
      <c r="X208" s="38"/>
      <c r="Y208" s="38"/>
      <c r="Z208" s="44" t="s">
        <v>96</v>
      </c>
      <c r="AA208" s="45">
        <v>46095</v>
      </c>
      <c r="AB208" s="45">
        <v>46116</v>
      </c>
      <c r="AC208" s="45"/>
      <c r="AD208" s="46" t="e">
        <f>IF(ISNA(VLOOKUP(D208,#REF!,5,0)),0,VLOOKUP(D208,#REF!,5,0))</f>
        <v>#REF!</v>
      </c>
      <c r="AE208" s="46" t="e">
        <f t="shared" si="23"/>
        <v>#REF!</v>
      </c>
      <c r="AF208" s="45">
        <v>46122</v>
      </c>
      <c r="AG208" s="33">
        <f t="shared" si="24"/>
        <v>27</v>
      </c>
      <c r="AH208" s="45">
        <v>46182</v>
      </c>
      <c r="AI208" s="39"/>
      <c r="AJ208" s="56">
        <f t="shared" si="25"/>
        <v>60</v>
      </c>
      <c r="AK208" s="39"/>
      <c r="AL208" s="35"/>
      <c r="AM208" s="34"/>
      <c r="AN208" s="34"/>
      <c r="AO208" s="39"/>
      <c r="AP208" s="47"/>
      <c r="AQ208" s="47"/>
      <c r="AR208" s="47"/>
      <c r="AS208" s="47"/>
    </row>
    <row r="209" spans="1:45" ht="12" customHeight="1" x14ac:dyDescent="0.25">
      <c r="A209" s="33">
        <v>208</v>
      </c>
      <c r="B209" s="34"/>
      <c r="C209" s="34" t="s">
        <v>458</v>
      </c>
      <c r="D209" s="35" t="s">
        <v>459</v>
      </c>
      <c r="E209" s="34" t="s">
        <v>58</v>
      </c>
      <c r="F209" s="34" t="s">
        <v>0</v>
      </c>
      <c r="G209" s="16" t="s">
        <v>135</v>
      </c>
      <c r="H209" s="34">
        <v>200</v>
      </c>
      <c r="I209" s="34" t="s">
        <v>66</v>
      </c>
      <c r="J209" s="34" t="s">
        <v>3</v>
      </c>
      <c r="K209" s="35" t="s">
        <v>15</v>
      </c>
      <c r="L209" s="36" t="e">
        <f>VLOOKUP(G209,#REF!,4,0)</f>
        <v>#REF!</v>
      </c>
      <c r="M209" s="37" t="e">
        <f>_xlfn.IFNA(VLOOKUP(G209,#REF!,2,0),"")</f>
        <v>#REF!</v>
      </c>
      <c r="N209" s="38" t="e">
        <f>_xlfn.IFNA(VLOOKUP(G209,#REF!,3,0),"")</f>
        <v>#REF!</v>
      </c>
      <c r="O209" s="39">
        <v>5</v>
      </c>
      <c r="P209" s="67">
        <v>76.45</v>
      </c>
      <c r="Q209" s="39" t="s">
        <v>10</v>
      </c>
      <c r="R209" s="34">
        <v>3.5</v>
      </c>
      <c r="S209" s="38"/>
      <c r="T209" s="40">
        <v>5.9171597633136095</v>
      </c>
      <c r="U209" s="41">
        <f t="shared" si="26"/>
        <v>273.49215976331362</v>
      </c>
      <c r="V209" s="42">
        <f t="shared" si="22"/>
        <v>1.3674607988165681</v>
      </c>
      <c r="W209" s="43">
        <f t="shared" si="27"/>
        <v>0.20409862668904002</v>
      </c>
      <c r="X209" s="38"/>
      <c r="Y209" s="38"/>
      <c r="Z209" s="44" t="s">
        <v>96</v>
      </c>
      <c r="AA209" s="45">
        <v>46095</v>
      </c>
      <c r="AB209" s="45">
        <v>46116</v>
      </c>
      <c r="AC209" s="45"/>
      <c r="AD209" s="46" t="e">
        <f>IF(ISNA(VLOOKUP(D209,#REF!,5,0)),0,VLOOKUP(D209,#REF!,5,0))</f>
        <v>#REF!</v>
      </c>
      <c r="AE209" s="46" t="e">
        <f t="shared" ref="AE209:AE272" si="28">AD209*H209</f>
        <v>#REF!</v>
      </c>
      <c r="AF209" s="45">
        <v>46122</v>
      </c>
      <c r="AG209" s="33">
        <f t="shared" si="24"/>
        <v>27</v>
      </c>
      <c r="AH209" s="45">
        <v>46182</v>
      </c>
      <c r="AI209" s="39"/>
      <c r="AJ209" s="56">
        <f t="shared" si="25"/>
        <v>60</v>
      </c>
      <c r="AK209" s="39"/>
      <c r="AL209" s="35"/>
      <c r="AM209" s="34"/>
      <c r="AN209" s="34"/>
      <c r="AO209" s="39"/>
      <c r="AP209" s="47"/>
      <c r="AQ209" s="47"/>
      <c r="AR209" s="47"/>
      <c r="AS209" s="47"/>
    </row>
    <row r="210" spans="1:45" ht="12" customHeight="1" x14ac:dyDescent="0.25">
      <c r="A210" s="33">
        <v>209</v>
      </c>
      <c r="B210" s="34"/>
      <c r="C210" s="34" t="s">
        <v>458</v>
      </c>
      <c r="D210" s="35" t="s">
        <v>459</v>
      </c>
      <c r="E210" s="34" t="s">
        <v>58</v>
      </c>
      <c r="F210" s="34" t="s">
        <v>0</v>
      </c>
      <c r="G210" s="16" t="s">
        <v>251</v>
      </c>
      <c r="H210" s="34">
        <v>180</v>
      </c>
      <c r="I210" s="34" t="s">
        <v>66</v>
      </c>
      <c r="J210" s="34" t="s">
        <v>3</v>
      </c>
      <c r="K210" s="35" t="s">
        <v>15</v>
      </c>
      <c r="L210" s="36" t="e">
        <f>VLOOKUP(G210,#REF!,4,0)</f>
        <v>#REF!</v>
      </c>
      <c r="M210" s="37" t="e">
        <f>_xlfn.IFNA(VLOOKUP(G210,#REF!,2,0),"")</f>
        <v>#REF!</v>
      </c>
      <c r="N210" s="38" t="e">
        <f>_xlfn.IFNA(VLOOKUP(G210,#REF!,3,0),"")</f>
        <v>#REF!</v>
      </c>
      <c r="O210" s="39">
        <v>6</v>
      </c>
      <c r="P210" s="67">
        <v>91.740000000000009</v>
      </c>
      <c r="Q210" s="39" t="s">
        <v>10</v>
      </c>
      <c r="R210" s="34">
        <v>3.5</v>
      </c>
      <c r="S210" s="38"/>
      <c r="T210" s="40">
        <v>7.1005917159763312</v>
      </c>
      <c r="U210" s="41">
        <f t="shared" si="26"/>
        <v>328.19059171597638</v>
      </c>
      <c r="V210" s="42">
        <f t="shared" si="22"/>
        <v>1.8232810650887576</v>
      </c>
      <c r="W210" s="43">
        <f t="shared" si="27"/>
        <v>0.27213150225205335</v>
      </c>
      <c r="X210" s="38"/>
      <c r="Y210" s="38"/>
      <c r="Z210" s="44" t="s">
        <v>96</v>
      </c>
      <c r="AA210" s="45">
        <v>46095</v>
      </c>
      <c r="AB210" s="45">
        <v>46116</v>
      </c>
      <c r="AC210" s="45"/>
      <c r="AD210" s="46" t="e">
        <f>IF(ISNA(VLOOKUP(D210,#REF!,5,0)),0,VLOOKUP(D210,#REF!,5,0))</f>
        <v>#REF!</v>
      </c>
      <c r="AE210" s="46" t="e">
        <f t="shared" si="28"/>
        <v>#REF!</v>
      </c>
      <c r="AF210" s="45">
        <v>46122</v>
      </c>
      <c r="AG210" s="33">
        <f t="shared" si="24"/>
        <v>27</v>
      </c>
      <c r="AH210" s="45">
        <v>46182</v>
      </c>
      <c r="AI210" s="39"/>
      <c r="AJ210" s="56">
        <f t="shared" si="25"/>
        <v>60</v>
      </c>
      <c r="AK210" s="39"/>
      <c r="AL210" s="35"/>
      <c r="AM210" s="34"/>
      <c r="AN210" s="34"/>
      <c r="AO210" s="39"/>
      <c r="AP210" s="47"/>
      <c r="AQ210" s="47"/>
      <c r="AR210" s="47"/>
      <c r="AS210" s="47"/>
    </row>
    <row r="211" spans="1:45" ht="12" customHeight="1" x14ac:dyDescent="0.25">
      <c r="A211" s="33">
        <v>210</v>
      </c>
      <c r="B211" s="34"/>
      <c r="C211" s="34" t="s">
        <v>458</v>
      </c>
      <c r="D211" s="35" t="s">
        <v>459</v>
      </c>
      <c r="E211" s="34" t="s">
        <v>58</v>
      </c>
      <c r="F211" s="34" t="s">
        <v>0</v>
      </c>
      <c r="G211" s="16" t="s">
        <v>99</v>
      </c>
      <c r="H211" s="34">
        <v>200</v>
      </c>
      <c r="I211" s="34" t="s">
        <v>66</v>
      </c>
      <c r="J211" s="34" t="s">
        <v>3</v>
      </c>
      <c r="K211" s="35" t="s">
        <v>15</v>
      </c>
      <c r="L211" s="36" t="e">
        <f>VLOOKUP(G211,#REF!,4,0)</f>
        <v>#REF!</v>
      </c>
      <c r="M211" s="37" t="e">
        <f>_xlfn.IFNA(VLOOKUP(G211,#REF!,2,0),"")</f>
        <v>#REF!</v>
      </c>
      <c r="N211" s="38" t="e">
        <f>_xlfn.IFNA(VLOOKUP(G211,#REF!,3,0),"")</f>
        <v>#REF!</v>
      </c>
      <c r="O211" s="39">
        <v>1</v>
      </c>
      <c r="P211" s="67">
        <v>15.290000000000001</v>
      </c>
      <c r="Q211" s="39" t="s">
        <v>10</v>
      </c>
      <c r="R211" s="34">
        <v>3.5</v>
      </c>
      <c r="S211" s="38"/>
      <c r="T211" s="40">
        <v>1.1834319526627219</v>
      </c>
      <c r="U211" s="41">
        <f t="shared" si="26"/>
        <v>54.698431952662723</v>
      </c>
      <c r="V211" s="42">
        <f t="shared" si="22"/>
        <v>0.27349215976331359</v>
      </c>
      <c r="W211" s="43">
        <f t="shared" si="27"/>
        <v>4.0819725337807998E-2</v>
      </c>
      <c r="X211" s="38"/>
      <c r="Y211" s="38"/>
      <c r="Z211" s="44" t="s">
        <v>96</v>
      </c>
      <c r="AA211" s="45">
        <v>46095</v>
      </c>
      <c r="AB211" s="45">
        <v>46116</v>
      </c>
      <c r="AC211" s="45"/>
      <c r="AD211" s="46" t="e">
        <f>IF(ISNA(VLOOKUP(D211,#REF!,5,0)),0,VLOOKUP(D211,#REF!,5,0))</f>
        <v>#REF!</v>
      </c>
      <c r="AE211" s="46" t="e">
        <f t="shared" si="28"/>
        <v>#REF!</v>
      </c>
      <c r="AF211" s="45">
        <v>46122</v>
      </c>
      <c r="AG211" s="33">
        <f t="shared" si="24"/>
        <v>27</v>
      </c>
      <c r="AH211" s="45">
        <v>46182</v>
      </c>
      <c r="AI211" s="39"/>
      <c r="AJ211" s="56">
        <f t="shared" si="25"/>
        <v>60</v>
      </c>
      <c r="AK211" s="39"/>
      <c r="AL211" s="35"/>
      <c r="AM211" s="34"/>
      <c r="AN211" s="34"/>
      <c r="AO211" s="39"/>
      <c r="AP211" s="47"/>
      <c r="AQ211" s="47"/>
      <c r="AR211" s="47"/>
      <c r="AS211" s="47"/>
    </row>
    <row r="212" spans="1:45" ht="12" customHeight="1" x14ac:dyDescent="0.25">
      <c r="A212" s="33">
        <v>211</v>
      </c>
      <c r="B212" s="34"/>
      <c r="C212" s="34" t="s">
        <v>458</v>
      </c>
      <c r="D212" s="35" t="s">
        <v>811</v>
      </c>
      <c r="E212" s="34" t="s">
        <v>58</v>
      </c>
      <c r="F212" s="34" t="s">
        <v>0</v>
      </c>
      <c r="G212" s="16" t="s">
        <v>201</v>
      </c>
      <c r="H212" s="34">
        <v>390</v>
      </c>
      <c r="I212" s="34" t="s">
        <v>66</v>
      </c>
      <c r="J212" s="34" t="s">
        <v>3</v>
      </c>
      <c r="K212" s="35" t="s">
        <v>15</v>
      </c>
      <c r="L212" s="36" t="e">
        <f>VLOOKUP(G212,#REF!,4,0)</f>
        <v>#REF!</v>
      </c>
      <c r="M212" s="37" t="e">
        <f>_xlfn.IFNA(VLOOKUP(G212,#REF!,2,0),"")</f>
        <v>#REF!</v>
      </c>
      <c r="N212" s="38" t="e">
        <f>_xlfn.IFNA(VLOOKUP(G212,#REF!,3,0),"")</f>
        <v>#REF!</v>
      </c>
      <c r="O212" s="39">
        <v>13</v>
      </c>
      <c r="P212" s="67">
        <v>198.76875000000001</v>
      </c>
      <c r="Q212" s="39" t="s">
        <v>10</v>
      </c>
      <c r="R212" s="34">
        <v>3.5</v>
      </c>
      <c r="S212" s="38"/>
      <c r="T212" s="40">
        <v>15.384615384615385</v>
      </c>
      <c r="U212" s="41">
        <f t="shared" si="26"/>
        <v>711.07524038461543</v>
      </c>
      <c r="V212" s="42">
        <f t="shared" si="22"/>
        <v>1.8232698471400395</v>
      </c>
      <c r="W212" s="43">
        <f t="shared" si="27"/>
        <v>0.27212982793134916</v>
      </c>
      <c r="X212" s="38"/>
      <c r="Y212" s="38"/>
      <c r="Z212" s="44" t="s">
        <v>96</v>
      </c>
      <c r="AA212" s="45">
        <v>46095</v>
      </c>
      <c r="AB212" s="45">
        <v>46116</v>
      </c>
      <c r="AC212" s="45"/>
      <c r="AD212" s="46" t="e">
        <f>IF(ISNA(VLOOKUP(D212,#REF!,5,0)),0,VLOOKUP(D212,#REF!,5,0))</f>
        <v>#REF!</v>
      </c>
      <c r="AE212" s="46" t="e">
        <f t="shared" si="28"/>
        <v>#REF!</v>
      </c>
      <c r="AF212" s="45">
        <v>46122</v>
      </c>
      <c r="AG212" s="33">
        <f t="shared" si="24"/>
        <v>27</v>
      </c>
      <c r="AH212" s="45">
        <v>46182</v>
      </c>
      <c r="AI212" s="39"/>
      <c r="AJ212" s="56">
        <f t="shared" si="25"/>
        <v>60</v>
      </c>
      <c r="AK212" s="39"/>
      <c r="AL212" s="35"/>
      <c r="AM212" s="34"/>
      <c r="AN212" s="34"/>
      <c r="AO212" s="39"/>
      <c r="AP212" s="47"/>
      <c r="AQ212" s="47"/>
      <c r="AR212" s="47"/>
      <c r="AS212" s="47"/>
    </row>
    <row r="213" spans="1:45" ht="12" customHeight="1" x14ac:dyDescent="0.25">
      <c r="A213" s="33">
        <v>212</v>
      </c>
      <c r="B213" s="34"/>
      <c r="C213" s="34" t="s">
        <v>458</v>
      </c>
      <c r="D213" s="35" t="s">
        <v>460</v>
      </c>
      <c r="E213" s="34" t="s">
        <v>58</v>
      </c>
      <c r="F213" s="34" t="s">
        <v>0</v>
      </c>
      <c r="G213" s="16" t="s">
        <v>314</v>
      </c>
      <c r="H213" s="34">
        <v>120</v>
      </c>
      <c r="I213" s="34" t="s">
        <v>66</v>
      </c>
      <c r="J213" s="34" t="s">
        <v>3</v>
      </c>
      <c r="K213" s="35" t="s">
        <v>15</v>
      </c>
      <c r="L213" s="36" t="e">
        <f>VLOOKUP(G213,#REF!,4,0)</f>
        <v>#REF!</v>
      </c>
      <c r="M213" s="37" t="e">
        <f>_xlfn.IFNA(VLOOKUP(G213,#REF!,2,0),"")</f>
        <v>#REF!</v>
      </c>
      <c r="N213" s="38" t="e">
        <f>_xlfn.IFNA(VLOOKUP(G213,#REF!,3,0),"")</f>
        <v>#REF!</v>
      </c>
      <c r="O213" s="39">
        <v>4</v>
      </c>
      <c r="P213" s="67">
        <v>61.159615384615385</v>
      </c>
      <c r="Q213" s="39" t="s">
        <v>10</v>
      </c>
      <c r="R213" s="34">
        <v>3.5</v>
      </c>
      <c r="S213" s="38"/>
      <c r="T213" s="40">
        <v>4.7337278106508878</v>
      </c>
      <c r="U213" s="41">
        <f t="shared" si="26"/>
        <v>218.79238165680474</v>
      </c>
      <c r="V213" s="42">
        <f t="shared" si="22"/>
        <v>1.8232698471400395</v>
      </c>
      <c r="W213" s="43">
        <f t="shared" si="27"/>
        <v>0.27212982793134916</v>
      </c>
      <c r="X213" s="38"/>
      <c r="Y213" s="38"/>
      <c r="Z213" s="44" t="s">
        <v>96</v>
      </c>
      <c r="AA213" s="45">
        <v>46095</v>
      </c>
      <c r="AB213" s="45">
        <v>46116</v>
      </c>
      <c r="AC213" s="45"/>
      <c r="AD213" s="46" t="e">
        <f>IF(ISNA(VLOOKUP(D213,#REF!,5,0)),0,VLOOKUP(D213,#REF!,5,0))</f>
        <v>#REF!</v>
      </c>
      <c r="AE213" s="46" t="e">
        <f t="shared" si="28"/>
        <v>#REF!</v>
      </c>
      <c r="AF213" s="45">
        <v>46122</v>
      </c>
      <c r="AG213" s="33">
        <f t="shared" si="24"/>
        <v>27</v>
      </c>
      <c r="AH213" s="45">
        <v>46182</v>
      </c>
      <c r="AI213" s="39"/>
      <c r="AJ213" s="56">
        <f t="shared" si="25"/>
        <v>60</v>
      </c>
      <c r="AK213" s="39"/>
      <c r="AL213" s="35"/>
      <c r="AM213" s="34"/>
      <c r="AN213" s="34"/>
      <c r="AO213" s="39"/>
      <c r="AP213" s="47"/>
      <c r="AQ213" s="47"/>
      <c r="AR213" s="47"/>
      <c r="AS213" s="47"/>
    </row>
    <row r="214" spans="1:45" ht="12" customHeight="1" x14ac:dyDescent="0.25">
      <c r="A214" s="33">
        <v>213</v>
      </c>
      <c r="B214" s="34"/>
      <c r="C214" s="34" t="s">
        <v>458</v>
      </c>
      <c r="D214" s="35" t="s">
        <v>460</v>
      </c>
      <c r="E214" s="34" t="s">
        <v>58</v>
      </c>
      <c r="F214" s="34" t="s">
        <v>0</v>
      </c>
      <c r="G214" s="16" t="s">
        <v>205</v>
      </c>
      <c r="H214" s="34">
        <v>2100</v>
      </c>
      <c r="I214" s="34" t="s">
        <v>66</v>
      </c>
      <c r="J214" s="34" t="s">
        <v>3</v>
      </c>
      <c r="K214" s="35" t="s">
        <v>15</v>
      </c>
      <c r="L214" s="36" t="e">
        <f>VLOOKUP(G214,#REF!,4,0)</f>
        <v>#REF!</v>
      </c>
      <c r="M214" s="37" t="e">
        <f>_xlfn.IFNA(VLOOKUP(G214,#REF!,2,0),"")</f>
        <v>#REF!</v>
      </c>
      <c r="N214" s="38" t="e">
        <f>_xlfn.IFNA(VLOOKUP(G214,#REF!,3,0),"")</f>
        <v>#REF!</v>
      </c>
      <c r="O214" s="39">
        <v>70</v>
      </c>
      <c r="P214" s="67">
        <v>1070.2932692307693</v>
      </c>
      <c r="Q214" s="39" t="s">
        <v>10</v>
      </c>
      <c r="R214" s="34">
        <v>3.5</v>
      </c>
      <c r="S214" s="38"/>
      <c r="T214" s="40">
        <v>82.840236686390526</v>
      </c>
      <c r="U214" s="41">
        <f t="shared" si="26"/>
        <v>3828.866678994083</v>
      </c>
      <c r="V214" s="42">
        <f t="shared" si="22"/>
        <v>1.8232698471400395</v>
      </c>
      <c r="W214" s="43">
        <f t="shared" si="27"/>
        <v>0.27212982793134916</v>
      </c>
      <c r="X214" s="38"/>
      <c r="Y214" s="38"/>
      <c r="Z214" s="44" t="s">
        <v>96</v>
      </c>
      <c r="AA214" s="45">
        <v>46095</v>
      </c>
      <c r="AB214" s="45">
        <v>46116</v>
      </c>
      <c r="AC214" s="45"/>
      <c r="AD214" s="46" t="e">
        <f>IF(ISNA(VLOOKUP(D214,#REF!,5,0)),0,VLOOKUP(D214,#REF!,5,0))</f>
        <v>#REF!</v>
      </c>
      <c r="AE214" s="46" t="e">
        <f t="shared" si="28"/>
        <v>#REF!</v>
      </c>
      <c r="AF214" s="45">
        <v>46122</v>
      </c>
      <c r="AG214" s="33">
        <f t="shared" si="24"/>
        <v>27</v>
      </c>
      <c r="AH214" s="45">
        <v>46182</v>
      </c>
      <c r="AI214" s="39"/>
      <c r="AJ214" s="56">
        <f t="shared" si="25"/>
        <v>60</v>
      </c>
      <c r="AK214" s="39"/>
      <c r="AL214" s="35"/>
      <c r="AM214" s="34"/>
      <c r="AN214" s="34"/>
      <c r="AO214" s="39"/>
      <c r="AP214" s="47"/>
      <c r="AQ214" s="47"/>
      <c r="AR214" s="47"/>
      <c r="AS214" s="47"/>
    </row>
    <row r="215" spans="1:45" ht="12" customHeight="1" x14ac:dyDescent="0.25">
      <c r="A215" s="33">
        <v>214</v>
      </c>
      <c r="B215" s="34"/>
      <c r="C215" s="34" t="s">
        <v>458</v>
      </c>
      <c r="D215" s="35" t="s">
        <v>460</v>
      </c>
      <c r="E215" s="34" t="s">
        <v>58</v>
      </c>
      <c r="F215" s="34" t="s">
        <v>0</v>
      </c>
      <c r="G215" s="16" t="s">
        <v>224</v>
      </c>
      <c r="H215" s="34">
        <v>510</v>
      </c>
      <c r="I215" s="34" t="s">
        <v>66</v>
      </c>
      <c r="J215" s="34" t="s">
        <v>3</v>
      </c>
      <c r="K215" s="35" t="s">
        <v>15</v>
      </c>
      <c r="L215" s="36" t="e">
        <f>VLOOKUP(G215,#REF!,4,0)</f>
        <v>#REF!</v>
      </c>
      <c r="M215" s="37" t="e">
        <f>_xlfn.IFNA(VLOOKUP(G215,#REF!,2,0),"")</f>
        <v>#REF!</v>
      </c>
      <c r="N215" s="38" t="e">
        <f>_xlfn.IFNA(VLOOKUP(G215,#REF!,3,0),"")</f>
        <v>#REF!</v>
      </c>
      <c r="O215" s="39">
        <v>17</v>
      </c>
      <c r="P215" s="67">
        <v>259.9283653846154</v>
      </c>
      <c r="Q215" s="39" t="s">
        <v>10</v>
      </c>
      <c r="R215" s="34">
        <v>3.5</v>
      </c>
      <c r="S215" s="38"/>
      <c r="T215" s="40">
        <v>20.118343195266274</v>
      </c>
      <c r="U215" s="41">
        <f t="shared" si="26"/>
        <v>929.86762204142008</v>
      </c>
      <c r="V215" s="42">
        <f t="shared" si="22"/>
        <v>1.8232698471400393</v>
      </c>
      <c r="W215" s="43">
        <f t="shared" si="27"/>
        <v>0.27212982793134916</v>
      </c>
      <c r="X215" s="38"/>
      <c r="Y215" s="38"/>
      <c r="Z215" s="44" t="s">
        <v>96</v>
      </c>
      <c r="AA215" s="45">
        <v>46095</v>
      </c>
      <c r="AB215" s="45">
        <v>46116</v>
      </c>
      <c r="AC215" s="45"/>
      <c r="AD215" s="46" t="e">
        <f>IF(ISNA(VLOOKUP(D215,#REF!,5,0)),0,VLOOKUP(D215,#REF!,5,0))</f>
        <v>#REF!</v>
      </c>
      <c r="AE215" s="46" t="e">
        <f t="shared" si="28"/>
        <v>#REF!</v>
      </c>
      <c r="AF215" s="45">
        <v>46122</v>
      </c>
      <c r="AG215" s="33">
        <f t="shared" si="24"/>
        <v>27</v>
      </c>
      <c r="AH215" s="45">
        <v>46182</v>
      </c>
      <c r="AI215" s="39"/>
      <c r="AJ215" s="56">
        <f t="shared" si="25"/>
        <v>60</v>
      </c>
      <c r="AK215" s="39"/>
      <c r="AL215" s="35"/>
      <c r="AM215" s="34"/>
      <c r="AN215" s="34"/>
      <c r="AO215" s="39"/>
      <c r="AP215" s="47"/>
      <c r="AQ215" s="47"/>
      <c r="AR215" s="47"/>
      <c r="AS215" s="47"/>
    </row>
    <row r="216" spans="1:45" ht="12" customHeight="1" x14ac:dyDescent="0.25">
      <c r="A216" s="33">
        <v>215</v>
      </c>
      <c r="B216" s="34"/>
      <c r="C216" s="34" t="s">
        <v>131</v>
      </c>
      <c r="D216" s="35" t="s">
        <v>461</v>
      </c>
      <c r="E216" s="34" t="s">
        <v>58</v>
      </c>
      <c r="F216" s="34" t="s">
        <v>0</v>
      </c>
      <c r="G216" s="16" t="s">
        <v>64</v>
      </c>
      <c r="H216" s="34">
        <v>400</v>
      </c>
      <c r="I216" s="34" t="s">
        <v>54</v>
      </c>
      <c r="J216" s="34" t="s">
        <v>2</v>
      </c>
      <c r="K216" s="35" t="s">
        <v>9</v>
      </c>
      <c r="L216" s="36" t="e">
        <f>VLOOKUP(G216,#REF!,4,0)</f>
        <v>#REF!</v>
      </c>
      <c r="M216" s="37" t="e">
        <f>_xlfn.IFNA(VLOOKUP(G216,#REF!,2,0),"")</f>
        <v>#REF!</v>
      </c>
      <c r="N216" s="38" t="e">
        <f>_xlfn.IFNA(VLOOKUP(G216,#REF!,3,0),"")</f>
        <v>#REF!</v>
      </c>
      <c r="O216" s="39">
        <v>10</v>
      </c>
      <c r="P216" s="67">
        <v>155</v>
      </c>
      <c r="Q216" s="39" t="s">
        <v>10</v>
      </c>
      <c r="R216" s="34">
        <v>7.7</v>
      </c>
      <c r="S216" s="49">
        <v>200</v>
      </c>
      <c r="T216" s="72">
        <v>40</v>
      </c>
      <c r="U216" s="41">
        <f t="shared" si="26"/>
        <v>1233.5</v>
      </c>
      <c r="V216" s="42">
        <f t="shared" si="22"/>
        <v>3.0837500000000002</v>
      </c>
      <c r="W216" s="43">
        <f t="shared" si="27"/>
        <v>0.46026119402985077</v>
      </c>
      <c r="X216" s="38"/>
      <c r="Y216" s="38"/>
      <c r="Z216" s="44" t="s">
        <v>96</v>
      </c>
      <c r="AA216" s="45">
        <v>46094</v>
      </c>
      <c r="AB216" s="45">
        <v>46110</v>
      </c>
      <c r="AC216" s="45"/>
      <c r="AD216" s="46" t="e">
        <f>IF(ISNA(VLOOKUP(D216,#REF!,5,0)),0,VLOOKUP(D216,#REF!,5,0))</f>
        <v>#REF!</v>
      </c>
      <c r="AE216" s="46" t="e">
        <f t="shared" si="28"/>
        <v>#REF!</v>
      </c>
      <c r="AF216" s="45">
        <v>46115</v>
      </c>
      <c r="AG216" s="33">
        <f t="shared" si="24"/>
        <v>21</v>
      </c>
      <c r="AH216" s="45">
        <v>46150</v>
      </c>
      <c r="AI216" s="39"/>
      <c r="AJ216" s="56">
        <f t="shared" si="25"/>
        <v>35</v>
      </c>
      <c r="AK216" s="39"/>
      <c r="AL216" s="35"/>
      <c r="AM216" s="34"/>
      <c r="AN216" s="34"/>
      <c r="AO216" s="39"/>
      <c r="AP216" s="47"/>
      <c r="AQ216" s="47"/>
      <c r="AR216" s="47"/>
      <c r="AS216" s="47"/>
    </row>
    <row r="217" spans="1:45" ht="12" customHeight="1" x14ac:dyDescent="0.25">
      <c r="A217" s="33">
        <v>216</v>
      </c>
      <c r="B217" s="34"/>
      <c r="C217" s="34" t="s">
        <v>131</v>
      </c>
      <c r="D217" s="35" t="s">
        <v>461</v>
      </c>
      <c r="E217" s="34" t="s">
        <v>58</v>
      </c>
      <c r="F217" s="34" t="s">
        <v>0</v>
      </c>
      <c r="G217" s="16" t="s">
        <v>205</v>
      </c>
      <c r="H217" s="34">
        <v>900</v>
      </c>
      <c r="I217" s="34" t="s">
        <v>54</v>
      </c>
      <c r="J217" s="34" t="s">
        <v>2</v>
      </c>
      <c r="K217" s="35" t="s">
        <v>9</v>
      </c>
      <c r="L217" s="36" t="e">
        <f>VLOOKUP(G217,#REF!,4,0)</f>
        <v>#REF!</v>
      </c>
      <c r="M217" s="37" t="e">
        <f>_xlfn.IFNA(VLOOKUP(G217,#REF!,2,0),"")</f>
        <v>#REF!</v>
      </c>
      <c r="N217" s="38" t="e">
        <f>_xlfn.IFNA(VLOOKUP(G217,#REF!,3,0),"")</f>
        <v>#REF!</v>
      </c>
      <c r="O217" s="39">
        <v>30</v>
      </c>
      <c r="P217" s="67">
        <v>465</v>
      </c>
      <c r="Q217" s="39" t="s">
        <v>10</v>
      </c>
      <c r="R217" s="34">
        <v>7.7</v>
      </c>
      <c r="S217" s="73">
        <f>SUMIF(C:C,C216,T:T)</f>
        <v>200</v>
      </c>
      <c r="T217" s="72">
        <v>120</v>
      </c>
      <c r="U217" s="41">
        <f t="shared" si="26"/>
        <v>3700.5</v>
      </c>
      <c r="V217" s="42">
        <f t="shared" si="22"/>
        <v>4.1116666666666664</v>
      </c>
      <c r="W217" s="43">
        <f t="shared" si="27"/>
        <v>0.61368159203980088</v>
      </c>
      <c r="X217" s="38"/>
      <c r="Y217" s="38"/>
      <c r="Z217" s="44" t="s">
        <v>96</v>
      </c>
      <c r="AA217" s="45">
        <v>46094</v>
      </c>
      <c r="AB217" s="45">
        <v>46110</v>
      </c>
      <c r="AC217" s="45"/>
      <c r="AD217" s="46" t="e">
        <f>IF(ISNA(VLOOKUP(D217,#REF!,5,0)),0,VLOOKUP(D217,#REF!,5,0))</f>
        <v>#REF!</v>
      </c>
      <c r="AE217" s="46" t="e">
        <f t="shared" si="28"/>
        <v>#REF!</v>
      </c>
      <c r="AF217" s="45">
        <v>46115</v>
      </c>
      <c r="AG217" s="33">
        <f t="shared" si="24"/>
        <v>21</v>
      </c>
      <c r="AH217" s="45">
        <v>46150</v>
      </c>
      <c r="AI217" s="39"/>
      <c r="AJ217" s="56">
        <f t="shared" si="25"/>
        <v>35</v>
      </c>
      <c r="AK217" s="39"/>
      <c r="AL217" s="35"/>
      <c r="AM217" s="34"/>
      <c r="AN217" s="34"/>
      <c r="AO217" s="39"/>
      <c r="AP217" s="47"/>
      <c r="AQ217" s="47"/>
      <c r="AR217" s="47"/>
      <c r="AS217" s="47"/>
    </row>
    <row r="218" spans="1:45" ht="12" customHeight="1" x14ac:dyDescent="0.25">
      <c r="A218" s="33">
        <v>217</v>
      </c>
      <c r="B218" s="34"/>
      <c r="C218" s="34" t="s">
        <v>462</v>
      </c>
      <c r="D218" s="35" t="s">
        <v>463</v>
      </c>
      <c r="E218" s="34" t="s">
        <v>51</v>
      </c>
      <c r="F218" s="34" t="s">
        <v>52</v>
      </c>
      <c r="G218" s="16" t="s">
        <v>57</v>
      </c>
      <c r="H218" s="34">
        <v>72</v>
      </c>
      <c r="I218" s="34" t="s">
        <v>62</v>
      </c>
      <c r="J218" s="34" t="s">
        <v>55</v>
      </c>
      <c r="K218" s="35" t="s">
        <v>270</v>
      </c>
      <c r="L218" s="36" t="e">
        <f>VLOOKUP(G218,#REF!,4,0)</f>
        <v>#REF!</v>
      </c>
      <c r="M218" s="37" t="e">
        <f>_xlfn.IFNA(VLOOKUP(G218,#REF!,2,0),"")</f>
        <v>#REF!</v>
      </c>
      <c r="N218" s="38" t="e">
        <f>_xlfn.IFNA(VLOOKUP(G218,#REF!,3,0),"")</f>
        <v>#REF!</v>
      </c>
      <c r="O218" s="39">
        <v>6</v>
      </c>
      <c r="P218" s="67">
        <v>86</v>
      </c>
      <c r="Q218" s="39" t="s">
        <v>10</v>
      </c>
      <c r="R218" s="34">
        <v>6.5</v>
      </c>
      <c r="S218" s="38">
        <v>350</v>
      </c>
      <c r="T218" s="40">
        <v>350</v>
      </c>
      <c r="U218" s="41">
        <f t="shared" si="26"/>
        <v>909</v>
      </c>
      <c r="V218" s="42">
        <f t="shared" si="22"/>
        <v>12.625</v>
      </c>
      <c r="W218" s="43">
        <f t="shared" si="27"/>
        <v>1.8843283582089552</v>
      </c>
      <c r="X218" s="38"/>
      <c r="Y218" s="38"/>
      <c r="Z218" s="44" t="s">
        <v>96</v>
      </c>
      <c r="AA218" s="45">
        <v>46094</v>
      </c>
      <c r="AB218" s="45">
        <v>46125</v>
      </c>
      <c r="AC218" s="45"/>
      <c r="AD218" s="46" t="e">
        <f>IF(ISNA(VLOOKUP(D218,#REF!,5,0)),0,VLOOKUP(D218,#REF!,5,0))</f>
        <v>#REF!</v>
      </c>
      <c r="AE218" s="46" t="e">
        <f t="shared" si="28"/>
        <v>#REF!</v>
      </c>
      <c r="AF218" s="45">
        <v>46137</v>
      </c>
      <c r="AG218" s="33">
        <f t="shared" si="24"/>
        <v>43</v>
      </c>
      <c r="AH218" s="45">
        <v>46143</v>
      </c>
      <c r="AI218" s="39"/>
      <c r="AJ218" s="56">
        <f t="shared" si="25"/>
        <v>6</v>
      </c>
      <c r="AK218" s="39"/>
      <c r="AL218" s="35"/>
      <c r="AM218" s="34"/>
      <c r="AN218" s="34"/>
      <c r="AO218" s="39"/>
      <c r="AP218" s="47"/>
      <c r="AQ218" s="47"/>
      <c r="AR218" s="47"/>
      <c r="AS218" s="47"/>
    </row>
    <row r="219" spans="1:45" ht="12" customHeight="1" x14ac:dyDescent="0.25">
      <c r="A219" s="33">
        <v>218</v>
      </c>
      <c r="B219" s="34"/>
      <c r="C219" s="34" t="s">
        <v>464</v>
      </c>
      <c r="D219" s="35" t="s">
        <v>465</v>
      </c>
      <c r="E219" s="34" t="s">
        <v>58</v>
      </c>
      <c r="F219" s="34" t="s">
        <v>0</v>
      </c>
      <c r="G219" s="16" t="s">
        <v>57</v>
      </c>
      <c r="H219" s="34">
        <v>480</v>
      </c>
      <c r="I219" s="34" t="s">
        <v>62</v>
      </c>
      <c r="J219" s="34" t="s">
        <v>3</v>
      </c>
      <c r="K219" s="35" t="s">
        <v>17</v>
      </c>
      <c r="L219" s="36" t="e">
        <f>VLOOKUP(G219,#REF!,4,0)</f>
        <v>#REF!</v>
      </c>
      <c r="M219" s="37" t="e">
        <f>_xlfn.IFNA(VLOOKUP(G219,#REF!,2,0),"")</f>
        <v>#REF!</v>
      </c>
      <c r="N219" s="38" t="e">
        <f>_xlfn.IFNA(VLOOKUP(G219,#REF!,3,0),"")</f>
        <v>#REF!</v>
      </c>
      <c r="O219" s="39">
        <v>40</v>
      </c>
      <c r="P219" s="67">
        <v>572</v>
      </c>
      <c r="Q219" s="39" t="s">
        <v>10</v>
      </c>
      <c r="R219" s="34">
        <v>3.2</v>
      </c>
      <c r="S219" s="38">
        <v>350</v>
      </c>
      <c r="T219" s="40">
        <v>350</v>
      </c>
      <c r="U219" s="41">
        <f t="shared" si="26"/>
        <v>2180.4</v>
      </c>
      <c r="V219" s="42">
        <f t="shared" si="22"/>
        <v>4.5425000000000004</v>
      </c>
      <c r="W219" s="43">
        <f t="shared" si="27"/>
        <v>0.67798507462686575</v>
      </c>
      <c r="X219" s="38"/>
      <c r="Y219" s="38"/>
      <c r="Z219" s="44" t="s">
        <v>96</v>
      </c>
      <c r="AA219" s="45">
        <v>46094</v>
      </c>
      <c r="AB219" s="45">
        <v>46116</v>
      </c>
      <c r="AC219" s="45"/>
      <c r="AD219" s="46" t="e">
        <f>IF(ISNA(VLOOKUP(D219,#REF!,5,0)),0,VLOOKUP(D219,#REF!,5,0))</f>
        <v>#REF!</v>
      </c>
      <c r="AE219" s="46" t="e">
        <f t="shared" si="28"/>
        <v>#REF!</v>
      </c>
      <c r="AF219" s="45">
        <v>46122</v>
      </c>
      <c r="AG219" s="33">
        <f t="shared" si="24"/>
        <v>28</v>
      </c>
      <c r="AH219" s="45">
        <v>46153</v>
      </c>
      <c r="AI219" s="39"/>
      <c r="AJ219" s="56">
        <f t="shared" si="25"/>
        <v>31</v>
      </c>
      <c r="AK219" s="39"/>
      <c r="AL219" s="35"/>
      <c r="AM219" s="34"/>
      <c r="AN219" s="34"/>
      <c r="AO219" s="39"/>
      <c r="AP219" s="47"/>
      <c r="AQ219" s="47"/>
      <c r="AR219" s="47"/>
      <c r="AS219" s="47"/>
    </row>
    <row r="220" spans="1:45" ht="12" customHeight="1" x14ac:dyDescent="0.25">
      <c r="A220" s="33">
        <v>219</v>
      </c>
      <c r="B220" s="34"/>
      <c r="C220" s="34" t="s">
        <v>130</v>
      </c>
      <c r="D220" s="35" t="s">
        <v>466</v>
      </c>
      <c r="E220" s="34" t="s">
        <v>61</v>
      </c>
      <c r="F220" s="34" t="s">
        <v>0</v>
      </c>
      <c r="G220" s="16" t="s">
        <v>329</v>
      </c>
      <c r="H220" s="34">
        <v>684</v>
      </c>
      <c r="I220" s="34" t="s">
        <v>218</v>
      </c>
      <c r="J220" s="34" t="s">
        <v>3</v>
      </c>
      <c r="K220" s="35" t="s">
        <v>20</v>
      </c>
      <c r="L220" s="36" t="e">
        <f>VLOOKUP(G220,#REF!,4,0)</f>
        <v>#REF!</v>
      </c>
      <c r="M220" s="37" t="e">
        <f>_xlfn.IFNA(VLOOKUP(G220,#REF!,2,0),"")</f>
        <v>#REF!</v>
      </c>
      <c r="N220" s="38" t="e">
        <f>_xlfn.IFNA(VLOOKUP(G220,#REF!,3,0),"")</f>
        <v>#REF!</v>
      </c>
      <c r="O220" s="39">
        <v>9</v>
      </c>
      <c r="P220" s="67">
        <v>0.46800000000000003</v>
      </c>
      <c r="Q220" s="39" t="s">
        <v>420</v>
      </c>
      <c r="R220" s="34">
        <v>1380</v>
      </c>
      <c r="S220" s="38">
        <v>180</v>
      </c>
      <c r="T220" s="40">
        <v>77.142857142857139</v>
      </c>
      <c r="U220" s="41">
        <f t="shared" si="26"/>
        <v>722.98285714285714</v>
      </c>
      <c r="V220" s="42">
        <f t="shared" si="22"/>
        <v>1.0569924812030076</v>
      </c>
      <c r="W220" s="43">
        <f t="shared" si="27"/>
        <v>0.15776007182134441</v>
      </c>
      <c r="X220" s="38"/>
      <c r="Y220" s="38"/>
      <c r="Z220" s="44" t="s">
        <v>96</v>
      </c>
      <c r="AA220" s="45">
        <v>46094</v>
      </c>
      <c r="AB220" s="45">
        <v>46116</v>
      </c>
      <c r="AC220" s="45"/>
      <c r="AD220" s="46" t="e">
        <f>IF(ISNA(VLOOKUP(D220,#REF!,5,0)),0,VLOOKUP(D220,#REF!,5,0))</f>
        <v>#REF!</v>
      </c>
      <c r="AE220" s="46" t="e">
        <f t="shared" si="28"/>
        <v>#REF!</v>
      </c>
      <c r="AF220" s="45">
        <v>46129</v>
      </c>
      <c r="AG220" s="33">
        <f t="shared" si="24"/>
        <v>35</v>
      </c>
      <c r="AH220" s="45">
        <v>46155</v>
      </c>
      <c r="AI220" s="39"/>
      <c r="AJ220" s="56">
        <f t="shared" si="25"/>
        <v>26</v>
      </c>
      <c r="AK220" s="39"/>
      <c r="AL220" s="35"/>
      <c r="AM220" s="34"/>
      <c r="AN220" s="34"/>
      <c r="AO220" s="39"/>
      <c r="AP220" s="47"/>
      <c r="AQ220" s="47"/>
      <c r="AR220" s="47"/>
      <c r="AS220" s="47"/>
    </row>
    <row r="221" spans="1:45" ht="12" customHeight="1" x14ac:dyDescent="0.25">
      <c r="A221" s="33">
        <v>220</v>
      </c>
      <c r="B221" s="34"/>
      <c r="C221" s="34" t="s">
        <v>130</v>
      </c>
      <c r="D221" s="35" t="s">
        <v>466</v>
      </c>
      <c r="E221" s="34" t="s">
        <v>61</v>
      </c>
      <c r="F221" s="34" t="s">
        <v>0</v>
      </c>
      <c r="G221" s="16" t="s">
        <v>175</v>
      </c>
      <c r="H221" s="34">
        <v>90</v>
      </c>
      <c r="I221" s="34" t="s">
        <v>218</v>
      </c>
      <c r="J221" s="34" t="s">
        <v>3</v>
      </c>
      <c r="K221" s="35" t="s">
        <v>20</v>
      </c>
      <c r="L221" s="36" t="e">
        <f>VLOOKUP(G221,#REF!,4,0)</f>
        <v>#REF!</v>
      </c>
      <c r="M221" s="37" t="e">
        <f>_xlfn.IFNA(VLOOKUP(G221,#REF!,2,0),"")</f>
        <v>#REF!</v>
      </c>
      <c r="N221" s="38" t="e">
        <f>_xlfn.IFNA(VLOOKUP(G221,#REF!,3,0),"")</f>
        <v>#REF!</v>
      </c>
      <c r="O221" s="39">
        <v>1</v>
      </c>
      <c r="P221" s="67">
        <v>5.2000000000000005E-2</v>
      </c>
      <c r="Q221" s="39" t="s">
        <v>420</v>
      </c>
      <c r="R221" s="34">
        <v>1380</v>
      </c>
      <c r="S221" s="48">
        <f>SUMIF(C:C,C220,T:T)</f>
        <v>180</v>
      </c>
      <c r="T221" s="40">
        <v>8.5714285714285712</v>
      </c>
      <c r="U221" s="41">
        <f t="shared" si="26"/>
        <v>80.331428571428575</v>
      </c>
      <c r="V221" s="42">
        <f t="shared" si="22"/>
        <v>0.89257142857142857</v>
      </c>
      <c r="W221" s="43">
        <f t="shared" si="27"/>
        <v>0.13321961620469083</v>
      </c>
      <c r="X221" s="38"/>
      <c r="Y221" s="38"/>
      <c r="Z221" s="44" t="s">
        <v>96</v>
      </c>
      <c r="AA221" s="45">
        <v>46094</v>
      </c>
      <c r="AB221" s="45">
        <v>46116</v>
      </c>
      <c r="AC221" s="45"/>
      <c r="AD221" s="46" t="e">
        <f>IF(ISNA(VLOOKUP(D221,#REF!,5,0)),0,VLOOKUP(D221,#REF!,5,0))</f>
        <v>#REF!</v>
      </c>
      <c r="AE221" s="46" t="e">
        <f t="shared" si="28"/>
        <v>#REF!</v>
      </c>
      <c r="AF221" s="45">
        <v>46129</v>
      </c>
      <c r="AG221" s="33">
        <f t="shared" si="24"/>
        <v>35</v>
      </c>
      <c r="AH221" s="45">
        <v>46155</v>
      </c>
      <c r="AI221" s="39"/>
      <c r="AJ221" s="56">
        <f t="shared" si="25"/>
        <v>26</v>
      </c>
      <c r="AK221" s="39"/>
      <c r="AL221" s="35"/>
      <c r="AM221" s="34"/>
      <c r="AN221" s="34"/>
      <c r="AO221" s="39"/>
      <c r="AP221" s="47"/>
      <c r="AQ221" s="47"/>
      <c r="AR221" s="47"/>
      <c r="AS221" s="47"/>
    </row>
    <row r="222" spans="1:45" ht="12" customHeight="1" x14ac:dyDescent="0.25">
      <c r="A222" s="33">
        <v>221</v>
      </c>
      <c r="B222" s="34"/>
      <c r="C222" s="34" t="s">
        <v>130</v>
      </c>
      <c r="D222" s="35" t="s">
        <v>467</v>
      </c>
      <c r="E222" s="34" t="s">
        <v>58</v>
      </c>
      <c r="F222" s="34" t="s">
        <v>0</v>
      </c>
      <c r="G222" s="16" t="s">
        <v>88</v>
      </c>
      <c r="H222" s="34">
        <v>540</v>
      </c>
      <c r="I222" s="34" t="s">
        <v>218</v>
      </c>
      <c r="J222" s="34" t="s">
        <v>3</v>
      </c>
      <c r="K222" s="35" t="s">
        <v>20</v>
      </c>
      <c r="L222" s="36" t="e">
        <f>VLOOKUP(G222,#REF!,4,0)</f>
        <v>#REF!</v>
      </c>
      <c r="M222" s="37" t="e">
        <f>_xlfn.IFNA(VLOOKUP(G222,#REF!,2,0),"")</f>
        <v>#REF!</v>
      </c>
      <c r="N222" s="38" t="e">
        <f>_xlfn.IFNA(VLOOKUP(G222,#REF!,3,0),"")</f>
        <v>#REF!</v>
      </c>
      <c r="O222" s="39">
        <v>6</v>
      </c>
      <c r="P222" s="67">
        <v>0.31636363636363635</v>
      </c>
      <c r="Q222" s="39" t="s">
        <v>420</v>
      </c>
      <c r="R222" s="34">
        <v>1380</v>
      </c>
      <c r="S222" s="38"/>
      <c r="T222" s="40">
        <v>51.428571428571431</v>
      </c>
      <c r="U222" s="41">
        <f t="shared" si="26"/>
        <v>488.01038961038961</v>
      </c>
      <c r="V222" s="42">
        <f t="shared" si="22"/>
        <v>0.90372294372294371</v>
      </c>
      <c r="W222" s="43">
        <f t="shared" si="27"/>
        <v>0.13488402145118564</v>
      </c>
      <c r="X222" s="38"/>
      <c r="Y222" s="38"/>
      <c r="Z222" s="44" t="s">
        <v>96</v>
      </c>
      <c r="AA222" s="45">
        <v>46094</v>
      </c>
      <c r="AB222" s="45">
        <v>46116</v>
      </c>
      <c r="AC222" s="45"/>
      <c r="AD222" s="46" t="e">
        <f>IF(ISNA(VLOOKUP(D222,#REF!,5,0)),0,VLOOKUP(D222,#REF!,5,0))</f>
        <v>#REF!</v>
      </c>
      <c r="AE222" s="46" t="e">
        <f t="shared" si="28"/>
        <v>#REF!</v>
      </c>
      <c r="AF222" s="45">
        <v>46124</v>
      </c>
      <c r="AG222" s="33">
        <f t="shared" si="24"/>
        <v>30</v>
      </c>
      <c r="AH222" s="45">
        <v>46156</v>
      </c>
      <c r="AI222" s="39"/>
      <c r="AJ222" s="56">
        <f t="shared" si="25"/>
        <v>32</v>
      </c>
      <c r="AK222" s="39"/>
      <c r="AL222" s="35"/>
      <c r="AM222" s="34"/>
      <c r="AN222" s="34"/>
      <c r="AO222" s="39"/>
      <c r="AP222" s="47"/>
      <c r="AQ222" s="47"/>
      <c r="AR222" s="47"/>
      <c r="AS222" s="47"/>
    </row>
    <row r="223" spans="1:45" ht="12" customHeight="1" x14ac:dyDescent="0.25">
      <c r="A223" s="33">
        <v>222</v>
      </c>
      <c r="B223" s="34"/>
      <c r="C223" s="34" t="s">
        <v>130</v>
      </c>
      <c r="D223" s="35" t="s">
        <v>467</v>
      </c>
      <c r="E223" s="34" t="s">
        <v>58</v>
      </c>
      <c r="F223" s="34" t="s">
        <v>0</v>
      </c>
      <c r="G223" s="16" t="s">
        <v>212</v>
      </c>
      <c r="H223" s="34">
        <v>100</v>
      </c>
      <c r="I223" s="34" t="s">
        <v>218</v>
      </c>
      <c r="J223" s="34" t="s">
        <v>3</v>
      </c>
      <c r="K223" s="35" t="s">
        <v>20</v>
      </c>
      <c r="L223" s="36" t="e">
        <f>VLOOKUP(G223,#REF!,4,0)</f>
        <v>#REF!</v>
      </c>
      <c r="M223" s="37" t="e">
        <f>_xlfn.IFNA(VLOOKUP(G223,#REF!,2,0),"")</f>
        <v>#REF!</v>
      </c>
      <c r="N223" s="38" t="e">
        <f>_xlfn.IFNA(VLOOKUP(G223,#REF!,3,0),"")</f>
        <v>#REF!</v>
      </c>
      <c r="O223" s="39">
        <v>5</v>
      </c>
      <c r="P223" s="67">
        <v>0.26363636363636361</v>
      </c>
      <c r="Q223" s="39" t="s">
        <v>420</v>
      </c>
      <c r="R223" s="34">
        <v>1380</v>
      </c>
      <c r="S223" s="38"/>
      <c r="T223" s="40">
        <v>42.857142857142854</v>
      </c>
      <c r="U223" s="41">
        <f t="shared" si="26"/>
        <v>406.67532467532465</v>
      </c>
      <c r="V223" s="42">
        <f t="shared" si="22"/>
        <v>4.0667532467532466</v>
      </c>
      <c r="W223" s="43">
        <f t="shared" si="27"/>
        <v>0.6069780965303353</v>
      </c>
      <c r="X223" s="38"/>
      <c r="Y223" s="38"/>
      <c r="Z223" s="44" t="s">
        <v>96</v>
      </c>
      <c r="AA223" s="45">
        <v>46094</v>
      </c>
      <c r="AB223" s="45">
        <v>46116</v>
      </c>
      <c r="AC223" s="45"/>
      <c r="AD223" s="46" t="e">
        <f>IF(ISNA(VLOOKUP(D223,#REF!,5,0)),0,VLOOKUP(D223,#REF!,5,0))</f>
        <v>#REF!</v>
      </c>
      <c r="AE223" s="46" t="e">
        <f t="shared" si="28"/>
        <v>#REF!</v>
      </c>
      <c r="AF223" s="45">
        <v>46124</v>
      </c>
      <c r="AG223" s="33">
        <f t="shared" si="24"/>
        <v>30</v>
      </c>
      <c r="AH223" s="45">
        <v>46156</v>
      </c>
      <c r="AI223" s="39"/>
      <c r="AJ223" s="56">
        <f t="shared" si="25"/>
        <v>32</v>
      </c>
      <c r="AK223" s="39"/>
      <c r="AL223" s="35"/>
      <c r="AM223" s="34"/>
      <c r="AN223" s="34"/>
      <c r="AO223" s="39"/>
      <c r="AP223" s="47"/>
      <c r="AQ223" s="47"/>
      <c r="AR223" s="47"/>
      <c r="AS223" s="47"/>
    </row>
    <row r="224" spans="1:45" ht="12" customHeight="1" x14ac:dyDescent="0.25">
      <c r="A224" s="33">
        <v>223</v>
      </c>
      <c r="B224" s="34"/>
      <c r="C224" s="34" t="s">
        <v>129</v>
      </c>
      <c r="D224" s="35" t="s">
        <v>468</v>
      </c>
      <c r="E224" s="34" t="s">
        <v>61</v>
      </c>
      <c r="F224" s="34" t="s">
        <v>0</v>
      </c>
      <c r="G224" s="16" t="s">
        <v>293</v>
      </c>
      <c r="H224" s="34">
        <v>192</v>
      </c>
      <c r="I224" s="34" t="s">
        <v>218</v>
      </c>
      <c r="J224" s="34" t="s">
        <v>3</v>
      </c>
      <c r="K224" s="35" t="s">
        <v>20</v>
      </c>
      <c r="L224" s="36" t="e">
        <f>VLOOKUP(G224,#REF!,4,0)</f>
        <v>#REF!</v>
      </c>
      <c r="M224" s="37" t="e">
        <f>_xlfn.IFNA(VLOOKUP(G224,#REF!,2,0),"")</f>
        <v>#REF!</v>
      </c>
      <c r="N224" s="38" t="e">
        <f>_xlfn.IFNA(VLOOKUP(G224,#REF!,3,0),"")</f>
        <v>#REF!</v>
      </c>
      <c r="O224" s="39">
        <v>3</v>
      </c>
      <c r="P224" s="67">
        <v>0.125</v>
      </c>
      <c r="Q224" s="39" t="s">
        <v>420</v>
      </c>
      <c r="R224" s="34">
        <v>1380</v>
      </c>
      <c r="S224" s="38">
        <v>180</v>
      </c>
      <c r="T224" s="40">
        <v>20.76923076923077</v>
      </c>
      <c r="U224" s="41">
        <f t="shared" si="26"/>
        <v>193.26923076923077</v>
      </c>
      <c r="V224" s="42">
        <f t="shared" si="22"/>
        <v>1.0066105769230769</v>
      </c>
      <c r="W224" s="43">
        <f t="shared" si="27"/>
        <v>0.15024038461538461</v>
      </c>
      <c r="X224" s="38"/>
      <c r="Y224" s="38"/>
      <c r="Z224" s="44" t="s">
        <v>96</v>
      </c>
      <c r="AA224" s="45">
        <v>46094</v>
      </c>
      <c r="AB224" s="45">
        <v>46116</v>
      </c>
      <c r="AC224" s="45"/>
      <c r="AD224" s="46" t="e">
        <f>IF(ISNA(VLOOKUP(D224,#REF!,5,0)),0,VLOOKUP(D224,#REF!,5,0))</f>
        <v>#REF!</v>
      </c>
      <c r="AE224" s="46" t="e">
        <f t="shared" si="28"/>
        <v>#REF!</v>
      </c>
      <c r="AF224" s="45">
        <v>46129</v>
      </c>
      <c r="AG224" s="33">
        <f t="shared" si="24"/>
        <v>35</v>
      </c>
      <c r="AH224" s="45">
        <v>46164</v>
      </c>
      <c r="AI224" s="39"/>
      <c r="AJ224" s="56">
        <f t="shared" si="25"/>
        <v>35</v>
      </c>
      <c r="AK224" s="39"/>
      <c r="AL224" s="35"/>
      <c r="AM224" s="34"/>
      <c r="AN224" s="34"/>
      <c r="AO224" s="39"/>
      <c r="AP224" s="47"/>
      <c r="AQ224" s="47"/>
      <c r="AR224" s="47"/>
      <c r="AS224" s="47"/>
    </row>
    <row r="225" spans="1:45" ht="12" customHeight="1" x14ac:dyDescent="0.25">
      <c r="A225" s="33">
        <v>224</v>
      </c>
      <c r="B225" s="34"/>
      <c r="C225" s="34" t="s">
        <v>129</v>
      </c>
      <c r="D225" s="35" t="s">
        <v>468</v>
      </c>
      <c r="E225" s="34" t="s">
        <v>61</v>
      </c>
      <c r="F225" s="34" t="s">
        <v>0</v>
      </c>
      <c r="G225" s="16" t="s">
        <v>225</v>
      </c>
      <c r="H225" s="34">
        <v>128</v>
      </c>
      <c r="I225" s="34" t="s">
        <v>218</v>
      </c>
      <c r="J225" s="34" t="s">
        <v>3</v>
      </c>
      <c r="K225" s="35" t="s">
        <v>20</v>
      </c>
      <c r="L225" s="36" t="e">
        <f>VLOOKUP(G225,#REF!,4,0)</f>
        <v>#REF!</v>
      </c>
      <c r="M225" s="37" t="e">
        <f>_xlfn.IFNA(VLOOKUP(G225,#REF!,2,0),"")</f>
        <v>#REF!</v>
      </c>
      <c r="N225" s="38" t="e">
        <f>_xlfn.IFNA(VLOOKUP(G225,#REF!,3,0),"")</f>
        <v>#REF!</v>
      </c>
      <c r="O225" s="39">
        <v>2</v>
      </c>
      <c r="P225" s="67">
        <v>8.3333333333333329E-2</v>
      </c>
      <c r="Q225" s="39" t="s">
        <v>420</v>
      </c>
      <c r="R225" s="34">
        <v>1380</v>
      </c>
      <c r="S225" s="48">
        <f>SUMIF(C:C,C224,T:T)</f>
        <v>180</v>
      </c>
      <c r="T225" s="40">
        <v>13.846153846153847</v>
      </c>
      <c r="U225" s="41">
        <f t="shared" si="26"/>
        <v>128.84615384615384</v>
      </c>
      <c r="V225" s="42">
        <f t="shared" si="22"/>
        <v>1.0066105769230769</v>
      </c>
      <c r="W225" s="43">
        <f t="shared" si="27"/>
        <v>0.15024038461538461</v>
      </c>
      <c r="X225" s="38"/>
      <c r="Y225" s="38"/>
      <c r="Z225" s="44" t="s">
        <v>96</v>
      </c>
      <c r="AA225" s="45">
        <v>46094</v>
      </c>
      <c r="AB225" s="45">
        <v>46116</v>
      </c>
      <c r="AC225" s="45"/>
      <c r="AD225" s="46" t="e">
        <f>IF(ISNA(VLOOKUP(D225,#REF!,5,0)),0,VLOOKUP(D225,#REF!,5,0))</f>
        <v>#REF!</v>
      </c>
      <c r="AE225" s="46" t="e">
        <f t="shared" si="28"/>
        <v>#REF!</v>
      </c>
      <c r="AF225" s="45">
        <v>46129</v>
      </c>
      <c r="AG225" s="33">
        <f t="shared" si="24"/>
        <v>35</v>
      </c>
      <c r="AH225" s="45">
        <v>46164</v>
      </c>
      <c r="AI225" s="39"/>
      <c r="AJ225" s="56">
        <f t="shared" si="25"/>
        <v>35</v>
      </c>
      <c r="AK225" s="39"/>
      <c r="AL225" s="35"/>
      <c r="AM225" s="34"/>
      <c r="AN225" s="34"/>
      <c r="AO225" s="39"/>
      <c r="AP225" s="47"/>
      <c r="AQ225" s="47"/>
      <c r="AR225" s="47"/>
      <c r="AS225" s="47"/>
    </row>
    <row r="226" spans="1:45" ht="12" customHeight="1" x14ac:dyDescent="0.25">
      <c r="A226" s="33">
        <v>225</v>
      </c>
      <c r="B226" s="34"/>
      <c r="C226" s="34" t="s">
        <v>129</v>
      </c>
      <c r="D226" s="35" t="s">
        <v>468</v>
      </c>
      <c r="E226" s="34" t="s">
        <v>61</v>
      </c>
      <c r="F226" s="34" t="s">
        <v>0</v>
      </c>
      <c r="G226" s="16" t="s">
        <v>277</v>
      </c>
      <c r="H226" s="34">
        <v>384</v>
      </c>
      <c r="I226" s="34" t="s">
        <v>218</v>
      </c>
      <c r="J226" s="34" t="s">
        <v>3</v>
      </c>
      <c r="K226" s="35" t="s">
        <v>20</v>
      </c>
      <c r="L226" s="36" t="e">
        <f>VLOOKUP(G226,#REF!,4,0)</f>
        <v>#REF!</v>
      </c>
      <c r="M226" s="37" t="e">
        <f>_xlfn.IFNA(VLOOKUP(G226,#REF!,2,0),"")</f>
        <v>#REF!</v>
      </c>
      <c r="N226" s="38" t="e">
        <f>_xlfn.IFNA(VLOOKUP(G226,#REF!,3,0),"")</f>
        <v>#REF!</v>
      </c>
      <c r="O226" s="39">
        <v>6</v>
      </c>
      <c r="P226" s="67">
        <v>0.25</v>
      </c>
      <c r="Q226" s="39" t="s">
        <v>420</v>
      </c>
      <c r="R226" s="34">
        <v>1380</v>
      </c>
      <c r="S226" s="38"/>
      <c r="T226" s="40">
        <v>41.53846153846154</v>
      </c>
      <c r="U226" s="41">
        <f t="shared" si="26"/>
        <v>386.53846153846155</v>
      </c>
      <c r="V226" s="42">
        <f t="shared" si="22"/>
        <v>1.0066105769230769</v>
      </c>
      <c r="W226" s="43">
        <f t="shared" si="27"/>
        <v>0.15024038461538461</v>
      </c>
      <c r="X226" s="38"/>
      <c r="Y226" s="38"/>
      <c r="Z226" s="44" t="s">
        <v>96</v>
      </c>
      <c r="AA226" s="45">
        <v>46094</v>
      </c>
      <c r="AB226" s="45">
        <v>46116</v>
      </c>
      <c r="AC226" s="45"/>
      <c r="AD226" s="46" t="e">
        <f>IF(ISNA(VLOOKUP(D226,#REF!,5,0)),0,VLOOKUP(D226,#REF!,5,0))</f>
        <v>#REF!</v>
      </c>
      <c r="AE226" s="46" t="e">
        <f t="shared" si="28"/>
        <v>#REF!</v>
      </c>
      <c r="AF226" s="45">
        <v>46129</v>
      </c>
      <c r="AG226" s="33">
        <f t="shared" si="24"/>
        <v>35</v>
      </c>
      <c r="AH226" s="45">
        <v>46164</v>
      </c>
      <c r="AI226" s="39"/>
      <c r="AJ226" s="56">
        <f t="shared" si="25"/>
        <v>35</v>
      </c>
      <c r="AK226" s="39"/>
      <c r="AL226" s="35"/>
      <c r="AM226" s="34"/>
      <c r="AN226" s="34"/>
      <c r="AO226" s="39"/>
      <c r="AP226" s="47"/>
      <c r="AQ226" s="47"/>
      <c r="AR226" s="47"/>
      <c r="AS226" s="47"/>
    </row>
    <row r="227" spans="1:45" ht="12" customHeight="1" x14ac:dyDescent="0.25">
      <c r="A227" s="33">
        <v>226</v>
      </c>
      <c r="B227" s="34"/>
      <c r="C227" s="34" t="s">
        <v>129</v>
      </c>
      <c r="D227" s="35" t="s">
        <v>468</v>
      </c>
      <c r="E227" s="34" t="s">
        <v>61</v>
      </c>
      <c r="F227" s="34" t="s">
        <v>0</v>
      </c>
      <c r="G227" s="16" t="s">
        <v>276</v>
      </c>
      <c r="H227" s="34">
        <v>256</v>
      </c>
      <c r="I227" s="34" t="s">
        <v>218</v>
      </c>
      <c r="J227" s="34" t="s">
        <v>3</v>
      </c>
      <c r="K227" s="35" t="s">
        <v>20</v>
      </c>
      <c r="L227" s="36" t="e">
        <f>VLOOKUP(G227,#REF!,4,0)</f>
        <v>#REF!</v>
      </c>
      <c r="M227" s="37" t="e">
        <f>_xlfn.IFNA(VLOOKUP(G227,#REF!,2,0),"")</f>
        <v>#REF!</v>
      </c>
      <c r="N227" s="38" t="e">
        <f>_xlfn.IFNA(VLOOKUP(G227,#REF!,3,0),"")</f>
        <v>#REF!</v>
      </c>
      <c r="O227" s="39">
        <v>4</v>
      </c>
      <c r="P227" s="67">
        <v>0.16666666666666666</v>
      </c>
      <c r="Q227" s="39" t="s">
        <v>420</v>
      </c>
      <c r="R227" s="34">
        <v>1380</v>
      </c>
      <c r="S227" s="38"/>
      <c r="T227" s="40">
        <v>27.692307692307693</v>
      </c>
      <c r="U227" s="41">
        <f t="shared" si="26"/>
        <v>257.69230769230768</v>
      </c>
      <c r="V227" s="42">
        <f t="shared" si="22"/>
        <v>1.0066105769230769</v>
      </c>
      <c r="W227" s="43">
        <f t="shared" si="27"/>
        <v>0.15024038461538461</v>
      </c>
      <c r="X227" s="38"/>
      <c r="Y227" s="38"/>
      <c r="Z227" s="44" t="s">
        <v>96</v>
      </c>
      <c r="AA227" s="45">
        <v>46094</v>
      </c>
      <c r="AB227" s="45">
        <v>46116</v>
      </c>
      <c r="AC227" s="45"/>
      <c r="AD227" s="46" t="e">
        <f>IF(ISNA(VLOOKUP(D227,#REF!,5,0)),0,VLOOKUP(D227,#REF!,5,0))</f>
        <v>#REF!</v>
      </c>
      <c r="AE227" s="46" t="e">
        <f t="shared" si="28"/>
        <v>#REF!</v>
      </c>
      <c r="AF227" s="45">
        <v>46129</v>
      </c>
      <c r="AG227" s="33">
        <f t="shared" si="24"/>
        <v>35</v>
      </c>
      <c r="AH227" s="45">
        <v>46164</v>
      </c>
      <c r="AI227" s="39"/>
      <c r="AJ227" s="56">
        <f t="shared" si="25"/>
        <v>35</v>
      </c>
      <c r="AK227" s="39"/>
      <c r="AL227" s="35"/>
      <c r="AM227" s="34"/>
      <c r="AN227" s="34"/>
      <c r="AO227" s="39"/>
      <c r="AP227" s="47"/>
      <c r="AQ227" s="47"/>
      <c r="AR227" s="47"/>
      <c r="AS227" s="47"/>
    </row>
    <row r="228" spans="1:45" ht="12" customHeight="1" x14ac:dyDescent="0.25">
      <c r="A228" s="33">
        <v>227</v>
      </c>
      <c r="B228" s="34"/>
      <c r="C228" s="34" t="s">
        <v>129</v>
      </c>
      <c r="D228" s="35" t="s">
        <v>468</v>
      </c>
      <c r="E228" s="34" t="s">
        <v>61</v>
      </c>
      <c r="F228" s="34" t="s">
        <v>0</v>
      </c>
      <c r="G228" s="16" t="s">
        <v>253</v>
      </c>
      <c r="H228" s="34">
        <v>384</v>
      </c>
      <c r="I228" s="34" t="s">
        <v>218</v>
      </c>
      <c r="J228" s="34" t="s">
        <v>3</v>
      </c>
      <c r="K228" s="35" t="s">
        <v>20</v>
      </c>
      <c r="L228" s="36" t="e">
        <f>VLOOKUP(G228,#REF!,4,0)</f>
        <v>#REF!</v>
      </c>
      <c r="M228" s="37" t="e">
        <f>_xlfn.IFNA(VLOOKUP(G228,#REF!,2,0),"")</f>
        <v>#REF!</v>
      </c>
      <c r="N228" s="38" t="e">
        <f>_xlfn.IFNA(VLOOKUP(G228,#REF!,3,0),"")</f>
        <v>#REF!</v>
      </c>
      <c r="O228" s="39">
        <v>6</v>
      </c>
      <c r="P228" s="67">
        <v>0.25</v>
      </c>
      <c r="Q228" s="39" t="s">
        <v>420</v>
      </c>
      <c r="R228" s="34">
        <v>1380</v>
      </c>
      <c r="S228" s="38"/>
      <c r="T228" s="40">
        <v>41.53846153846154</v>
      </c>
      <c r="U228" s="41">
        <f t="shared" si="26"/>
        <v>386.53846153846155</v>
      </c>
      <c r="V228" s="42">
        <f t="shared" si="22"/>
        <v>1.0066105769230769</v>
      </c>
      <c r="W228" s="43">
        <f t="shared" si="27"/>
        <v>0.15024038461538461</v>
      </c>
      <c r="X228" s="38"/>
      <c r="Y228" s="38"/>
      <c r="Z228" s="44" t="s">
        <v>96</v>
      </c>
      <c r="AA228" s="45">
        <v>46094</v>
      </c>
      <c r="AB228" s="45">
        <v>46116</v>
      </c>
      <c r="AC228" s="45"/>
      <c r="AD228" s="46" t="e">
        <f>IF(ISNA(VLOOKUP(D228,#REF!,5,0)),0,VLOOKUP(D228,#REF!,5,0))</f>
        <v>#REF!</v>
      </c>
      <c r="AE228" s="46" t="e">
        <f t="shared" si="28"/>
        <v>#REF!</v>
      </c>
      <c r="AF228" s="45">
        <v>46129</v>
      </c>
      <c r="AG228" s="33">
        <f t="shared" si="24"/>
        <v>35</v>
      </c>
      <c r="AH228" s="45">
        <v>46164</v>
      </c>
      <c r="AI228" s="39"/>
      <c r="AJ228" s="56">
        <f t="shared" si="25"/>
        <v>35</v>
      </c>
      <c r="AK228" s="39"/>
      <c r="AL228" s="35"/>
      <c r="AM228" s="34"/>
      <c r="AN228" s="34"/>
      <c r="AO228" s="39"/>
      <c r="AP228" s="47"/>
      <c r="AQ228" s="47"/>
      <c r="AR228" s="47"/>
      <c r="AS228" s="47"/>
    </row>
    <row r="229" spans="1:45" ht="12" customHeight="1" x14ac:dyDescent="0.25">
      <c r="A229" s="33">
        <v>228</v>
      </c>
      <c r="B229" s="34"/>
      <c r="C229" s="34" t="s">
        <v>129</v>
      </c>
      <c r="D229" s="35" t="s">
        <v>468</v>
      </c>
      <c r="E229" s="34" t="s">
        <v>61</v>
      </c>
      <c r="F229" s="34" t="s">
        <v>0</v>
      </c>
      <c r="G229" s="16" t="s">
        <v>227</v>
      </c>
      <c r="H229" s="34">
        <v>128</v>
      </c>
      <c r="I229" s="34" t="s">
        <v>218</v>
      </c>
      <c r="J229" s="34" t="s">
        <v>3</v>
      </c>
      <c r="K229" s="35" t="s">
        <v>20</v>
      </c>
      <c r="L229" s="36" t="e">
        <f>VLOOKUP(G229,#REF!,4,0)</f>
        <v>#REF!</v>
      </c>
      <c r="M229" s="37" t="e">
        <f>_xlfn.IFNA(VLOOKUP(G229,#REF!,2,0),"")</f>
        <v>#REF!</v>
      </c>
      <c r="N229" s="38" t="e">
        <f>_xlfn.IFNA(VLOOKUP(G229,#REF!,3,0),"")</f>
        <v>#REF!</v>
      </c>
      <c r="O229" s="39">
        <v>2</v>
      </c>
      <c r="P229" s="67">
        <v>8.3333333333333329E-2</v>
      </c>
      <c r="Q229" s="39" t="s">
        <v>420</v>
      </c>
      <c r="R229" s="34">
        <v>1380</v>
      </c>
      <c r="S229" s="38"/>
      <c r="T229" s="40">
        <v>13.846153846153847</v>
      </c>
      <c r="U229" s="41">
        <f t="shared" si="26"/>
        <v>128.84615384615384</v>
      </c>
      <c r="V229" s="42">
        <f t="shared" si="22"/>
        <v>1.0066105769230769</v>
      </c>
      <c r="W229" s="43">
        <f t="shared" si="27"/>
        <v>0.15024038461538461</v>
      </c>
      <c r="X229" s="38"/>
      <c r="Y229" s="38"/>
      <c r="Z229" s="44" t="s">
        <v>96</v>
      </c>
      <c r="AA229" s="45">
        <v>46094</v>
      </c>
      <c r="AB229" s="45">
        <v>46116</v>
      </c>
      <c r="AC229" s="45"/>
      <c r="AD229" s="46" t="e">
        <f>IF(ISNA(VLOOKUP(D229,#REF!,5,0)),0,VLOOKUP(D229,#REF!,5,0))</f>
        <v>#REF!</v>
      </c>
      <c r="AE229" s="46" t="e">
        <f t="shared" si="28"/>
        <v>#REF!</v>
      </c>
      <c r="AF229" s="45">
        <v>46129</v>
      </c>
      <c r="AG229" s="33">
        <f t="shared" si="24"/>
        <v>35</v>
      </c>
      <c r="AH229" s="45">
        <v>46164</v>
      </c>
      <c r="AI229" s="39"/>
      <c r="AJ229" s="56">
        <f t="shared" si="25"/>
        <v>35</v>
      </c>
      <c r="AK229" s="39"/>
      <c r="AL229" s="35"/>
      <c r="AM229" s="34"/>
      <c r="AN229" s="34"/>
      <c r="AO229" s="39"/>
      <c r="AP229" s="47"/>
      <c r="AQ229" s="47"/>
      <c r="AR229" s="47"/>
      <c r="AS229" s="47"/>
    </row>
    <row r="230" spans="1:45" ht="12" customHeight="1" x14ac:dyDescent="0.25">
      <c r="A230" s="33">
        <v>229</v>
      </c>
      <c r="B230" s="34"/>
      <c r="C230" s="34" t="s">
        <v>129</v>
      </c>
      <c r="D230" s="35" t="s">
        <v>468</v>
      </c>
      <c r="E230" s="34" t="s">
        <v>61</v>
      </c>
      <c r="F230" s="34" t="s">
        <v>0</v>
      </c>
      <c r="G230" s="16" t="s">
        <v>226</v>
      </c>
      <c r="H230" s="34">
        <v>64</v>
      </c>
      <c r="I230" s="34" t="s">
        <v>218</v>
      </c>
      <c r="J230" s="34" t="s">
        <v>3</v>
      </c>
      <c r="K230" s="35" t="s">
        <v>20</v>
      </c>
      <c r="L230" s="36" t="e">
        <f>VLOOKUP(G230,#REF!,4,0)</f>
        <v>#REF!</v>
      </c>
      <c r="M230" s="37" t="e">
        <f>_xlfn.IFNA(VLOOKUP(G230,#REF!,2,0),"")</f>
        <v>#REF!</v>
      </c>
      <c r="N230" s="38" t="e">
        <f>_xlfn.IFNA(VLOOKUP(G230,#REF!,3,0),"")</f>
        <v>#REF!</v>
      </c>
      <c r="O230" s="39">
        <v>1</v>
      </c>
      <c r="P230" s="67">
        <v>4.1666666666666664E-2</v>
      </c>
      <c r="Q230" s="39" t="s">
        <v>420</v>
      </c>
      <c r="R230" s="34">
        <v>1380</v>
      </c>
      <c r="S230" s="38"/>
      <c r="T230" s="40">
        <v>6.9230769230769234</v>
      </c>
      <c r="U230" s="41">
        <f t="shared" si="26"/>
        <v>64.42307692307692</v>
      </c>
      <c r="V230" s="42">
        <f t="shared" si="22"/>
        <v>1.0066105769230769</v>
      </c>
      <c r="W230" s="43">
        <f t="shared" si="27"/>
        <v>0.15024038461538461</v>
      </c>
      <c r="X230" s="38"/>
      <c r="Y230" s="38"/>
      <c r="Z230" s="44" t="s">
        <v>96</v>
      </c>
      <c r="AA230" s="45">
        <v>46094</v>
      </c>
      <c r="AB230" s="45">
        <v>46116</v>
      </c>
      <c r="AC230" s="45"/>
      <c r="AD230" s="46" t="e">
        <f>IF(ISNA(VLOOKUP(D230,#REF!,5,0)),0,VLOOKUP(D230,#REF!,5,0))</f>
        <v>#REF!</v>
      </c>
      <c r="AE230" s="46" t="e">
        <f t="shared" si="28"/>
        <v>#REF!</v>
      </c>
      <c r="AF230" s="45">
        <v>46129</v>
      </c>
      <c r="AG230" s="33">
        <f t="shared" si="24"/>
        <v>35</v>
      </c>
      <c r="AH230" s="45">
        <v>46164</v>
      </c>
      <c r="AI230" s="39"/>
      <c r="AJ230" s="56">
        <f t="shared" si="25"/>
        <v>35</v>
      </c>
      <c r="AK230" s="39"/>
      <c r="AL230" s="35"/>
      <c r="AM230" s="34"/>
      <c r="AN230" s="34"/>
      <c r="AO230" s="39"/>
      <c r="AP230" s="47"/>
      <c r="AQ230" s="47"/>
      <c r="AR230" s="47"/>
      <c r="AS230" s="47"/>
    </row>
    <row r="231" spans="1:45" ht="12" customHeight="1" x14ac:dyDescent="0.25">
      <c r="A231" s="33">
        <v>230</v>
      </c>
      <c r="B231" s="71" t="s">
        <v>510</v>
      </c>
      <c r="C231" s="34" t="s">
        <v>129</v>
      </c>
      <c r="D231" s="35" t="s">
        <v>469</v>
      </c>
      <c r="E231" s="34" t="s">
        <v>470</v>
      </c>
      <c r="F231" s="34" t="s">
        <v>0</v>
      </c>
      <c r="G231" s="16" t="s">
        <v>438</v>
      </c>
      <c r="H231" s="34">
        <v>128</v>
      </c>
      <c r="I231" s="34" t="s">
        <v>218</v>
      </c>
      <c r="J231" s="34" t="s">
        <v>3</v>
      </c>
      <c r="K231" s="35" t="s">
        <v>5</v>
      </c>
      <c r="L231" s="36" t="e">
        <f>VLOOKUP(G231,#REF!,4,0)</f>
        <v>#REF!</v>
      </c>
      <c r="M231" s="37" t="e">
        <f>_xlfn.IFNA(VLOOKUP(G231,#REF!,2,0),"")</f>
        <v>#REF!</v>
      </c>
      <c r="N231" s="38" t="e">
        <f>_xlfn.IFNA(VLOOKUP(G231,#REF!,3,0),"")</f>
        <v>#REF!</v>
      </c>
      <c r="O231" s="39">
        <v>2</v>
      </c>
      <c r="P231" s="67">
        <v>30</v>
      </c>
      <c r="Q231" s="39" t="s">
        <v>10</v>
      </c>
      <c r="R231" s="34">
        <v>6.3</v>
      </c>
      <c r="S231" s="38"/>
      <c r="T231" s="40">
        <v>13.846153846153847</v>
      </c>
      <c r="U231" s="41">
        <f t="shared" si="26"/>
        <v>202.84615384615384</v>
      </c>
      <c r="V231" s="42">
        <f t="shared" si="22"/>
        <v>1.5847355769230769</v>
      </c>
      <c r="W231" s="43">
        <f t="shared" si="27"/>
        <v>0.23652769804822044</v>
      </c>
      <c r="X231" s="38"/>
      <c r="Y231" s="38"/>
      <c r="Z231" s="44" t="s">
        <v>96</v>
      </c>
      <c r="AA231" s="45">
        <v>46094</v>
      </c>
      <c r="AB231" s="45">
        <v>46116</v>
      </c>
      <c r="AC231" s="45"/>
      <c r="AD231" s="46" t="e">
        <f>IF(ISNA(VLOOKUP(D231,#REF!,5,0)),0,VLOOKUP(D231,#REF!,5,0))</f>
        <v>#REF!</v>
      </c>
      <c r="AE231" s="46" t="e">
        <f t="shared" si="28"/>
        <v>#REF!</v>
      </c>
      <c r="AF231" s="45">
        <v>46128</v>
      </c>
      <c r="AG231" s="33">
        <f t="shared" si="24"/>
        <v>34</v>
      </c>
      <c r="AH231" s="45">
        <v>46157</v>
      </c>
      <c r="AI231" s="39"/>
      <c r="AJ231" s="56">
        <f t="shared" si="25"/>
        <v>29</v>
      </c>
      <c r="AK231" s="39"/>
      <c r="AL231" s="35"/>
      <c r="AM231" s="34"/>
      <c r="AN231" s="34"/>
      <c r="AO231" s="39"/>
      <c r="AP231" s="47"/>
      <c r="AQ231" s="47"/>
      <c r="AR231" s="47"/>
      <c r="AS231" s="47"/>
    </row>
    <row r="232" spans="1:45" ht="12" customHeight="1" x14ac:dyDescent="0.25">
      <c r="A232" s="33">
        <v>231</v>
      </c>
      <c r="B232" s="34"/>
      <c r="C232" s="34" t="s">
        <v>471</v>
      </c>
      <c r="D232" s="35" t="s">
        <v>472</v>
      </c>
      <c r="E232" s="34" t="s">
        <v>230</v>
      </c>
      <c r="F232" s="34" t="s">
        <v>52</v>
      </c>
      <c r="G232" s="16" t="s">
        <v>86</v>
      </c>
      <c r="H232" s="34">
        <v>600</v>
      </c>
      <c r="I232" s="34" t="s">
        <v>66</v>
      </c>
      <c r="J232" s="34" t="s">
        <v>55</v>
      </c>
      <c r="K232" s="35" t="s">
        <v>229</v>
      </c>
      <c r="L232" s="36" t="e">
        <f>VLOOKUP(G232,#REF!,4,0)</f>
        <v>#REF!</v>
      </c>
      <c r="M232" s="37" t="e">
        <f>_xlfn.IFNA(VLOOKUP(G232,#REF!,2,0),"")</f>
        <v>#REF!</v>
      </c>
      <c r="N232" s="38" t="e">
        <f>_xlfn.IFNA(VLOOKUP(G232,#REF!,3,0),"")</f>
        <v>#REF!</v>
      </c>
      <c r="O232" s="39">
        <v>50</v>
      </c>
      <c r="P232" s="67">
        <v>676.71232876712338</v>
      </c>
      <c r="Q232" s="39" t="s">
        <v>10</v>
      </c>
      <c r="R232" s="34">
        <v>6</v>
      </c>
      <c r="S232" s="38">
        <v>250</v>
      </c>
      <c r="T232" s="40">
        <v>171.23287671232876</v>
      </c>
      <c r="U232" s="41">
        <f t="shared" si="26"/>
        <v>4231.5068493150693</v>
      </c>
      <c r="V232" s="42">
        <f t="shared" si="22"/>
        <v>7.0525114155251156</v>
      </c>
      <c r="W232" s="43">
        <f t="shared" si="27"/>
        <v>1.0526136441082261</v>
      </c>
      <c r="X232" s="38"/>
      <c r="Y232" s="38"/>
      <c r="Z232" s="44" t="s">
        <v>96</v>
      </c>
      <c r="AA232" s="45">
        <v>46094</v>
      </c>
      <c r="AB232" s="45">
        <v>46126</v>
      </c>
      <c r="AC232" s="45"/>
      <c r="AD232" s="46" t="e">
        <f>IF(ISNA(VLOOKUP(D232,#REF!,5,0)),0,VLOOKUP(D232,#REF!,5,0))</f>
        <v>#REF!</v>
      </c>
      <c r="AE232" s="46" t="e">
        <f t="shared" si="28"/>
        <v>#REF!</v>
      </c>
      <c r="AF232" s="45">
        <v>46139</v>
      </c>
      <c r="AG232" s="33">
        <f t="shared" si="24"/>
        <v>45</v>
      </c>
      <c r="AH232" s="45">
        <v>46170</v>
      </c>
      <c r="AI232" s="39"/>
      <c r="AJ232" s="56">
        <f t="shared" si="25"/>
        <v>31</v>
      </c>
      <c r="AK232" s="39"/>
      <c r="AL232" s="35"/>
      <c r="AM232" s="34"/>
      <c r="AN232" s="34"/>
      <c r="AO232" s="39"/>
      <c r="AP232" s="47"/>
      <c r="AQ232" s="47"/>
      <c r="AR232" s="47"/>
      <c r="AS232" s="47"/>
    </row>
    <row r="233" spans="1:45" ht="12" customHeight="1" x14ac:dyDescent="0.25">
      <c r="A233" s="33">
        <v>232</v>
      </c>
      <c r="B233" s="34"/>
      <c r="C233" s="34" t="s">
        <v>471</v>
      </c>
      <c r="D233" s="35" t="s">
        <v>472</v>
      </c>
      <c r="E233" s="34" t="s">
        <v>230</v>
      </c>
      <c r="F233" s="34" t="s">
        <v>52</v>
      </c>
      <c r="G233" s="16" t="s">
        <v>116</v>
      </c>
      <c r="H233" s="34">
        <v>72</v>
      </c>
      <c r="I233" s="34" t="s">
        <v>66</v>
      </c>
      <c r="J233" s="34" t="s">
        <v>55</v>
      </c>
      <c r="K233" s="35" t="s">
        <v>229</v>
      </c>
      <c r="L233" s="36" t="e">
        <f>VLOOKUP(G233,#REF!,4,0)</f>
        <v>#REF!</v>
      </c>
      <c r="M233" s="37" t="e">
        <f>_xlfn.IFNA(VLOOKUP(G233,#REF!,2,0),"")</f>
        <v>#REF!</v>
      </c>
      <c r="N233" s="38" t="e">
        <f>_xlfn.IFNA(VLOOKUP(G233,#REF!,3,0),"")</f>
        <v>#REF!</v>
      </c>
      <c r="O233" s="39">
        <v>6</v>
      </c>
      <c r="P233" s="67">
        <v>81.205479452054803</v>
      </c>
      <c r="Q233" s="39" t="s">
        <v>10</v>
      </c>
      <c r="R233" s="34">
        <v>6</v>
      </c>
      <c r="S233" s="48">
        <f>SUMIF(C:C,C232,T:T)</f>
        <v>250</v>
      </c>
      <c r="T233" s="40">
        <v>20.547945205479451</v>
      </c>
      <c r="U233" s="41">
        <f t="shared" si="26"/>
        <v>507.78082191780823</v>
      </c>
      <c r="V233" s="42">
        <f t="shared" si="22"/>
        <v>7.0525114155251138</v>
      </c>
      <c r="W233" s="43">
        <f t="shared" si="27"/>
        <v>1.0526136441082259</v>
      </c>
      <c r="X233" s="38"/>
      <c r="Y233" s="38"/>
      <c r="Z233" s="44" t="s">
        <v>96</v>
      </c>
      <c r="AA233" s="45">
        <v>46094</v>
      </c>
      <c r="AB233" s="45">
        <v>46126</v>
      </c>
      <c r="AC233" s="45"/>
      <c r="AD233" s="46" t="e">
        <f>IF(ISNA(VLOOKUP(D233,#REF!,5,0)),0,VLOOKUP(D233,#REF!,5,0))</f>
        <v>#REF!</v>
      </c>
      <c r="AE233" s="46" t="e">
        <f t="shared" si="28"/>
        <v>#REF!</v>
      </c>
      <c r="AF233" s="45">
        <v>46139</v>
      </c>
      <c r="AG233" s="33">
        <f t="shared" si="24"/>
        <v>45</v>
      </c>
      <c r="AH233" s="45">
        <v>46170</v>
      </c>
      <c r="AI233" s="39"/>
      <c r="AJ233" s="56">
        <f t="shared" si="25"/>
        <v>31</v>
      </c>
      <c r="AK233" s="39"/>
      <c r="AL233" s="35"/>
      <c r="AM233" s="34"/>
      <c r="AN233" s="34"/>
      <c r="AO233" s="39"/>
      <c r="AP233" s="47"/>
      <c r="AQ233" s="47"/>
      <c r="AR233" s="47"/>
      <c r="AS233" s="47"/>
    </row>
    <row r="234" spans="1:45" ht="12" customHeight="1" x14ac:dyDescent="0.25">
      <c r="A234" s="33">
        <v>233</v>
      </c>
      <c r="B234" s="34"/>
      <c r="C234" s="34" t="s">
        <v>471</v>
      </c>
      <c r="D234" s="35" t="s">
        <v>472</v>
      </c>
      <c r="E234" s="34" t="s">
        <v>230</v>
      </c>
      <c r="F234" s="34" t="s">
        <v>52</v>
      </c>
      <c r="G234" s="16" t="s">
        <v>84</v>
      </c>
      <c r="H234" s="34">
        <v>204</v>
      </c>
      <c r="I234" s="34" t="s">
        <v>66</v>
      </c>
      <c r="J234" s="34" t="s">
        <v>55</v>
      </c>
      <c r="K234" s="35" t="s">
        <v>229</v>
      </c>
      <c r="L234" s="36" t="e">
        <f>VLOOKUP(G234,#REF!,4,0)</f>
        <v>#REF!</v>
      </c>
      <c r="M234" s="37" t="e">
        <f>_xlfn.IFNA(VLOOKUP(G234,#REF!,2,0),"")</f>
        <v>#REF!</v>
      </c>
      <c r="N234" s="38" t="e">
        <f>_xlfn.IFNA(VLOOKUP(G234,#REF!,3,0),"")</f>
        <v>#REF!</v>
      </c>
      <c r="O234" s="39">
        <v>17</v>
      </c>
      <c r="P234" s="67">
        <v>230.08219178082194</v>
      </c>
      <c r="Q234" s="39" t="s">
        <v>10</v>
      </c>
      <c r="R234" s="34">
        <v>6</v>
      </c>
      <c r="S234" s="38"/>
      <c r="T234" s="40">
        <v>58.219178082191782</v>
      </c>
      <c r="U234" s="41">
        <f t="shared" si="26"/>
        <v>1438.7123287671234</v>
      </c>
      <c r="V234" s="42">
        <f t="shared" si="22"/>
        <v>7.0525114155251147</v>
      </c>
      <c r="W234" s="43">
        <f t="shared" si="27"/>
        <v>1.0526136441082261</v>
      </c>
      <c r="X234" s="38"/>
      <c r="Y234" s="38"/>
      <c r="Z234" s="44" t="s">
        <v>96</v>
      </c>
      <c r="AA234" s="45">
        <v>46094</v>
      </c>
      <c r="AB234" s="45">
        <v>46126</v>
      </c>
      <c r="AC234" s="45"/>
      <c r="AD234" s="46" t="e">
        <f>IF(ISNA(VLOOKUP(D234,#REF!,5,0)),0,VLOOKUP(D234,#REF!,5,0))</f>
        <v>#REF!</v>
      </c>
      <c r="AE234" s="46" t="e">
        <f t="shared" si="28"/>
        <v>#REF!</v>
      </c>
      <c r="AF234" s="45">
        <v>46139</v>
      </c>
      <c r="AG234" s="33">
        <f t="shared" si="24"/>
        <v>45</v>
      </c>
      <c r="AH234" s="45">
        <v>46170</v>
      </c>
      <c r="AI234" s="39"/>
      <c r="AJ234" s="56">
        <f t="shared" si="25"/>
        <v>31</v>
      </c>
      <c r="AK234" s="39"/>
      <c r="AL234" s="35"/>
      <c r="AM234" s="34"/>
      <c r="AN234" s="34"/>
      <c r="AO234" s="39"/>
      <c r="AP234" s="47"/>
      <c r="AQ234" s="47"/>
      <c r="AR234" s="47"/>
      <c r="AS234" s="47"/>
    </row>
    <row r="235" spans="1:45" ht="12" customHeight="1" x14ac:dyDescent="0.25">
      <c r="A235" s="33">
        <v>234</v>
      </c>
      <c r="B235" s="34"/>
      <c r="C235" s="34" t="s">
        <v>478</v>
      </c>
      <c r="D235" s="35" t="s">
        <v>479</v>
      </c>
      <c r="E235" s="34" t="s">
        <v>61</v>
      </c>
      <c r="F235" s="34" t="s">
        <v>0</v>
      </c>
      <c r="G235" s="16" t="s">
        <v>242</v>
      </c>
      <c r="H235" s="34">
        <v>600</v>
      </c>
      <c r="I235" s="34" t="s">
        <v>218</v>
      </c>
      <c r="J235" s="34" t="s">
        <v>2</v>
      </c>
      <c r="K235" s="35" t="s">
        <v>18</v>
      </c>
      <c r="L235" s="36" t="e">
        <f>VLOOKUP(G235,#REF!,4,0)</f>
        <v>#REF!</v>
      </c>
      <c r="M235" s="37" t="e">
        <f>_xlfn.IFNA(VLOOKUP(G235,#REF!,2,0),"")</f>
        <v>#REF!</v>
      </c>
      <c r="N235" s="38" t="e">
        <f>_xlfn.IFNA(VLOOKUP(G235,#REF!,3,0),"")</f>
        <v>#REF!</v>
      </c>
      <c r="O235" s="39">
        <v>15</v>
      </c>
      <c r="P235" s="67">
        <v>0.78</v>
      </c>
      <c r="Q235" s="39" t="s">
        <v>420</v>
      </c>
      <c r="R235" s="34">
        <v>1830</v>
      </c>
      <c r="S235" s="38">
        <v>180</v>
      </c>
      <c r="T235" s="40">
        <v>69.230769230769226</v>
      </c>
      <c r="U235" s="41">
        <f t="shared" ref="U235" si="29">R235*P235+T235</f>
        <v>1496.6307692307694</v>
      </c>
      <c r="V235" s="42">
        <f t="shared" ref="V235" si="30">U235/H235</f>
        <v>2.4943846153846154</v>
      </c>
      <c r="W235" s="43">
        <f t="shared" ref="W235" si="31">V235/6.7</f>
        <v>0.37229621125143514</v>
      </c>
      <c r="X235" s="38"/>
      <c r="Y235" s="38"/>
      <c r="Z235" s="44" t="s">
        <v>96</v>
      </c>
      <c r="AA235" s="45">
        <v>46102</v>
      </c>
      <c r="AB235" s="45">
        <v>46117</v>
      </c>
      <c r="AC235" s="45"/>
      <c r="AD235" s="46" t="e">
        <f>IF(ISNA(VLOOKUP(D235,#REF!,5,0)),0,VLOOKUP(D235,#REF!,5,0))</f>
        <v>#REF!</v>
      </c>
      <c r="AE235" s="46" t="e">
        <f t="shared" si="28"/>
        <v>#REF!</v>
      </c>
      <c r="AF235" s="45">
        <v>46122</v>
      </c>
      <c r="AG235" s="33">
        <f t="shared" si="24"/>
        <v>20</v>
      </c>
      <c r="AH235" s="45">
        <v>46156</v>
      </c>
      <c r="AI235" s="39"/>
      <c r="AJ235" s="56">
        <f t="shared" si="25"/>
        <v>34</v>
      </c>
      <c r="AK235" s="39"/>
      <c r="AL235" s="35"/>
      <c r="AM235" s="34"/>
      <c r="AN235" s="34"/>
      <c r="AO235" s="39"/>
      <c r="AP235" s="47"/>
      <c r="AQ235" s="47"/>
      <c r="AR235" s="47"/>
      <c r="AS235" s="47"/>
    </row>
    <row r="236" spans="1:45" ht="12" customHeight="1" x14ac:dyDescent="0.25">
      <c r="A236" s="33">
        <v>235</v>
      </c>
      <c r="B236" s="34"/>
      <c r="C236" s="34" t="s">
        <v>480</v>
      </c>
      <c r="D236" s="35" t="s">
        <v>481</v>
      </c>
      <c r="E236" s="34" t="s">
        <v>61</v>
      </c>
      <c r="F236" s="34" t="s">
        <v>0</v>
      </c>
      <c r="G236" s="16" t="s">
        <v>282</v>
      </c>
      <c r="H236" s="34">
        <v>300</v>
      </c>
      <c r="I236" s="34" t="s">
        <v>66</v>
      </c>
      <c r="J236" s="34" t="s">
        <v>3</v>
      </c>
      <c r="K236" s="35" t="s">
        <v>5</v>
      </c>
      <c r="L236" s="36" t="e">
        <f>VLOOKUP(G236,#REF!,4,0)</f>
        <v>#REF!</v>
      </c>
      <c r="M236" s="37" t="e">
        <f>_xlfn.IFNA(VLOOKUP(G236,#REF!,2,0),"")</f>
        <v>#REF!</v>
      </c>
      <c r="N236" s="38" t="e">
        <f>_xlfn.IFNA(VLOOKUP(G236,#REF!,3,0),"")</f>
        <v>#REF!</v>
      </c>
      <c r="O236" s="39">
        <v>10</v>
      </c>
      <c r="P236" s="67">
        <v>154.5</v>
      </c>
      <c r="Q236" s="39" t="s">
        <v>10</v>
      </c>
      <c r="R236" s="34">
        <v>3.6</v>
      </c>
      <c r="S236" s="38">
        <v>200</v>
      </c>
      <c r="T236" s="40">
        <v>14.492753623188406</v>
      </c>
      <c r="U236" s="41">
        <f t="shared" ref="U236:U282" si="32">R236*P236+T236</f>
        <v>570.69275362318842</v>
      </c>
      <c r="V236" s="42">
        <f t="shared" si="22"/>
        <v>1.9023091787439614</v>
      </c>
      <c r="W236" s="43">
        <f t="shared" ref="W236:W282" si="33">V236/6.7</f>
        <v>0.28392674309611365</v>
      </c>
      <c r="X236" s="38"/>
      <c r="Y236" s="38"/>
      <c r="Z236" s="44" t="s">
        <v>96</v>
      </c>
      <c r="AA236" s="45">
        <v>46102</v>
      </c>
      <c r="AB236" s="45">
        <v>46122</v>
      </c>
      <c r="AC236" s="45"/>
      <c r="AD236" s="46" t="e">
        <f>IF(ISNA(VLOOKUP(D236,#REF!,5,0)),0,VLOOKUP(D236,#REF!,5,0))</f>
        <v>#REF!</v>
      </c>
      <c r="AE236" s="46" t="e">
        <f t="shared" si="28"/>
        <v>#REF!</v>
      </c>
      <c r="AF236" s="45">
        <v>46129</v>
      </c>
      <c r="AG236" s="33">
        <f t="shared" si="24"/>
        <v>27</v>
      </c>
      <c r="AH236" s="45">
        <v>46162</v>
      </c>
      <c r="AI236" s="39"/>
      <c r="AJ236" s="56">
        <f t="shared" si="25"/>
        <v>33</v>
      </c>
      <c r="AK236" s="39"/>
      <c r="AL236" s="35"/>
      <c r="AM236" s="34"/>
      <c r="AN236" s="34"/>
      <c r="AO236" s="39"/>
      <c r="AP236" s="47"/>
      <c r="AQ236" s="47"/>
      <c r="AR236" s="47"/>
      <c r="AS236" s="47"/>
    </row>
    <row r="237" spans="1:45" ht="12" customHeight="1" x14ac:dyDescent="0.25">
      <c r="A237" s="33">
        <v>236</v>
      </c>
      <c r="B237" s="34"/>
      <c r="C237" s="34" t="s">
        <v>480</v>
      </c>
      <c r="D237" s="35" t="s">
        <v>481</v>
      </c>
      <c r="E237" s="34" t="s">
        <v>61</v>
      </c>
      <c r="F237" s="34" t="s">
        <v>0</v>
      </c>
      <c r="G237" s="16" t="s">
        <v>436</v>
      </c>
      <c r="H237" s="34">
        <v>300</v>
      </c>
      <c r="I237" s="34" t="s">
        <v>66</v>
      </c>
      <c r="J237" s="34" t="s">
        <v>3</v>
      </c>
      <c r="K237" s="35" t="s">
        <v>5</v>
      </c>
      <c r="L237" s="36" t="e">
        <f>VLOOKUP(G237,#REF!,4,0)</f>
        <v>#REF!</v>
      </c>
      <c r="M237" s="37" t="e">
        <f>_xlfn.IFNA(VLOOKUP(G237,#REF!,2,0),"")</f>
        <v>#REF!</v>
      </c>
      <c r="N237" s="38" t="e">
        <f>_xlfn.IFNA(VLOOKUP(G237,#REF!,3,0),"")</f>
        <v>#REF!</v>
      </c>
      <c r="O237" s="39">
        <v>10</v>
      </c>
      <c r="P237" s="67">
        <v>154.5</v>
      </c>
      <c r="Q237" s="39" t="s">
        <v>10</v>
      </c>
      <c r="R237" s="34">
        <v>3.6</v>
      </c>
      <c r="S237" s="48">
        <f>SUMIF(C:C,C236,T:T)</f>
        <v>200</v>
      </c>
      <c r="T237" s="40">
        <v>14.492753623188406</v>
      </c>
      <c r="U237" s="41">
        <f t="shared" si="32"/>
        <v>570.69275362318842</v>
      </c>
      <c r="V237" s="42">
        <f t="shared" si="22"/>
        <v>1.9023091787439614</v>
      </c>
      <c r="W237" s="43">
        <f t="shared" si="33"/>
        <v>0.28392674309611365</v>
      </c>
      <c r="X237" s="38"/>
      <c r="Y237" s="38"/>
      <c r="Z237" s="44" t="s">
        <v>96</v>
      </c>
      <c r="AA237" s="45">
        <v>46102</v>
      </c>
      <c r="AB237" s="45">
        <v>46122</v>
      </c>
      <c r="AC237" s="45"/>
      <c r="AD237" s="46" t="e">
        <f>IF(ISNA(VLOOKUP(D237,#REF!,5,0)),0,VLOOKUP(D237,#REF!,5,0))</f>
        <v>#REF!</v>
      </c>
      <c r="AE237" s="46" t="e">
        <f t="shared" si="28"/>
        <v>#REF!</v>
      </c>
      <c r="AF237" s="45">
        <v>46129</v>
      </c>
      <c r="AG237" s="33">
        <f t="shared" si="24"/>
        <v>27</v>
      </c>
      <c r="AH237" s="45">
        <v>46162</v>
      </c>
      <c r="AI237" s="39"/>
      <c r="AJ237" s="56">
        <f t="shared" si="25"/>
        <v>33</v>
      </c>
      <c r="AK237" s="39"/>
      <c r="AL237" s="35"/>
      <c r="AM237" s="34"/>
      <c r="AN237" s="34"/>
      <c r="AO237" s="39"/>
      <c r="AP237" s="47"/>
      <c r="AQ237" s="47"/>
      <c r="AR237" s="47"/>
      <c r="AS237" s="47"/>
    </row>
    <row r="238" spans="1:45" ht="12" customHeight="1" x14ac:dyDescent="0.25">
      <c r="A238" s="33">
        <v>237</v>
      </c>
      <c r="B238" s="34"/>
      <c r="C238" s="34" t="s">
        <v>482</v>
      </c>
      <c r="D238" s="35" t="s">
        <v>483</v>
      </c>
      <c r="E238" s="34" t="s">
        <v>61</v>
      </c>
      <c r="F238" s="34" t="s">
        <v>0</v>
      </c>
      <c r="G238" s="16" t="s">
        <v>67</v>
      </c>
      <c r="H238" s="34">
        <v>128</v>
      </c>
      <c r="I238" s="34" t="s">
        <v>62</v>
      </c>
      <c r="J238" s="34" t="s">
        <v>3</v>
      </c>
      <c r="K238" s="35" t="s">
        <v>19</v>
      </c>
      <c r="L238" s="36" t="e">
        <f>VLOOKUP(G238,#REF!,4,0)</f>
        <v>#REF!</v>
      </c>
      <c r="M238" s="37" t="e">
        <f>_xlfn.IFNA(VLOOKUP(G238,#REF!,2,0),"")</f>
        <v>#REF!</v>
      </c>
      <c r="N238" s="38" t="e">
        <f>_xlfn.IFNA(VLOOKUP(G238,#REF!,3,0),"")</f>
        <v>#REF!</v>
      </c>
      <c r="O238" s="39">
        <v>8</v>
      </c>
      <c r="P238" s="67">
        <v>106.73696969696971</v>
      </c>
      <c r="Q238" s="39" t="s">
        <v>10</v>
      </c>
      <c r="R238" s="34">
        <v>2.8</v>
      </c>
      <c r="S238" s="38">
        <v>200</v>
      </c>
      <c r="T238" s="40">
        <v>8.1218274111675122</v>
      </c>
      <c r="U238" s="41">
        <f t="shared" si="32"/>
        <v>306.98534256268266</v>
      </c>
      <c r="V238" s="42">
        <f t="shared" si="22"/>
        <v>2.3983229887709583</v>
      </c>
      <c r="W238" s="43">
        <f t="shared" si="33"/>
        <v>0.35795865504044155</v>
      </c>
      <c r="X238" s="38"/>
      <c r="Y238" s="38"/>
      <c r="Z238" s="44" t="s">
        <v>96</v>
      </c>
      <c r="AA238" s="45">
        <v>46103</v>
      </c>
      <c r="AB238" s="45">
        <v>46122</v>
      </c>
      <c r="AC238" s="45"/>
      <c r="AD238" s="46" t="e">
        <f>IF(ISNA(VLOOKUP(D238,#REF!,5,0)),0,VLOOKUP(D238,#REF!,5,0))</f>
        <v>#REF!</v>
      </c>
      <c r="AE238" s="46" t="e">
        <f t="shared" si="28"/>
        <v>#REF!</v>
      </c>
      <c r="AF238" s="45">
        <v>46140</v>
      </c>
      <c r="AG238" s="33">
        <f t="shared" si="24"/>
        <v>37</v>
      </c>
      <c r="AH238" s="45">
        <v>46173</v>
      </c>
      <c r="AI238" s="39"/>
      <c r="AJ238" s="56">
        <f t="shared" si="25"/>
        <v>33</v>
      </c>
      <c r="AK238" s="39"/>
      <c r="AL238" s="35"/>
      <c r="AM238" s="34"/>
      <c r="AN238" s="34"/>
      <c r="AO238" s="39"/>
      <c r="AP238" s="47"/>
      <c r="AQ238" s="47"/>
      <c r="AR238" s="47"/>
      <c r="AS238" s="47"/>
    </row>
    <row r="239" spans="1:45" ht="12" customHeight="1" x14ac:dyDescent="0.25">
      <c r="A239" s="33">
        <v>238</v>
      </c>
      <c r="B239" s="34"/>
      <c r="C239" s="34" t="s">
        <v>482</v>
      </c>
      <c r="D239" s="35" t="s">
        <v>483</v>
      </c>
      <c r="E239" s="34" t="s">
        <v>61</v>
      </c>
      <c r="F239" s="34" t="s">
        <v>0</v>
      </c>
      <c r="G239" s="16" t="s">
        <v>242</v>
      </c>
      <c r="H239" s="34">
        <v>1000</v>
      </c>
      <c r="I239" s="34" t="s">
        <v>62</v>
      </c>
      <c r="J239" s="34" t="s">
        <v>3</v>
      </c>
      <c r="K239" s="35" t="s">
        <v>19</v>
      </c>
      <c r="L239" s="36" t="e">
        <f>VLOOKUP(G239,#REF!,4,0)</f>
        <v>#REF!</v>
      </c>
      <c r="M239" s="37" t="e">
        <f>_xlfn.IFNA(VLOOKUP(G239,#REF!,2,0),"")</f>
        <v>#REF!</v>
      </c>
      <c r="N239" s="38" t="e">
        <f>_xlfn.IFNA(VLOOKUP(G239,#REF!,3,0),"")</f>
        <v>#REF!</v>
      </c>
      <c r="O239" s="39">
        <v>25</v>
      </c>
      <c r="P239" s="67">
        <v>333.55303030303037</v>
      </c>
      <c r="Q239" s="39" t="s">
        <v>10</v>
      </c>
      <c r="R239" s="34">
        <v>2.8</v>
      </c>
      <c r="S239" s="48">
        <f>SUMIF(C:C,C238,T:T)</f>
        <v>199.99999999999997</v>
      </c>
      <c r="T239" s="40">
        <v>25.380710659898476</v>
      </c>
      <c r="U239" s="41">
        <f t="shared" si="32"/>
        <v>959.32919550838346</v>
      </c>
      <c r="V239" s="42">
        <f t="shared" si="22"/>
        <v>0.95932919550838347</v>
      </c>
      <c r="W239" s="43">
        <f t="shared" si="33"/>
        <v>0.14318346201617663</v>
      </c>
      <c r="X239" s="38"/>
      <c r="Y239" s="38"/>
      <c r="Z239" s="44" t="s">
        <v>96</v>
      </c>
      <c r="AA239" s="45">
        <v>46103</v>
      </c>
      <c r="AB239" s="45">
        <v>46122</v>
      </c>
      <c r="AC239" s="45"/>
      <c r="AD239" s="46" t="e">
        <f>IF(ISNA(VLOOKUP(D239,#REF!,5,0)),0,VLOOKUP(D239,#REF!,5,0))</f>
        <v>#REF!</v>
      </c>
      <c r="AE239" s="46" t="e">
        <f t="shared" si="28"/>
        <v>#REF!</v>
      </c>
      <c r="AF239" s="45">
        <v>46140</v>
      </c>
      <c r="AG239" s="33">
        <f t="shared" si="24"/>
        <v>37</v>
      </c>
      <c r="AH239" s="45">
        <v>46173</v>
      </c>
      <c r="AI239" s="39"/>
      <c r="AJ239" s="56">
        <f t="shared" si="25"/>
        <v>33</v>
      </c>
      <c r="AK239" s="39"/>
      <c r="AL239" s="35"/>
      <c r="AM239" s="34"/>
      <c r="AN239" s="34"/>
      <c r="AO239" s="39"/>
      <c r="AP239" s="47"/>
      <c r="AQ239" s="47"/>
      <c r="AR239" s="47"/>
      <c r="AS239" s="47"/>
    </row>
    <row r="240" spans="1:45" ht="12" customHeight="1" x14ac:dyDescent="0.25">
      <c r="A240" s="33">
        <v>239</v>
      </c>
      <c r="B240" s="34"/>
      <c r="C240" s="34" t="s">
        <v>478</v>
      </c>
      <c r="D240" s="35" t="s">
        <v>484</v>
      </c>
      <c r="E240" s="34" t="s">
        <v>58</v>
      </c>
      <c r="F240" s="34" t="s">
        <v>0</v>
      </c>
      <c r="G240" s="16" t="s">
        <v>251</v>
      </c>
      <c r="H240" s="34">
        <v>600</v>
      </c>
      <c r="I240" s="34" t="s">
        <v>218</v>
      </c>
      <c r="J240" s="34" t="s">
        <v>2</v>
      </c>
      <c r="K240" s="35" t="s">
        <v>18</v>
      </c>
      <c r="L240" s="36" t="e">
        <f>VLOOKUP(G240,#REF!,4,0)</f>
        <v>#REF!</v>
      </c>
      <c r="M240" s="37" t="e">
        <f>_xlfn.IFNA(VLOOKUP(G240,#REF!,2,0),"")</f>
        <v>#REF!</v>
      </c>
      <c r="N240" s="38" t="e">
        <f>_xlfn.IFNA(VLOOKUP(G240,#REF!,3,0),"")</f>
        <v>#REF!</v>
      </c>
      <c r="O240" s="39">
        <v>20</v>
      </c>
      <c r="P240" s="67">
        <v>1.0333333333333332</v>
      </c>
      <c r="Q240" s="39" t="s">
        <v>420</v>
      </c>
      <c r="R240" s="34">
        <v>1830</v>
      </c>
      <c r="S240" s="38">
        <v>180</v>
      </c>
      <c r="T240" s="40">
        <v>92.307692307692307</v>
      </c>
      <c r="U240" s="41">
        <f t="shared" ref="U240:U241" si="34">R240*P240+T240</f>
        <v>1983.3076923076922</v>
      </c>
      <c r="V240" s="42">
        <f t="shared" ref="V240:V241" si="35">U240/H240</f>
        <v>3.3055128205128201</v>
      </c>
      <c r="W240" s="43">
        <f t="shared" ref="W240:W241" si="36">V240/6.7</f>
        <v>0.49336012246459998</v>
      </c>
      <c r="X240" s="38"/>
      <c r="Y240" s="38"/>
      <c r="Z240" s="44" t="s">
        <v>96</v>
      </c>
      <c r="AA240" s="45">
        <v>46102</v>
      </c>
      <c r="AB240" s="45">
        <v>46117</v>
      </c>
      <c r="AC240" s="45"/>
      <c r="AD240" s="46" t="e">
        <f>IF(ISNA(VLOOKUP(D240,#REF!,5,0)),0,VLOOKUP(D240,#REF!,5,0))</f>
        <v>#REF!</v>
      </c>
      <c r="AE240" s="46" t="e">
        <f t="shared" si="28"/>
        <v>#REF!</v>
      </c>
      <c r="AF240" s="45">
        <v>46122</v>
      </c>
      <c r="AG240" s="33">
        <f t="shared" si="24"/>
        <v>20</v>
      </c>
      <c r="AH240" s="45">
        <v>46156</v>
      </c>
      <c r="AI240" s="39"/>
      <c r="AJ240" s="56">
        <f t="shared" si="25"/>
        <v>34</v>
      </c>
      <c r="AK240" s="39"/>
      <c r="AL240" s="35"/>
      <c r="AM240" s="34"/>
      <c r="AN240" s="34"/>
      <c r="AO240" s="39"/>
      <c r="AP240" s="47"/>
      <c r="AQ240" s="47"/>
      <c r="AR240" s="47"/>
      <c r="AS240" s="47"/>
    </row>
    <row r="241" spans="1:45" ht="12" customHeight="1" x14ac:dyDescent="0.25">
      <c r="A241" s="33">
        <v>240</v>
      </c>
      <c r="B241" s="34"/>
      <c r="C241" s="34" t="s">
        <v>478</v>
      </c>
      <c r="D241" s="35" t="s">
        <v>484</v>
      </c>
      <c r="E241" s="34" t="s">
        <v>58</v>
      </c>
      <c r="F241" s="34" t="s">
        <v>0</v>
      </c>
      <c r="G241" s="16" t="s">
        <v>252</v>
      </c>
      <c r="H241" s="34">
        <v>120</v>
      </c>
      <c r="I241" s="34" t="s">
        <v>218</v>
      </c>
      <c r="J241" s="34" t="s">
        <v>2</v>
      </c>
      <c r="K241" s="35" t="s">
        <v>18</v>
      </c>
      <c r="L241" s="36" t="e">
        <f>VLOOKUP(G241,#REF!,4,0)</f>
        <v>#REF!</v>
      </c>
      <c r="M241" s="37" t="e">
        <f>_xlfn.IFNA(VLOOKUP(G241,#REF!,2,0),"")</f>
        <v>#REF!</v>
      </c>
      <c r="N241" s="38" t="e">
        <f>_xlfn.IFNA(VLOOKUP(G241,#REF!,3,0),"")</f>
        <v>#REF!</v>
      </c>
      <c r="O241" s="39">
        <v>4</v>
      </c>
      <c r="P241" s="67">
        <v>0.20666666666666667</v>
      </c>
      <c r="Q241" s="39" t="s">
        <v>420</v>
      </c>
      <c r="R241" s="34">
        <v>1830</v>
      </c>
      <c r="S241" s="48">
        <f>SUMIF(C:C,C240,T:T)</f>
        <v>180</v>
      </c>
      <c r="T241" s="40">
        <v>18.46153846153846</v>
      </c>
      <c r="U241" s="41">
        <f t="shared" si="34"/>
        <v>396.66153846153844</v>
      </c>
      <c r="V241" s="42">
        <f t="shared" si="35"/>
        <v>3.3055128205128201</v>
      </c>
      <c r="W241" s="43">
        <f t="shared" si="36"/>
        <v>0.49336012246459998</v>
      </c>
      <c r="X241" s="38"/>
      <c r="Y241" s="38"/>
      <c r="Z241" s="44" t="s">
        <v>96</v>
      </c>
      <c r="AA241" s="45">
        <v>46102</v>
      </c>
      <c r="AB241" s="45">
        <v>46117</v>
      </c>
      <c r="AC241" s="45"/>
      <c r="AD241" s="46" t="e">
        <f>IF(ISNA(VLOOKUP(D241,#REF!,5,0)),0,VLOOKUP(D241,#REF!,5,0))</f>
        <v>#REF!</v>
      </c>
      <c r="AE241" s="46" t="e">
        <f t="shared" si="28"/>
        <v>#REF!</v>
      </c>
      <c r="AF241" s="45">
        <v>46122</v>
      </c>
      <c r="AG241" s="33">
        <f t="shared" si="24"/>
        <v>20</v>
      </c>
      <c r="AH241" s="45">
        <v>46156</v>
      </c>
      <c r="AI241" s="39"/>
      <c r="AJ241" s="56">
        <f t="shared" si="25"/>
        <v>34</v>
      </c>
      <c r="AK241" s="39"/>
      <c r="AL241" s="35"/>
      <c r="AM241" s="34"/>
      <c r="AN241" s="34"/>
      <c r="AO241" s="39"/>
      <c r="AP241" s="47"/>
      <c r="AQ241" s="47"/>
      <c r="AR241" s="47"/>
      <c r="AS241" s="47"/>
    </row>
    <row r="242" spans="1:45" ht="12" customHeight="1" x14ac:dyDescent="0.25">
      <c r="A242" s="33">
        <v>241</v>
      </c>
      <c r="B242" s="34"/>
      <c r="C242" s="34" t="s">
        <v>480</v>
      </c>
      <c r="D242" s="35" t="s">
        <v>485</v>
      </c>
      <c r="E242" s="34" t="s">
        <v>58</v>
      </c>
      <c r="F242" s="34" t="s">
        <v>0</v>
      </c>
      <c r="G242" s="16" t="s">
        <v>313</v>
      </c>
      <c r="H242" s="34">
        <v>240</v>
      </c>
      <c r="I242" s="34" t="s">
        <v>66</v>
      </c>
      <c r="J242" s="34" t="s">
        <v>3</v>
      </c>
      <c r="K242" s="35" t="s">
        <v>20</v>
      </c>
      <c r="L242" s="36" t="e">
        <f>VLOOKUP(G242,#REF!,4,0)</f>
        <v>#REF!</v>
      </c>
      <c r="M242" s="37" t="e">
        <f>_xlfn.IFNA(VLOOKUP(G242,#REF!,2,0),"")</f>
        <v>#REF!</v>
      </c>
      <c r="N242" s="38" t="e">
        <f>_xlfn.IFNA(VLOOKUP(G242,#REF!,3,0),"")</f>
        <v>#REF!</v>
      </c>
      <c r="O242" s="39">
        <v>8</v>
      </c>
      <c r="P242" s="67">
        <v>129.83050847457628</v>
      </c>
      <c r="Q242" s="39" t="s">
        <v>10</v>
      </c>
      <c r="R242" s="34">
        <v>3.6</v>
      </c>
      <c r="S242" s="38">
        <v>200</v>
      </c>
      <c r="T242" s="40">
        <v>11.594202898550725</v>
      </c>
      <c r="U242" s="41">
        <f t="shared" si="32"/>
        <v>478.98403340702538</v>
      </c>
      <c r="V242" s="42">
        <f t="shared" si="22"/>
        <v>1.9957668058626057</v>
      </c>
      <c r="W242" s="43">
        <f t="shared" si="33"/>
        <v>0.29787564266606054</v>
      </c>
      <c r="X242" s="38"/>
      <c r="Y242" s="38"/>
      <c r="Z242" s="44" t="s">
        <v>96</v>
      </c>
      <c r="AA242" s="45">
        <v>46102</v>
      </c>
      <c r="AB242" s="45">
        <v>46122</v>
      </c>
      <c r="AC242" s="45"/>
      <c r="AD242" s="46" t="e">
        <f>IF(ISNA(VLOOKUP(D242,#REF!,5,0)),0,VLOOKUP(D242,#REF!,5,0))</f>
        <v>#REF!</v>
      </c>
      <c r="AE242" s="46" t="e">
        <f t="shared" si="28"/>
        <v>#REF!</v>
      </c>
      <c r="AF242" s="45">
        <v>46132</v>
      </c>
      <c r="AG242" s="33">
        <f t="shared" si="24"/>
        <v>30</v>
      </c>
      <c r="AH242" s="45">
        <v>46167</v>
      </c>
      <c r="AI242" s="39"/>
      <c r="AJ242" s="56">
        <f t="shared" si="25"/>
        <v>35</v>
      </c>
      <c r="AK242" s="39"/>
      <c r="AL242" s="35"/>
      <c r="AM242" s="34"/>
      <c r="AN242" s="34"/>
      <c r="AO242" s="39"/>
      <c r="AP242" s="47"/>
      <c r="AQ242" s="47"/>
      <c r="AR242" s="47"/>
      <c r="AS242" s="47"/>
    </row>
    <row r="243" spans="1:45" ht="12" customHeight="1" x14ac:dyDescent="0.25">
      <c r="A243" s="33">
        <v>242</v>
      </c>
      <c r="B243" s="34"/>
      <c r="C243" s="34" t="s">
        <v>480</v>
      </c>
      <c r="D243" s="35" t="s">
        <v>485</v>
      </c>
      <c r="E243" s="34" t="s">
        <v>58</v>
      </c>
      <c r="F243" s="34" t="s">
        <v>0</v>
      </c>
      <c r="G243" s="16" t="s">
        <v>201</v>
      </c>
      <c r="H243" s="34">
        <v>300</v>
      </c>
      <c r="I243" s="34" t="s">
        <v>66</v>
      </c>
      <c r="J243" s="34" t="s">
        <v>3</v>
      </c>
      <c r="K243" s="35" t="s">
        <v>20</v>
      </c>
      <c r="L243" s="36" t="e">
        <f>VLOOKUP(G243,#REF!,4,0)</f>
        <v>#REF!</v>
      </c>
      <c r="M243" s="37" t="e">
        <f>_xlfn.IFNA(VLOOKUP(G243,#REF!,2,0),"")</f>
        <v>#REF!</v>
      </c>
      <c r="N243" s="38" t="e">
        <f>_xlfn.IFNA(VLOOKUP(G243,#REF!,3,0),"")</f>
        <v>#REF!</v>
      </c>
      <c r="O243" s="39">
        <v>10</v>
      </c>
      <c r="P243" s="67">
        <v>162.28813559322035</v>
      </c>
      <c r="Q243" s="39" t="s">
        <v>10</v>
      </c>
      <c r="R243" s="34">
        <v>3.6</v>
      </c>
      <c r="S243" s="48">
        <f>SUMIF(C:C,C242,T:T)</f>
        <v>200</v>
      </c>
      <c r="T243" s="40">
        <v>14.492753623188406</v>
      </c>
      <c r="U243" s="41">
        <f t="shared" si="32"/>
        <v>598.73004175878168</v>
      </c>
      <c r="V243" s="42">
        <f t="shared" si="22"/>
        <v>1.9957668058626057</v>
      </c>
      <c r="W243" s="43">
        <f t="shared" si="33"/>
        <v>0.29787564266606054</v>
      </c>
      <c r="X243" s="38"/>
      <c r="Y243" s="38"/>
      <c r="Z243" s="44" t="s">
        <v>96</v>
      </c>
      <c r="AA243" s="45">
        <v>46102</v>
      </c>
      <c r="AB243" s="45">
        <v>46122</v>
      </c>
      <c r="AC243" s="45"/>
      <c r="AD243" s="46" t="e">
        <f>IF(ISNA(VLOOKUP(D243,#REF!,5,0)),0,VLOOKUP(D243,#REF!,5,0))</f>
        <v>#REF!</v>
      </c>
      <c r="AE243" s="46" t="e">
        <f t="shared" si="28"/>
        <v>#REF!</v>
      </c>
      <c r="AF243" s="45">
        <v>46132</v>
      </c>
      <c r="AG243" s="33">
        <f t="shared" si="24"/>
        <v>30</v>
      </c>
      <c r="AH243" s="45">
        <v>46167</v>
      </c>
      <c r="AI243" s="39"/>
      <c r="AJ243" s="56">
        <f t="shared" si="25"/>
        <v>35</v>
      </c>
      <c r="AK243" s="39"/>
      <c r="AL243" s="35"/>
      <c r="AM243" s="34"/>
      <c r="AN243" s="34"/>
      <c r="AO243" s="39"/>
      <c r="AP243" s="47"/>
      <c r="AQ243" s="47"/>
      <c r="AR243" s="47"/>
      <c r="AS243" s="47"/>
    </row>
    <row r="244" spans="1:45" ht="12" customHeight="1" x14ac:dyDescent="0.25">
      <c r="A244" s="33">
        <v>243</v>
      </c>
      <c r="B244" s="34"/>
      <c r="C244" s="34" t="s">
        <v>480</v>
      </c>
      <c r="D244" s="35" t="s">
        <v>485</v>
      </c>
      <c r="E244" s="34" t="s">
        <v>58</v>
      </c>
      <c r="F244" s="34" t="s">
        <v>0</v>
      </c>
      <c r="G244" s="16" t="s">
        <v>202</v>
      </c>
      <c r="H244" s="34">
        <v>90</v>
      </c>
      <c r="I244" s="34" t="s">
        <v>66</v>
      </c>
      <c r="J244" s="34" t="s">
        <v>3</v>
      </c>
      <c r="K244" s="35" t="s">
        <v>20</v>
      </c>
      <c r="L244" s="36" t="e">
        <f>VLOOKUP(G244,#REF!,4,0)</f>
        <v>#REF!</v>
      </c>
      <c r="M244" s="37" t="e">
        <f>_xlfn.IFNA(VLOOKUP(G244,#REF!,2,0),"")</f>
        <v>#REF!</v>
      </c>
      <c r="N244" s="38" t="e">
        <f>_xlfn.IFNA(VLOOKUP(G244,#REF!,3,0),"")</f>
        <v>#REF!</v>
      </c>
      <c r="O244" s="39">
        <v>3</v>
      </c>
      <c r="P244" s="67">
        <v>48.686440677966104</v>
      </c>
      <c r="Q244" s="39" t="s">
        <v>10</v>
      </c>
      <c r="R244" s="34">
        <v>3.6</v>
      </c>
      <c r="S244" s="38"/>
      <c r="T244" s="40">
        <v>4.3478260869565215</v>
      </c>
      <c r="U244" s="41">
        <f t="shared" si="32"/>
        <v>179.61901252763451</v>
      </c>
      <c r="V244" s="42">
        <f t="shared" si="22"/>
        <v>1.9957668058626057</v>
      </c>
      <c r="W244" s="43">
        <f t="shared" si="33"/>
        <v>0.29787564266606054</v>
      </c>
      <c r="X244" s="38"/>
      <c r="Y244" s="38"/>
      <c r="Z244" s="44" t="s">
        <v>96</v>
      </c>
      <c r="AA244" s="45">
        <v>46102</v>
      </c>
      <c r="AB244" s="45">
        <v>46122</v>
      </c>
      <c r="AC244" s="45"/>
      <c r="AD244" s="46" t="e">
        <f>IF(ISNA(VLOOKUP(D244,#REF!,5,0)),0,VLOOKUP(D244,#REF!,5,0))</f>
        <v>#REF!</v>
      </c>
      <c r="AE244" s="46" t="e">
        <f t="shared" si="28"/>
        <v>#REF!</v>
      </c>
      <c r="AF244" s="45">
        <v>46132</v>
      </c>
      <c r="AG244" s="33">
        <f t="shared" si="24"/>
        <v>30</v>
      </c>
      <c r="AH244" s="45">
        <v>46167</v>
      </c>
      <c r="AI244" s="39"/>
      <c r="AJ244" s="56">
        <f t="shared" si="25"/>
        <v>35</v>
      </c>
      <c r="AK244" s="39"/>
      <c r="AL244" s="35"/>
      <c r="AM244" s="34"/>
      <c r="AN244" s="34"/>
      <c r="AO244" s="39"/>
      <c r="AP244" s="47"/>
      <c r="AQ244" s="47"/>
      <c r="AR244" s="47"/>
      <c r="AS244" s="47"/>
    </row>
    <row r="245" spans="1:45" ht="12" customHeight="1" x14ac:dyDescent="0.25">
      <c r="A245" s="33">
        <v>244</v>
      </c>
      <c r="B245" s="34"/>
      <c r="C245" s="34" t="s">
        <v>480</v>
      </c>
      <c r="D245" s="35" t="s">
        <v>485</v>
      </c>
      <c r="E245" s="34" t="s">
        <v>58</v>
      </c>
      <c r="F245" s="34" t="s">
        <v>0</v>
      </c>
      <c r="G245" s="16" t="s">
        <v>205</v>
      </c>
      <c r="H245" s="34">
        <v>2100</v>
      </c>
      <c r="I245" s="34" t="s">
        <v>66</v>
      </c>
      <c r="J245" s="34" t="s">
        <v>3</v>
      </c>
      <c r="K245" s="35" t="s">
        <v>20</v>
      </c>
      <c r="L245" s="36" t="e">
        <f>VLOOKUP(G245,#REF!,4,0)</f>
        <v>#REF!</v>
      </c>
      <c r="M245" s="37" t="e">
        <f>_xlfn.IFNA(VLOOKUP(G245,#REF!,2,0),"")</f>
        <v>#REF!</v>
      </c>
      <c r="N245" s="38" t="e">
        <f>_xlfn.IFNA(VLOOKUP(G245,#REF!,3,0),"")</f>
        <v>#REF!</v>
      </c>
      <c r="O245" s="39">
        <v>70</v>
      </c>
      <c r="P245" s="67">
        <v>1136.0169491525423</v>
      </c>
      <c r="Q245" s="39" t="s">
        <v>10</v>
      </c>
      <c r="R245" s="34">
        <v>3.6</v>
      </c>
      <c r="S245" s="38"/>
      <c r="T245" s="40">
        <v>101.44927536231884</v>
      </c>
      <c r="U245" s="41">
        <f t="shared" si="32"/>
        <v>4191.1102923114713</v>
      </c>
      <c r="V245" s="42">
        <f t="shared" si="22"/>
        <v>1.9957668058626055</v>
      </c>
      <c r="W245" s="43">
        <f t="shared" si="33"/>
        <v>0.29787564266606054</v>
      </c>
      <c r="X245" s="38"/>
      <c r="Y245" s="38"/>
      <c r="Z245" s="44" t="s">
        <v>96</v>
      </c>
      <c r="AA245" s="45">
        <v>46102</v>
      </c>
      <c r="AB245" s="45">
        <v>46122</v>
      </c>
      <c r="AC245" s="45"/>
      <c r="AD245" s="46" t="e">
        <f>IF(ISNA(VLOOKUP(D245,#REF!,5,0)),0,VLOOKUP(D245,#REF!,5,0))</f>
        <v>#REF!</v>
      </c>
      <c r="AE245" s="46" t="e">
        <f t="shared" si="28"/>
        <v>#REF!</v>
      </c>
      <c r="AF245" s="45">
        <v>46132</v>
      </c>
      <c r="AG245" s="33">
        <f t="shared" si="24"/>
        <v>30</v>
      </c>
      <c r="AH245" s="45">
        <v>46167</v>
      </c>
      <c r="AI245" s="39"/>
      <c r="AJ245" s="56">
        <f t="shared" si="25"/>
        <v>35</v>
      </c>
      <c r="AK245" s="39"/>
      <c r="AL245" s="35"/>
      <c r="AM245" s="34"/>
      <c r="AN245" s="34"/>
      <c r="AO245" s="39"/>
      <c r="AP245" s="47"/>
      <c r="AQ245" s="47"/>
      <c r="AR245" s="47"/>
      <c r="AS245" s="47"/>
    </row>
    <row r="246" spans="1:45" ht="12" customHeight="1" x14ac:dyDescent="0.25">
      <c r="A246" s="33">
        <v>245</v>
      </c>
      <c r="B246" s="34"/>
      <c r="C246" s="34" t="s">
        <v>480</v>
      </c>
      <c r="D246" s="35" t="s">
        <v>485</v>
      </c>
      <c r="E246" s="34" t="s">
        <v>58</v>
      </c>
      <c r="F246" s="34" t="s">
        <v>0</v>
      </c>
      <c r="G246" s="16" t="s">
        <v>224</v>
      </c>
      <c r="H246" s="34">
        <v>30</v>
      </c>
      <c r="I246" s="34" t="s">
        <v>66</v>
      </c>
      <c r="J246" s="34" t="s">
        <v>3</v>
      </c>
      <c r="K246" s="35" t="s">
        <v>20</v>
      </c>
      <c r="L246" s="36" t="e">
        <f>VLOOKUP(G246,#REF!,4,0)</f>
        <v>#REF!</v>
      </c>
      <c r="M246" s="37" t="e">
        <f>_xlfn.IFNA(VLOOKUP(G246,#REF!,2,0),"")</f>
        <v>#REF!</v>
      </c>
      <c r="N246" s="38" t="e">
        <f>_xlfn.IFNA(VLOOKUP(G246,#REF!,3,0),"")</f>
        <v>#REF!</v>
      </c>
      <c r="O246" s="39">
        <v>1</v>
      </c>
      <c r="P246" s="67">
        <v>16.228813559322035</v>
      </c>
      <c r="Q246" s="39" t="s">
        <v>10</v>
      </c>
      <c r="R246" s="34">
        <v>3.6</v>
      </c>
      <c r="S246" s="38"/>
      <c r="T246" s="40">
        <v>1.4492753623188406</v>
      </c>
      <c r="U246" s="41">
        <f t="shared" si="32"/>
        <v>59.873004175878172</v>
      </c>
      <c r="V246" s="42">
        <f t="shared" si="22"/>
        <v>1.9957668058626057</v>
      </c>
      <c r="W246" s="43">
        <f t="shared" si="33"/>
        <v>0.29787564266606054</v>
      </c>
      <c r="X246" s="38"/>
      <c r="Y246" s="38"/>
      <c r="Z246" s="44" t="s">
        <v>96</v>
      </c>
      <c r="AA246" s="45">
        <v>46102</v>
      </c>
      <c r="AB246" s="45">
        <v>46122</v>
      </c>
      <c r="AC246" s="45"/>
      <c r="AD246" s="46" t="e">
        <f>IF(ISNA(VLOOKUP(D246,#REF!,5,0)),0,VLOOKUP(D246,#REF!,5,0))</f>
        <v>#REF!</v>
      </c>
      <c r="AE246" s="46" t="e">
        <f t="shared" si="28"/>
        <v>#REF!</v>
      </c>
      <c r="AF246" s="45">
        <v>46132</v>
      </c>
      <c r="AG246" s="33">
        <f t="shared" si="24"/>
        <v>30</v>
      </c>
      <c r="AH246" s="45">
        <v>46167</v>
      </c>
      <c r="AI246" s="39"/>
      <c r="AJ246" s="56">
        <f t="shared" si="25"/>
        <v>35</v>
      </c>
      <c r="AK246" s="39"/>
      <c r="AL246" s="35"/>
      <c r="AM246" s="34"/>
      <c r="AN246" s="34"/>
      <c r="AO246" s="39"/>
      <c r="AP246" s="47"/>
      <c r="AQ246" s="47"/>
      <c r="AR246" s="47"/>
      <c r="AS246" s="47"/>
    </row>
    <row r="247" spans="1:45" ht="12" customHeight="1" x14ac:dyDescent="0.25">
      <c r="A247" s="33">
        <v>246</v>
      </c>
      <c r="B247" s="34"/>
      <c r="C247" s="34" t="s">
        <v>480</v>
      </c>
      <c r="D247" s="35" t="s">
        <v>485</v>
      </c>
      <c r="E247" s="34" t="s">
        <v>58</v>
      </c>
      <c r="F247" s="34" t="s">
        <v>0</v>
      </c>
      <c r="G247" s="16" t="s">
        <v>486</v>
      </c>
      <c r="H247" s="34">
        <v>780</v>
      </c>
      <c r="I247" s="34" t="s">
        <v>66</v>
      </c>
      <c r="J247" s="34" t="s">
        <v>3</v>
      </c>
      <c r="K247" s="35" t="s">
        <v>20</v>
      </c>
      <c r="L247" s="36" t="e">
        <f>VLOOKUP(G247,#REF!,4,0)</f>
        <v>#REF!</v>
      </c>
      <c r="M247" s="37" t="e">
        <f>_xlfn.IFNA(VLOOKUP(G247,#REF!,2,0),"")</f>
        <v>#REF!</v>
      </c>
      <c r="N247" s="38" t="e">
        <f>_xlfn.IFNA(VLOOKUP(G247,#REF!,3,0),"")</f>
        <v>#REF!</v>
      </c>
      <c r="O247" s="39">
        <v>26</v>
      </c>
      <c r="P247" s="67">
        <v>421.94915254237287</v>
      </c>
      <c r="Q247" s="39" t="s">
        <v>10</v>
      </c>
      <c r="R247" s="34">
        <v>3.6</v>
      </c>
      <c r="S247" s="38"/>
      <c r="T247" s="40">
        <v>37.681159420289852</v>
      </c>
      <c r="U247" s="41">
        <f t="shared" si="32"/>
        <v>1556.6981085728321</v>
      </c>
      <c r="V247" s="42">
        <f t="shared" si="22"/>
        <v>1.9957668058626052</v>
      </c>
      <c r="W247" s="43">
        <f t="shared" si="33"/>
        <v>0.29787564266606048</v>
      </c>
      <c r="X247" s="38"/>
      <c r="Y247" s="38"/>
      <c r="Z247" s="44" t="s">
        <v>96</v>
      </c>
      <c r="AA247" s="45">
        <v>46102</v>
      </c>
      <c r="AB247" s="45">
        <v>46122</v>
      </c>
      <c r="AC247" s="45"/>
      <c r="AD247" s="46" t="e">
        <f>IF(ISNA(VLOOKUP(D247,#REF!,5,0)),0,VLOOKUP(D247,#REF!,5,0))</f>
        <v>#REF!</v>
      </c>
      <c r="AE247" s="46" t="e">
        <f t="shared" si="28"/>
        <v>#REF!</v>
      </c>
      <c r="AF247" s="45">
        <v>46132</v>
      </c>
      <c r="AG247" s="33">
        <f t="shared" si="24"/>
        <v>30</v>
      </c>
      <c r="AH247" s="45">
        <v>46167</v>
      </c>
      <c r="AI247" s="39"/>
      <c r="AJ247" s="56">
        <f t="shared" si="25"/>
        <v>35</v>
      </c>
      <c r="AK247" s="39"/>
      <c r="AL247" s="35"/>
      <c r="AM247" s="34"/>
      <c r="AN247" s="34"/>
      <c r="AO247" s="39"/>
      <c r="AP247" s="47"/>
      <c r="AQ247" s="47"/>
      <c r="AR247" s="47"/>
      <c r="AS247" s="47"/>
    </row>
    <row r="248" spans="1:45" ht="12" customHeight="1" x14ac:dyDescent="0.25">
      <c r="A248" s="33">
        <v>247</v>
      </c>
      <c r="B248" s="34"/>
      <c r="C248" s="34" t="s">
        <v>487</v>
      </c>
      <c r="D248" s="35" t="s">
        <v>488</v>
      </c>
      <c r="E248" s="34" t="s">
        <v>58</v>
      </c>
      <c r="F248" s="34" t="s">
        <v>0</v>
      </c>
      <c r="G248" s="16" t="s">
        <v>64</v>
      </c>
      <c r="H248" s="34">
        <v>1200</v>
      </c>
      <c r="I248" s="34" t="s">
        <v>62</v>
      </c>
      <c r="J248" s="34" t="s">
        <v>3</v>
      </c>
      <c r="K248" s="35" t="s">
        <v>9</v>
      </c>
      <c r="L248" s="36" t="e">
        <f>VLOOKUP(G248,#REF!,4,0)</f>
        <v>#REF!</v>
      </c>
      <c r="M248" s="37" t="e">
        <f>_xlfn.IFNA(VLOOKUP(G248,#REF!,2,0),"")</f>
        <v>#REF!</v>
      </c>
      <c r="N248" s="38" t="e">
        <f>_xlfn.IFNA(VLOOKUP(G248,#REF!,3,0),"")</f>
        <v>#REF!</v>
      </c>
      <c r="O248" s="39">
        <v>30</v>
      </c>
      <c r="P248" s="67">
        <v>420</v>
      </c>
      <c r="Q248" s="39" t="s">
        <v>10</v>
      </c>
      <c r="R248" s="34">
        <v>3.2</v>
      </c>
      <c r="S248" s="38">
        <v>200</v>
      </c>
      <c r="T248" s="40">
        <v>71.428571428571431</v>
      </c>
      <c r="U248" s="41">
        <f t="shared" si="32"/>
        <v>1415.4285714285713</v>
      </c>
      <c r="V248" s="42">
        <f t="shared" si="22"/>
        <v>1.1795238095238094</v>
      </c>
      <c r="W248" s="43">
        <f t="shared" si="33"/>
        <v>0.17604832977967305</v>
      </c>
      <c r="X248" s="38"/>
      <c r="Y248" s="38"/>
      <c r="Z248" s="44" t="s">
        <v>96</v>
      </c>
      <c r="AA248" s="45">
        <v>46103</v>
      </c>
      <c r="AB248" s="45">
        <v>46131</v>
      </c>
      <c r="AC248" s="45"/>
      <c r="AD248" s="46" t="e">
        <f>IF(ISNA(VLOOKUP(D248,#REF!,5,0)),0,VLOOKUP(D248,#REF!,5,0))</f>
        <v>#REF!</v>
      </c>
      <c r="AE248" s="46" t="e">
        <f t="shared" si="28"/>
        <v>#REF!</v>
      </c>
      <c r="AF248" s="45">
        <v>46139</v>
      </c>
      <c r="AG248" s="33">
        <f t="shared" si="24"/>
        <v>36</v>
      </c>
      <c r="AH248" s="45">
        <v>46169</v>
      </c>
      <c r="AI248" s="39"/>
      <c r="AJ248" s="56">
        <f t="shared" si="25"/>
        <v>30</v>
      </c>
      <c r="AK248" s="39"/>
      <c r="AL248" s="35"/>
      <c r="AM248" s="34"/>
      <c r="AN248" s="34"/>
      <c r="AO248" s="39"/>
      <c r="AP248" s="47"/>
      <c r="AQ248" s="47"/>
      <c r="AR248" s="47"/>
      <c r="AS248" s="47"/>
    </row>
    <row r="249" spans="1:45" ht="12" customHeight="1" x14ac:dyDescent="0.25">
      <c r="A249" s="33">
        <v>248</v>
      </c>
      <c r="B249" s="34"/>
      <c r="C249" s="34" t="s">
        <v>487</v>
      </c>
      <c r="D249" s="35" t="s">
        <v>488</v>
      </c>
      <c r="E249" s="34" t="s">
        <v>58</v>
      </c>
      <c r="F249" s="34" t="s">
        <v>0</v>
      </c>
      <c r="G249" s="16" t="s">
        <v>149</v>
      </c>
      <c r="H249" s="34">
        <v>120</v>
      </c>
      <c r="I249" s="34" t="s">
        <v>62</v>
      </c>
      <c r="J249" s="34" t="s">
        <v>3</v>
      </c>
      <c r="K249" s="35" t="s">
        <v>9</v>
      </c>
      <c r="L249" s="36" t="e">
        <f>VLOOKUP(G249,#REF!,4,0)</f>
        <v>#REF!</v>
      </c>
      <c r="M249" s="37" t="e">
        <f>_xlfn.IFNA(VLOOKUP(G249,#REF!,2,0),"")</f>
        <v>#REF!</v>
      </c>
      <c r="N249" s="38" t="e">
        <f>_xlfn.IFNA(VLOOKUP(G249,#REF!,3,0),"")</f>
        <v>#REF!</v>
      </c>
      <c r="O249" s="39">
        <v>3</v>
      </c>
      <c r="P249" s="67">
        <v>42</v>
      </c>
      <c r="Q249" s="39" t="s">
        <v>10</v>
      </c>
      <c r="R249" s="34">
        <v>3.2</v>
      </c>
      <c r="S249" s="48">
        <f>SUMIF(C:C,C248,T:T)</f>
        <v>200</v>
      </c>
      <c r="T249" s="40">
        <v>7.1428571428571432</v>
      </c>
      <c r="U249" s="41">
        <f t="shared" si="32"/>
        <v>141.54285714285714</v>
      </c>
      <c r="V249" s="42">
        <f t="shared" si="22"/>
        <v>1.1795238095238096</v>
      </c>
      <c r="W249" s="43">
        <f t="shared" si="33"/>
        <v>0.17604832977967308</v>
      </c>
      <c r="X249" s="38"/>
      <c r="Y249" s="38"/>
      <c r="Z249" s="44" t="s">
        <v>96</v>
      </c>
      <c r="AA249" s="45">
        <v>46103</v>
      </c>
      <c r="AB249" s="45">
        <v>46131</v>
      </c>
      <c r="AC249" s="45"/>
      <c r="AD249" s="46" t="e">
        <f>IF(ISNA(VLOOKUP(D249,#REF!,5,0)),0,VLOOKUP(D249,#REF!,5,0))</f>
        <v>#REF!</v>
      </c>
      <c r="AE249" s="46" t="e">
        <f t="shared" si="28"/>
        <v>#REF!</v>
      </c>
      <c r="AF249" s="45">
        <v>46139</v>
      </c>
      <c r="AG249" s="33">
        <f t="shared" si="24"/>
        <v>36</v>
      </c>
      <c r="AH249" s="45">
        <v>46169</v>
      </c>
      <c r="AI249" s="39"/>
      <c r="AJ249" s="56">
        <f t="shared" si="25"/>
        <v>30</v>
      </c>
      <c r="AK249" s="39"/>
      <c r="AL249" s="35"/>
      <c r="AM249" s="34"/>
      <c r="AN249" s="34"/>
      <c r="AO249" s="39"/>
      <c r="AP249" s="47"/>
      <c r="AQ249" s="47"/>
      <c r="AR249" s="47"/>
      <c r="AS249" s="47"/>
    </row>
    <row r="250" spans="1:45" ht="12" customHeight="1" x14ac:dyDescent="0.25">
      <c r="A250" s="33">
        <v>249</v>
      </c>
      <c r="B250" s="34"/>
      <c r="C250" s="34" t="s">
        <v>487</v>
      </c>
      <c r="D250" s="35" t="s">
        <v>488</v>
      </c>
      <c r="E250" s="34" t="s">
        <v>58</v>
      </c>
      <c r="F250" s="34" t="s">
        <v>0</v>
      </c>
      <c r="G250" s="16" t="s">
        <v>65</v>
      </c>
      <c r="H250" s="34">
        <v>400</v>
      </c>
      <c r="I250" s="34" t="s">
        <v>62</v>
      </c>
      <c r="J250" s="34" t="s">
        <v>3</v>
      </c>
      <c r="K250" s="35" t="s">
        <v>9</v>
      </c>
      <c r="L250" s="36" t="e">
        <f>VLOOKUP(G250,#REF!,4,0)</f>
        <v>#REF!</v>
      </c>
      <c r="M250" s="37" t="e">
        <f>_xlfn.IFNA(VLOOKUP(G250,#REF!,2,0),"")</f>
        <v>#REF!</v>
      </c>
      <c r="N250" s="38" t="e">
        <f>_xlfn.IFNA(VLOOKUP(G250,#REF!,3,0),"")</f>
        <v>#REF!</v>
      </c>
      <c r="O250" s="39">
        <v>10</v>
      </c>
      <c r="P250" s="67">
        <v>140</v>
      </c>
      <c r="Q250" s="39" t="s">
        <v>10</v>
      </c>
      <c r="R250" s="34">
        <v>3.2</v>
      </c>
      <c r="S250" s="38"/>
      <c r="T250" s="40">
        <v>23.80952380952381</v>
      </c>
      <c r="U250" s="41">
        <f t="shared" si="32"/>
        <v>471.8095238095238</v>
      </c>
      <c r="V250" s="42">
        <f t="shared" si="22"/>
        <v>1.1795238095238094</v>
      </c>
      <c r="W250" s="43">
        <f t="shared" si="33"/>
        <v>0.17604832977967305</v>
      </c>
      <c r="X250" s="38"/>
      <c r="Y250" s="38"/>
      <c r="Z250" s="44" t="s">
        <v>96</v>
      </c>
      <c r="AA250" s="45">
        <v>46103</v>
      </c>
      <c r="AB250" s="45">
        <v>46131</v>
      </c>
      <c r="AC250" s="45"/>
      <c r="AD250" s="46" t="e">
        <f>IF(ISNA(VLOOKUP(D250,#REF!,5,0)),0,VLOOKUP(D250,#REF!,5,0))</f>
        <v>#REF!</v>
      </c>
      <c r="AE250" s="46" t="e">
        <f t="shared" si="28"/>
        <v>#REF!</v>
      </c>
      <c r="AF250" s="45">
        <v>46139</v>
      </c>
      <c r="AG250" s="33">
        <f t="shared" si="24"/>
        <v>36</v>
      </c>
      <c r="AH250" s="45">
        <v>46169</v>
      </c>
      <c r="AI250" s="39"/>
      <c r="AJ250" s="56">
        <f t="shared" si="25"/>
        <v>30</v>
      </c>
      <c r="AK250" s="39"/>
      <c r="AL250" s="35"/>
      <c r="AM250" s="34"/>
      <c r="AN250" s="34"/>
      <c r="AO250" s="39"/>
      <c r="AP250" s="47"/>
      <c r="AQ250" s="47"/>
      <c r="AR250" s="47"/>
      <c r="AS250" s="47"/>
    </row>
    <row r="251" spans="1:45" ht="12" customHeight="1" x14ac:dyDescent="0.25">
      <c r="A251" s="33">
        <v>250</v>
      </c>
      <c r="B251" s="34"/>
      <c r="C251" s="34" t="s">
        <v>487</v>
      </c>
      <c r="D251" s="35" t="s">
        <v>488</v>
      </c>
      <c r="E251" s="34" t="s">
        <v>58</v>
      </c>
      <c r="F251" s="34" t="s">
        <v>0</v>
      </c>
      <c r="G251" s="16" t="s">
        <v>204</v>
      </c>
      <c r="H251" s="34">
        <v>160</v>
      </c>
      <c r="I251" s="34" t="s">
        <v>62</v>
      </c>
      <c r="J251" s="34" t="s">
        <v>3</v>
      </c>
      <c r="K251" s="35" t="s">
        <v>9</v>
      </c>
      <c r="L251" s="36" t="e">
        <f>VLOOKUP(G251,#REF!,4,0)</f>
        <v>#REF!</v>
      </c>
      <c r="M251" s="37" t="e">
        <f>_xlfn.IFNA(VLOOKUP(G251,#REF!,2,0),"")</f>
        <v>#REF!</v>
      </c>
      <c r="N251" s="38" t="e">
        <f>_xlfn.IFNA(VLOOKUP(G251,#REF!,3,0),"")</f>
        <v>#REF!</v>
      </c>
      <c r="O251" s="39">
        <v>4</v>
      </c>
      <c r="P251" s="67">
        <v>56</v>
      </c>
      <c r="Q251" s="39" t="s">
        <v>10</v>
      </c>
      <c r="R251" s="34">
        <v>3.2</v>
      </c>
      <c r="S251" s="38"/>
      <c r="T251" s="40">
        <v>9.5238095238095237</v>
      </c>
      <c r="U251" s="41">
        <f t="shared" si="32"/>
        <v>188.72380952380954</v>
      </c>
      <c r="V251" s="42">
        <f t="shared" si="22"/>
        <v>1.1795238095238096</v>
      </c>
      <c r="W251" s="43">
        <f t="shared" si="33"/>
        <v>0.17604832977967308</v>
      </c>
      <c r="X251" s="38"/>
      <c r="Y251" s="38"/>
      <c r="Z251" s="44" t="s">
        <v>96</v>
      </c>
      <c r="AA251" s="45">
        <v>46103</v>
      </c>
      <c r="AB251" s="45">
        <v>46131</v>
      </c>
      <c r="AC251" s="45"/>
      <c r="AD251" s="46" t="e">
        <f>IF(ISNA(VLOOKUP(D251,#REF!,5,0)),0,VLOOKUP(D251,#REF!,5,0))</f>
        <v>#REF!</v>
      </c>
      <c r="AE251" s="46" t="e">
        <f t="shared" si="28"/>
        <v>#REF!</v>
      </c>
      <c r="AF251" s="45">
        <v>46139</v>
      </c>
      <c r="AG251" s="33">
        <f t="shared" si="24"/>
        <v>36</v>
      </c>
      <c r="AH251" s="45">
        <v>46169</v>
      </c>
      <c r="AI251" s="39"/>
      <c r="AJ251" s="56">
        <f t="shared" si="25"/>
        <v>30</v>
      </c>
      <c r="AK251" s="39"/>
      <c r="AL251" s="35"/>
      <c r="AM251" s="34"/>
      <c r="AN251" s="34"/>
      <c r="AO251" s="39"/>
      <c r="AP251" s="47"/>
      <c r="AQ251" s="47"/>
      <c r="AR251" s="47"/>
      <c r="AS251" s="47"/>
    </row>
    <row r="252" spans="1:45" ht="12" customHeight="1" x14ac:dyDescent="0.25">
      <c r="A252" s="33">
        <v>251</v>
      </c>
      <c r="B252" s="34"/>
      <c r="C252" s="34" t="s">
        <v>487</v>
      </c>
      <c r="D252" s="35" t="s">
        <v>488</v>
      </c>
      <c r="E252" s="34" t="s">
        <v>58</v>
      </c>
      <c r="F252" s="34" t="s">
        <v>0</v>
      </c>
      <c r="G252" s="16" t="s">
        <v>206</v>
      </c>
      <c r="H252" s="34">
        <v>100</v>
      </c>
      <c r="I252" s="34" t="s">
        <v>62</v>
      </c>
      <c r="J252" s="34" t="s">
        <v>3</v>
      </c>
      <c r="K252" s="35" t="s">
        <v>9</v>
      </c>
      <c r="L252" s="36" t="e">
        <f>VLOOKUP(G252,#REF!,4,0)</f>
        <v>#REF!</v>
      </c>
      <c r="M252" s="37" t="e">
        <f>_xlfn.IFNA(VLOOKUP(G252,#REF!,2,0),"")</f>
        <v>#REF!</v>
      </c>
      <c r="N252" s="38" t="e">
        <f>_xlfn.IFNA(VLOOKUP(G252,#REF!,3,0),"")</f>
        <v>#REF!</v>
      </c>
      <c r="O252" s="39">
        <v>5</v>
      </c>
      <c r="P252" s="67">
        <v>70</v>
      </c>
      <c r="Q252" s="39" t="s">
        <v>10</v>
      </c>
      <c r="R252" s="34">
        <v>3.2</v>
      </c>
      <c r="S252" s="38"/>
      <c r="T252" s="40">
        <v>11.904761904761905</v>
      </c>
      <c r="U252" s="41">
        <f t="shared" si="32"/>
        <v>235.9047619047619</v>
      </c>
      <c r="V252" s="42">
        <f t="shared" si="22"/>
        <v>2.3590476190476188</v>
      </c>
      <c r="W252" s="43">
        <f t="shared" si="33"/>
        <v>0.3520966595593461</v>
      </c>
      <c r="X252" s="38"/>
      <c r="Y252" s="38"/>
      <c r="Z252" s="44" t="s">
        <v>96</v>
      </c>
      <c r="AA252" s="45">
        <v>46103</v>
      </c>
      <c r="AB252" s="45">
        <v>46131</v>
      </c>
      <c r="AC252" s="45"/>
      <c r="AD252" s="46" t="e">
        <f>IF(ISNA(VLOOKUP(D252,#REF!,5,0)),0,VLOOKUP(D252,#REF!,5,0))</f>
        <v>#REF!</v>
      </c>
      <c r="AE252" s="46" t="e">
        <f t="shared" si="28"/>
        <v>#REF!</v>
      </c>
      <c r="AF252" s="45">
        <v>46139</v>
      </c>
      <c r="AG252" s="33">
        <f t="shared" si="24"/>
        <v>36</v>
      </c>
      <c r="AH252" s="45">
        <v>46169</v>
      </c>
      <c r="AI252" s="39"/>
      <c r="AJ252" s="56">
        <f t="shared" si="25"/>
        <v>30</v>
      </c>
      <c r="AK252" s="39"/>
      <c r="AL252" s="35"/>
      <c r="AM252" s="34"/>
      <c r="AN252" s="34"/>
      <c r="AO252" s="39"/>
      <c r="AP252" s="47"/>
      <c r="AQ252" s="47"/>
      <c r="AR252" s="47"/>
      <c r="AS252" s="47"/>
    </row>
    <row r="253" spans="1:45" ht="12" customHeight="1" x14ac:dyDescent="0.25">
      <c r="A253" s="33">
        <v>252</v>
      </c>
      <c r="B253" s="34"/>
      <c r="C253" s="34" t="s">
        <v>487</v>
      </c>
      <c r="D253" s="35" t="s">
        <v>488</v>
      </c>
      <c r="E253" s="34" t="s">
        <v>58</v>
      </c>
      <c r="F253" s="34" t="s">
        <v>0</v>
      </c>
      <c r="G253" s="16" t="s">
        <v>251</v>
      </c>
      <c r="H253" s="34">
        <v>390</v>
      </c>
      <c r="I253" s="34" t="s">
        <v>62</v>
      </c>
      <c r="J253" s="34" t="s">
        <v>3</v>
      </c>
      <c r="K253" s="35" t="s">
        <v>9</v>
      </c>
      <c r="L253" s="36" t="e">
        <f>VLOOKUP(G253,#REF!,4,0)</f>
        <v>#REF!</v>
      </c>
      <c r="M253" s="37" t="e">
        <f>_xlfn.IFNA(VLOOKUP(G253,#REF!,2,0),"")</f>
        <v>#REF!</v>
      </c>
      <c r="N253" s="38" t="e">
        <f>_xlfn.IFNA(VLOOKUP(G253,#REF!,3,0),"")</f>
        <v>#REF!</v>
      </c>
      <c r="O253" s="39">
        <v>13</v>
      </c>
      <c r="P253" s="67">
        <v>182</v>
      </c>
      <c r="Q253" s="39" t="s">
        <v>10</v>
      </c>
      <c r="R253" s="34">
        <v>3.2</v>
      </c>
      <c r="S253" s="38"/>
      <c r="T253" s="40">
        <v>30.952380952380953</v>
      </c>
      <c r="U253" s="41">
        <f t="shared" si="32"/>
        <v>613.35238095238094</v>
      </c>
      <c r="V253" s="42">
        <f t="shared" si="22"/>
        <v>1.5726984126984127</v>
      </c>
      <c r="W253" s="43">
        <f t="shared" si="33"/>
        <v>0.2347311063728974</v>
      </c>
      <c r="X253" s="38"/>
      <c r="Y253" s="38"/>
      <c r="Z253" s="44" t="s">
        <v>96</v>
      </c>
      <c r="AA253" s="45">
        <v>46103</v>
      </c>
      <c r="AB253" s="45">
        <v>46131</v>
      </c>
      <c r="AC253" s="45"/>
      <c r="AD253" s="46" t="e">
        <f>IF(ISNA(VLOOKUP(D253,#REF!,5,0)),0,VLOOKUP(D253,#REF!,5,0))</f>
        <v>#REF!</v>
      </c>
      <c r="AE253" s="46" t="e">
        <f t="shared" si="28"/>
        <v>#REF!</v>
      </c>
      <c r="AF253" s="45">
        <v>46139</v>
      </c>
      <c r="AG253" s="33">
        <f t="shared" si="24"/>
        <v>36</v>
      </c>
      <c r="AH253" s="45">
        <v>46169</v>
      </c>
      <c r="AI253" s="39"/>
      <c r="AJ253" s="56">
        <f t="shared" si="25"/>
        <v>30</v>
      </c>
      <c r="AK253" s="39"/>
      <c r="AL253" s="35"/>
      <c r="AM253" s="34"/>
      <c r="AN253" s="34"/>
      <c r="AO253" s="39"/>
      <c r="AP253" s="47"/>
      <c r="AQ253" s="47"/>
      <c r="AR253" s="47"/>
      <c r="AS253" s="47"/>
    </row>
    <row r="254" spans="1:45" ht="12" customHeight="1" x14ac:dyDescent="0.25">
      <c r="A254" s="33">
        <v>253</v>
      </c>
      <c r="B254" s="34"/>
      <c r="C254" s="34" t="s">
        <v>487</v>
      </c>
      <c r="D254" s="35" t="s">
        <v>488</v>
      </c>
      <c r="E254" s="34" t="s">
        <v>58</v>
      </c>
      <c r="F254" s="34" t="s">
        <v>0</v>
      </c>
      <c r="G254" s="16" t="s">
        <v>315</v>
      </c>
      <c r="H254" s="34">
        <v>60</v>
      </c>
      <c r="I254" s="34" t="s">
        <v>62</v>
      </c>
      <c r="J254" s="34" t="s">
        <v>3</v>
      </c>
      <c r="K254" s="35" t="s">
        <v>9</v>
      </c>
      <c r="L254" s="36" t="e">
        <f>VLOOKUP(G254,#REF!,4,0)</f>
        <v>#REF!</v>
      </c>
      <c r="M254" s="37" t="e">
        <f>_xlfn.IFNA(VLOOKUP(G254,#REF!,2,0),"")</f>
        <v>#REF!</v>
      </c>
      <c r="N254" s="38" t="e">
        <f>_xlfn.IFNA(VLOOKUP(G254,#REF!,3,0),"")</f>
        <v>#REF!</v>
      </c>
      <c r="O254" s="39">
        <v>1</v>
      </c>
      <c r="P254" s="67">
        <v>14</v>
      </c>
      <c r="Q254" s="39" t="s">
        <v>10</v>
      </c>
      <c r="R254" s="34">
        <v>3.2</v>
      </c>
      <c r="S254" s="38"/>
      <c r="T254" s="40">
        <v>2.3809523809523809</v>
      </c>
      <c r="U254" s="41">
        <f t="shared" si="32"/>
        <v>47.180952380952384</v>
      </c>
      <c r="V254" s="42">
        <f t="shared" si="22"/>
        <v>0.78634920634920635</v>
      </c>
      <c r="W254" s="43">
        <f t="shared" si="33"/>
        <v>0.1173655531864487</v>
      </c>
      <c r="X254" s="38"/>
      <c r="Y254" s="38"/>
      <c r="Z254" s="44" t="s">
        <v>96</v>
      </c>
      <c r="AA254" s="45">
        <v>46103</v>
      </c>
      <c r="AB254" s="45">
        <v>46131</v>
      </c>
      <c r="AC254" s="45"/>
      <c r="AD254" s="46" t="e">
        <f>IF(ISNA(VLOOKUP(D254,#REF!,5,0)),0,VLOOKUP(D254,#REF!,5,0))</f>
        <v>#REF!</v>
      </c>
      <c r="AE254" s="46" t="e">
        <f t="shared" si="28"/>
        <v>#REF!</v>
      </c>
      <c r="AF254" s="45">
        <v>46139</v>
      </c>
      <c r="AG254" s="33">
        <f t="shared" si="24"/>
        <v>36</v>
      </c>
      <c r="AH254" s="45">
        <v>46169</v>
      </c>
      <c r="AI254" s="39"/>
      <c r="AJ254" s="56">
        <f t="shared" si="25"/>
        <v>30</v>
      </c>
      <c r="AK254" s="39"/>
      <c r="AL254" s="35"/>
      <c r="AM254" s="34"/>
      <c r="AN254" s="34"/>
      <c r="AO254" s="39"/>
      <c r="AP254" s="47"/>
      <c r="AQ254" s="47"/>
      <c r="AR254" s="47"/>
      <c r="AS254" s="47"/>
    </row>
    <row r="255" spans="1:45" ht="12" customHeight="1" x14ac:dyDescent="0.25">
      <c r="A255" s="33">
        <v>254</v>
      </c>
      <c r="B255" s="34"/>
      <c r="C255" s="34" t="s">
        <v>487</v>
      </c>
      <c r="D255" s="35" t="s">
        <v>488</v>
      </c>
      <c r="E255" s="34" t="s">
        <v>58</v>
      </c>
      <c r="F255" s="34" t="s">
        <v>0</v>
      </c>
      <c r="G255" s="16" t="s">
        <v>252</v>
      </c>
      <c r="H255" s="34">
        <v>90</v>
      </c>
      <c r="I255" s="34" t="s">
        <v>62</v>
      </c>
      <c r="J255" s="34" t="s">
        <v>3</v>
      </c>
      <c r="K255" s="35" t="s">
        <v>9</v>
      </c>
      <c r="L255" s="36" t="e">
        <f>VLOOKUP(G255,#REF!,4,0)</f>
        <v>#REF!</v>
      </c>
      <c r="M255" s="37" t="e">
        <f>_xlfn.IFNA(VLOOKUP(G255,#REF!,2,0),"")</f>
        <v>#REF!</v>
      </c>
      <c r="N255" s="38" t="e">
        <f>_xlfn.IFNA(VLOOKUP(G255,#REF!,3,0),"")</f>
        <v>#REF!</v>
      </c>
      <c r="O255" s="39">
        <v>3</v>
      </c>
      <c r="P255" s="67">
        <v>42</v>
      </c>
      <c r="Q255" s="39" t="s">
        <v>10</v>
      </c>
      <c r="R255" s="34">
        <v>3.2</v>
      </c>
      <c r="S255" s="38"/>
      <c r="T255" s="40">
        <v>7.1428571428571432</v>
      </c>
      <c r="U255" s="41">
        <f t="shared" si="32"/>
        <v>141.54285714285714</v>
      </c>
      <c r="V255" s="42">
        <f t="shared" si="22"/>
        <v>1.5726984126984127</v>
      </c>
      <c r="W255" s="43">
        <f t="shared" si="33"/>
        <v>0.2347311063728974</v>
      </c>
      <c r="X255" s="38"/>
      <c r="Y255" s="38"/>
      <c r="Z255" s="44" t="s">
        <v>96</v>
      </c>
      <c r="AA255" s="45">
        <v>46103</v>
      </c>
      <c r="AB255" s="45">
        <v>46131</v>
      </c>
      <c r="AC255" s="45"/>
      <c r="AD255" s="46" t="e">
        <f>IF(ISNA(VLOOKUP(D255,#REF!,5,0)),0,VLOOKUP(D255,#REF!,5,0))</f>
        <v>#REF!</v>
      </c>
      <c r="AE255" s="46" t="e">
        <f t="shared" si="28"/>
        <v>#REF!</v>
      </c>
      <c r="AF255" s="45">
        <v>46139</v>
      </c>
      <c r="AG255" s="33">
        <f t="shared" si="24"/>
        <v>36</v>
      </c>
      <c r="AH255" s="45">
        <v>46169</v>
      </c>
      <c r="AI255" s="39"/>
      <c r="AJ255" s="56">
        <f t="shared" si="25"/>
        <v>30</v>
      </c>
      <c r="AK255" s="39"/>
      <c r="AL255" s="35"/>
      <c r="AM255" s="34"/>
      <c r="AN255" s="34"/>
      <c r="AO255" s="39"/>
      <c r="AP255" s="47"/>
      <c r="AQ255" s="47"/>
      <c r="AR255" s="47"/>
      <c r="AS255" s="47"/>
    </row>
    <row r="256" spans="1:45" ht="12" customHeight="1" x14ac:dyDescent="0.25">
      <c r="A256" s="33">
        <v>255</v>
      </c>
      <c r="B256" s="34"/>
      <c r="C256" s="34" t="s">
        <v>489</v>
      </c>
      <c r="D256" s="35" t="s">
        <v>490</v>
      </c>
      <c r="E256" s="34" t="s">
        <v>470</v>
      </c>
      <c r="F256" s="34" t="s">
        <v>0</v>
      </c>
      <c r="G256" s="16" t="s">
        <v>294</v>
      </c>
      <c r="H256" s="34">
        <v>90</v>
      </c>
      <c r="I256" s="34" t="s">
        <v>62</v>
      </c>
      <c r="J256" s="34" t="s">
        <v>261</v>
      </c>
      <c r="K256" s="35" t="s">
        <v>4</v>
      </c>
      <c r="L256" s="36" t="e">
        <f>VLOOKUP(G256,#REF!,4,0)</f>
        <v>#REF!</v>
      </c>
      <c r="M256" s="37" t="e">
        <f>_xlfn.IFNA(VLOOKUP(G256,#REF!,2,0),"")</f>
        <v>#REF!</v>
      </c>
      <c r="N256" s="38" t="e">
        <f>_xlfn.IFNA(VLOOKUP(G256,#REF!,3,0),"")</f>
        <v>#REF!</v>
      </c>
      <c r="O256" s="39">
        <v>10</v>
      </c>
      <c r="P256" s="67">
        <v>148</v>
      </c>
      <c r="Q256" s="39" t="s">
        <v>10</v>
      </c>
      <c r="R256" s="34">
        <v>4.5</v>
      </c>
      <c r="S256" s="38">
        <v>200</v>
      </c>
      <c r="T256" s="40">
        <v>200</v>
      </c>
      <c r="U256" s="41">
        <f t="shared" si="32"/>
        <v>866</v>
      </c>
      <c r="V256" s="42">
        <f t="shared" si="22"/>
        <v>9.6222222222222218</v>
      </c>
      <c r="W256" s="43">
        <f t="shared" si="33"/>
        <v>1.4361525704809286</v>
      </c>
      <c r="X256" s="38"/>
      <c r="Y256" s="38"/>
      <c r="Z256" s="44" t="s">
        <v>96</v>
      </c>
      <c r="AA256" s="45">
        <v>46103</v>
      </c>
      <c r="AB256" s="45">
        <v>46119</v>
      </c>
      <c r="AC256" s="45"/>
      <c r="AD256" s="46" t="e">
        <f>IF(ISNA(VLOOKUP(D256,#REF!,5,0)),0,VLOOKUP(D256,#REF!,5,0))</f>
        <v>#REF!</v>
      </c>
      <c r="AE256" s="46" t="e">
        <f t="shared" si="28"/>
        <v>#REF!</v>
      </c>
      <c r="AF256" s="45">
        <v>46138</v>
      </c>
      <c r="AG256" s="33">
        <f t="shared" si="24"/>
        <v>35</v>
      </c>
      <c r="AH256" s="45">
        <v>46165</v>
      </c>
      <c r="AI256" s="39"/>
      <c r="AJ256" s="56">
        <f t="shared" si="25"/>
        <v>27</v>
      </c>
      <c r="AK256" s="39"/>
      <c r="AL256" s="35"/>
      <c r="AM256" s="34"/>
      <c r="AN256" s="34"/>
      <c r="AO256" s="39"/>
      <c r="AP256" s="47"/>
      <c r="AQ256" s="47"/>
      <c r="AR256" s="47"/>
      <c r="AS256" s="47"/>
    </row>
    <row r="257" spans="1:45" ht="12" customHeight="1" x14ac:dyDescent="0.25">
      <c r="A257" s="33">
        <v>256</v>
      </c>
      <c r="B257" s="34"/>
      <c r="C257" s="34" t="s">
        <v>482</v>
      </c>
      <c r="D257" s="35" t="s">
        <v>491</v>
      </c>
      <c r="E257" s="34" t="s">
        <v>470</v>
      </c>
      <c r="F257" s="34" t="s">
        <v>0</v>
      </c>
      <c r="G257" s="16" t="s">
        <v>294</v>
      </c>
      <c r="H257" s="34">
        <v>360</v>
      </c>
      <c r="I257" s="34" t="s">
        <v>62</v>
      </c>
      <c r="J257" s="34" t="s">
        <v>3</v>
      </c>
      <c r="K257" s="35" t="s">
        <v>4</v>
      </c>
      <c r="L257" s="36" t="e">
        <f>VLOOKUP(G257,#REF!,4,0)</f>
        <v>#REF!</v>
      </c>
      <c r="M257" s="37" t="e">
        <f>_xlfn.IFNA(VLOOKUP(G257,#REF!,2,0),"")</f>
        <v>#REF!</v>
      </c>
      <c r="N257" s="38" t="e">
        <f>_xlfn.IFNA(VLOOKUP(G257,#REF!,3,0),"")</f>
        <v>#REF!</v>
      </c>
      <c r="O257" s="39">
        <v>40</v>
      </c>
      <c r="P257" s="67">
        <v>592</v>
      </c>
      <c r="Q257" s="39" t="s">
        <v>10</v>
      </c>
      <c r="R257" s="34">
        <v>3.6</v>
      </c>
      <c r="S257" s="48">
        <f>SUMIF(C:C,C256,T:T)</f>
        <v>200</v>
      </c>
      <c r="T257" s="40">
        <v>40.609137055837564</v>
      </c>
      <c r="U257" s="41">
        <f t="shared" si="32"/>
        <v>2171.8091370558377</v>
      </c>
      <c r="V257" s="42">
        <f t="shared" si="22"/>
        <v>6.0328031584884378</v>
      </c>
      <c r="W257" s="43">
        <f t="shared" si="33"/>
        <v>0.90041838186394596</v>
      </c>
      <c r="X257" s="38"/>
      <c r="Y257" s="38"/>
      <c r="Z257" s="44" t="s">
        <v>96</v>
      </c>
      <c r="AA257" s="45">
        <v>46103</v>
      </c>
      <c r="AB257" s="45">
        <v>46122</v>
      </c>
      <c r="AC257" s="45"/>
      <c r="AD257" s="46" t="e">
        <f>IF(ISNA(VLOOKUP(D257,#REF!,5,0)),0,VLOOKUP(D257,#REF!,5,0))</f>
        <v>#REF!</v>
      </c>
      <c r="AE257" s="46" t="e">
        <f t="shared" si="28"/>
        <v>#REF!</v>
      </c>
      <c r="AF257" s="45">
        <v>46138</v>
      </c>
      <c r="AG257" s="33">
        <f t="shared" si="24"/>
        <v>35</v>
      </c>
      <c r="AH257" s="45">
        <v>46164</v>
      </c>
      <c r="AI257" s="39"/>
      <c r="AJ257" s="56">
        <f t="shared" si="25"/>
        <v>26</v>
      </c>
      <c r="AK257" s="39"/>
      <c r="AL257" s="35"/>
      <c r="AM257" s="34"/>
      <c r="AN257" s="34"/>
      <c r="AO257" s="39"/>
      <c r="AP257" s="47"/>
      <c r="AQ257" s="47"/>
      <c r="AR257" s="47"/>
      <c r="AS257" s="47"/>
    </row>
    <row r="258" spans="1:45" ht="12" customHeight="1" x14ac:dyDescent="0.25">
      <c r="A258" s="33">
        <v>257</v>
      </c>
      <c r="B258" s="34"/>
      <c r="C258" s="34" t="s">
        <v>492</v>
      </c>
      <c r="D258" s="35" t="s">
        <v>493</v>
      </c>
      <c r="E258" s="34" t="s">
        <v>273</v>
      </c>
      <c r="F258" s="34" t="s">
        <v>178</v>
      </c>
      <c r="G258" s="16" t="s">
        <v>160</v>
      </c>
      <c r="H258" s="34">
        <v>30</v>
      </c>
      <c r="I258" s="34" t="s">
        <v>179</v>
      </c>
      <c r="J258" s="34" t="s">
        <v>235</v>
      </c>
      <c r="K258" s="35" t="s">
        <v>180</v>
      </c>
      <c r="L258" s="36" t="e">
        <f>VLOOKUP(G258,#REF!,4,0)</f>
        <v>#REF!</v>
      </c>
      <c r="M258" s="37" t="e">
        <f>_xlfn.IFNA(VLOOKUP(G258,#REF!,2,0),"")</f>
        <v>#REF!</v>
      </c>
      <c r="N258" s="38" t="e">
        <f>_xlfn.IFNA(VLOOKUP(G258,#REF!,3,0),"")</f>
        <v>#REF!</v>
      </c>
      <c r="O258" s="39">
        <v>1</v>
      </c>
      <c r="P258" s="67">
        <v>13.636363636363637</v>
      </c>
      <c r="Q258" s="39" t="s">
        <v>10</v>
      </c>
      <c r="R258" s="34">
        <v>6.5</v>
      </c>
      <c r="S258" s="38">
        <v>350</v>
      </c>
      <c r="T258" s="40">
        <v>15.909090909090908</v>
      </c>
      <c r="U258" s="41">
        <f t="shared" si="32"/>
        <v>104.54545454545455</v>
      </c>
      <c r="V258" s="42">
        <f t="shared" ref="V258:V321" si="37">U258/H258</f>
        <v>3.4848484848484849</v>
      </c>
      <c r="W258" s="43">
        <f t="shared" si="33"/>
        <v>0.52012663952962457</v>
      </c>
      <c r="X258" s="38"/>
      <c r="Y258" s="38"/>
      <c r="Z258" s="44" t="s">
        <v>96</v>
      </c>
      <c r="AA258" s="45">
        <v>46104</v>
      </c>
      <c r="AB258" s="45">
        <v>46134</v>
      </c>
      <c r="AC258" s="45"/>
      <c r="AD258" s="46" t="e">
        <f>IF(ISNA(VLOOKUP(D258,#REF!,5,0)),0,VLOOKUP(D258,#REF!,5,0))</f>
        <v>#REF!</v>
      </c>
      <c r="AE258" s="46" t="e">
        <f t="shared" si="28"/>
        <v>#REF!</v>
      </c>
      <c r="AF258" s="45">
        <v>46152</v>
      </c>
      <c r="AG258" s="33">
        <f t="shared" ref="AG258:AG321" si="38">AF258-AA258</f>
        <v>48</v>
      </c>
      <c r="AH258" s="45">
        <v>46168</v>
      </c>
      <c r="AI258" s="39"/>
      <c r="AJ258" s="56">
        <f t="shared" si="25"/>
        <v>16</v>
      </c>
      <c r="AK258" s="39"/>
      <c r="AL258" s="35"/>
      <c r="AM258" s="34"/>
      <c r="AN258" s="34"/>
      <c r="AO258" s="39"/>
      <c r="AP258" s="47"/>
      <c r="AQ258" s="47"/>
      <c r="AR258" s="47"/>
      <c r="AS258" s="47"/>
    </row>
    <row r="259" spans="1:45" ht="12" customHeight="1" x14ac:dyDescent="0.25">
      <c r="A259" s="33">
        <v>258</v>
      </c>
      <c r="B259" s="34"/>
      <c r="C259" s="34" t="s">
        <v>492</v>
      </c>
      <c r="D259" s="35" t="s">
        <v>493</v>
      </c>
      <c r="E259" s="34" t="s">
        <v>273</v>
      </c>
      <c r="F259" s="34" t="s">
        <v>178</v>
      </c>
      <c r="G259" s="16" t="s">
        <v>158</v>
      </c>
      <c r="H259" s="34">
        <v>120</v>
      </c>
      <c r="I259" s="34" t="s">
        <v>179</v>
      </c>
      <c r="J259" s="34" t="s">
        <v>235</v>
      </c>
      <c r="K259" s="35" t="s">
        <v>180</v>
      </c>
      <c r="L259" s="36" t="e">
        <f>VLOOKUP(G259,#REF!,4,0)</f>
        <v>#REF!</v>
      </c>
      <c r="M259" s="37" t="e">
        <f>_xlfn.IFNA(VLOOKUP(G259,#REF!,2,0),"")</f>
        <v>#REF!</v>
      </c>
      <c r="N259" s="38" t="e">
        <f>_xlfn.IFNA(VLOOKUP(G259,#REF!,3,0),"")</f>
        <v>#REF!</v>
      </c>
      <c r="O259" s="39">
        <v>4</v>
      </c>
      <c r="P259" s="67">
        <v>54.545454545454547</v>
      </c>
      <c r="Q259" s="39" t="s">
        <v>10</v>
      </c>
      <c r="R259" s="34">
        <v>6.5</v>
      </c>
      <c r="S259" s="48">
        <f>SUMIF(C:C,C258,T:T)</f>
        <v>350</v>
      </c>
      <c r="T259" s="40">
        <v>63.636363636363633</v>
      </c>
      <c r="U259" s="41">
        <f t="shared" si="32"/>
        <v>418.18181818181819</v>
      </c>
      <c r="V259" s="42">
        <f t="shared" si="37"/>
        <v>3.4848484848484849</v>
      </c>
      <c r="W259" s="43">
        <f t="shared" si="33"/>
        <v>0.52012663952962457</v>
      </c>
      <c r="X259" s="38"/>
      <c r="Y259" s="38"/>
      <c r="Z259" s="44" t="s">
        <v>96</v>
      </c>
      <c r="AA259" s="45">
        <v>46104</v>
      </c>
      <c r="AB259" s="45">
        <v>46134</v>
      </c>
      <c r="AC259" s="45"/>
      <c r="AD259" s="46" t="e">
        <f>IF(ISNA(VLOOKUP(D259,#REF!,5,0)),0,VLOOKUP(D259,#REF!,5,0))</f>
        <v>#REF!</v>
      </c>
      <c r="AE259" s="46" t="e">
        <f t="shared" si="28"/>
        <v>#REF!</v>
      </c>
      <c r="AF259" s="45">
        <v>46152</v>
      </c>
      <c r="AG259" s="33">
        <f t="shared" si="38"/>
        <v>48</v>
      </c>
      <c r="AH259" s="45">
        <v>46168</v>
      </c>
      <c r="AI259" s="39"/>
      <c r="AJ259" s="56">
        <f t="shared" ref="AJ259:AJ322" si="39">AH259-AF259</f>
        <v>16</v>
      </c>
      <c r="AK259" s="39"/>
      <c r="AL259" s="35"/>
      <c r="AM259" s="34"/>
      <c r="AN259" s="34"/>
      <c r="AO259" s="39"/>
      <c r="AP259" s="47"/>
      <c r="AQ259" s="47"/>
      <c r="AR259" s="47"/>
      <c r="AS259" s="47"/>
    </row>
    <row r="260" spans="1:45" ht="12" customHeight="1" x14ac:dyDescent="0.25">
      <c r="A260" s="33">
        <v>259</v>
      </c>
      <c r="B260" s="34"/>
      <c r="C260" s="34" t="s">
        <v>492</v>
      </c>
      <c r="D260" s="35" t="s">
        <v>493</v>
      </c>
      <c r="E260" s="34" t="s">
        <v>273</v>
      </c>
      <c r="F260" s="34" t="s">
        <v>178</v>
      </c>
      <c r="G260" s="16" t="s">
        <v>159</v>
      </c>
      <c r="H260" s="34">
        <v>90</v>
      </c>
      <c r="I260" s="34" t="s">
        <v>179</v>
      </c>
      <c r="J260" s="34" t="s">
        <v>235</v>
      </c>
      <c r="K260" s="35" t="s">
        <v>180</v>
      </c>
      <c r="L260" s="36" t="e">
        <f>VLOOKUP(G260,#REF!,4,0)</f>
        <v>#REF!</v>
      </c>
      <c r="M260" s="37" t="e">
        <f>_xlfn.IFNA(VLOOKUP(G260,#REF!,2,0),"")</f>
        <v>#REF!</v>
      </c>
      <c r="N260" s="38" t="e">
        <f>_xlfn.IFNA(VLOOKUP(G260,#REF!,3,0),"")</f>
        <v>#REF!</v>
      </c>
      <c r="O260" s="39">
        <v>3</v>
      </c>
      <c r="P260" s="67">
        <v>40.909090909090907</v>
      </c>
      <c r="Q260" s="39" t="s">
        <v>10</v>
      </c>
      <c r="R260" s="34">
        <v>6.5</v>
      </c>
      <c r="S260" s="38"/>
      <c r="T260" s="40">
        <v>47.727272727272727</v>
      </c>
      <c r="U260" s="41">
        <f t="shared" si="32"/>
        <v>313.63636363636363</v>
      </c>
      <c r="V260" s="42">
        <f t="shared" si="37"/>
        <v>3.4848484848484849</v>
      </c>
      <c r="W260" s="43">
        <f t="shared" si="33"/>
        <v>0.52012663952962457</v>
      </c>
      <c r="X260" s="38"/>
      <c r="Y260" s="38"/>
      <c r="Z260" s="44" t="s">
        <v>96</v>
      </c>
      <c r="AA260" s="45">
        <v>46104</v>
      </c>
      <c r="AB260" s="45">
        <v>46134</v>
      </c>
      <c r="AC260" s="45"/>
      <c r="AD260" s="46" t="e">
        <f>IF(ISNA(VLOOKUP(D260,#REF!,5,0)),0,VLOOKUP(D260,#REF!,5,0))</f>
        <v>#REF!</v>
      </c>
      <c r="AE260" s="46" t="e">
        <f t="shared" si="28"/>
        <v>#REF!</v>
      </c>
      <c r="AF260" s="45">
        <v>46152</v>
      </c>
      <c r="AG260" s="33">
        <f t="shared" si="38"/>
        <v>48</v>
      </c>
      <c r="AH260" s="45">
        <v>46168</v>
      </c>
      <c r="AI260" s="39"/>
      <c r="AJ260" s="56">
        <f t="shared" si="39"/>
        <v>16</v>
      </c>
      <c r="AK260" s="39"/>
      <c r="AL260" s="35"/>
      <c r="AM260" s="34"/>
      <c r="AN260" s="34"/>
      <c r="AO260" s="39"/>
      <c r="AP260" s="47"/>
      <c r="AQ260" s="47"/>
      <c r="AR260" s="47"/>
      <c r="AS260" s="47"/>
    </row>
    <row r="261" spans="1:45" ht="12" customHeight="1" x14ac:dyDescent="0.25">
      <c r="A261" s="33">
        <v>260</v>
      </c>
      <c r="B261" s="34"/>
      <c r="C261" s="34" t="s">
        <v>492</v>
      </c>
      <c r="D261" s="35" t="s">
        <v>493</v>
      </c>
      <c r="E261" s="34" t="s">
        <v>273</v>
      </c>
      <c r="F261" s="34" t="s">
        <v>178</v>
      </c>
      <c r="G261" s="16" t="s">
        <v>68</v>
      </c>
      <c r="H261" s="34">
        <v>210</v>
      </c>
      <c r="I261" s="34" t="s">
        <v>179</v>
      </c>
      <c r="J261" s="34" t="s">
        <v>235</v>
      </c>
      <c r="K261" s="35" t="s">
        <v>180</v>
      </c>
      <c r="L261" s="36" t="e">
        <f>VLOOKUP(G261,#REF!,4,0)</f>
        <v>#REF!</v>
      </c>
      <c r="M261" s="37" t="e">
        <f>_xlfn.IFNA(VLOOKUP(G261,#REF!,2,0),"")</f>
        <v>#REF!</v>
      </c>
      <c r="N261" s="38" t="e">
        <f>_xlfn.IFNA(VLOOKUP(G261,#REF!,3,0),"")</f>
        <v>#REF!</v>
      </c>
      <c r="O261" s="39">
        <v>7</v>
      </c>
      <c r="P261" s="67">
        <v>95.454545454545453</v>
      </c>
      <c r="Q261" s="39" t="s">
        <v>10</v>
      </c>
      <c r="R261" s="34">
        <v>6.5</v>
      </c>
      <c r="S261" s="38"/>
      <c r="T261" s="40">
        <v>111.36363636363636</v>
      </c>
      <c r="U261" s="41">
        <f t="shared" si="32"/>
        <v>731.81818181818187</v>
      </c>
      <c r="V261" s="42">
        <f t="shared" si="37"/>
        <v>3.4848484848484853</v>
      </c>
      <c r="W261" s="43">
        <f t="shared" si="33"/>
        <v>0.52012663952962468</v>
      </c>
      <c r="X261" s="38"/>
      <c r="Y261" s="38"/>
      <c r="Z261" s="44" t="s">
        <v>96</v>
      </c>
      <c r="AA261" s="45">
        <v>46104</v>
      </c>
      <c r="AB261" s="45">
        <v>46134</v>
      </c>
      <c r="AC261" s="45"/>
      <c r="AD261" s="46" t="e">
        <f>IF(ISNA(VLOOKUP(D261,#REF!,5,0)),0,VLOOKUP(D261,#REF!,5,0))</f>
        <v>#REF!</v>
      </c>
      <c r="AE261" s="46" t="e">
        <f t="shared" si="28"/>
        <v>#REF!</v>
      </c>
      <c r="AF261" s="45">
        <v>46152</v>
      </c>
      <c r="AG261" s="33">
        <f t="shared" si="38"/>
        <v>48</v>
      </c>
      <c r="AH261" s="45">
        <v>46168</v>
      </c>
      <c r="AI261" s="39"/>
      <c r="AJ261" s="56">
        <f t="shared" si="39"/>
        <v>16</v>
      </c>
      <c r="AK261" s="39"/>
      <c r="AL261" s="35"/>
      <c r="AM261" s="34"/>
      <c r="AN261" s="34"/>
      <c r="AO261" s="39"/>
      <c r="AP261" s="47"/>
      <c r="AQ261" s="47"/>
      <c r="AR261" s="47"/>
      <c r="AS261" s="47"/>
    </row>
    <row r="262" spans="1:45" ht="12" customHeight="1" x14ac:dyDescent="0.25">
      <c r="A262" s="33">
        <v>261</v>
      </c>
      <c r="B262" s="34"/>
      <c r="C262" s="34" t="s">
        <v>492</v>
      </c>
      <c r="D262" s="35" t="s">
        <v>493</v>
      </c>
      <c r="E262" s="34" t="s">
        <v>273</v>
      </c>
      <c r="F262" s="34" t="s">
        <v>178</v>
      </c>
      <c r="G262" s="16" t="s">
        <v>119</v>
      </c>
      <c r="H262" s="34">
        <v>60</v>
      </c>
      <c r="I262" s="34" t="s">
        <v>179</v>
      </c>
      <c r="J262" s="34" t="s">
        <v>235</v>
      </c>
      <c r="K262" s="35" t="s">
        <v>180</v>
      </c>
      <c r="L262" s="36" t="e">
        <f>VLOOKUP(G262,#REF!,4,0)</f>
        <v>#REF!</v>
      </c>
      <c r="M262" s="37" t="e">
        <f>_xlfn.IFNA(VLOOKUP(G262,#REF!,2,0),"")</f>
        <v>#REF!</v>
      </c>
      <c r="N262" s="38" t="e">
        <f>_xlfn.IFNA(VLOOKUP(G262,#REF!,3,0),"")</f>
        <v>#REF!</v>
      </c>
      <c r="O262" s="39">
        <v>2</v>
      </c>
      <c r="P262" s="67">
        <v>27.272727272727273</v>
      </c>
      <c r="Q262" s="39" t="s">
        <v>10</v>
      </c>
      <c r="R262" s="34">
        <v>6.5</v>
      </c>
      <c r="S262" s="38"/>
      <c r="T262" s="40">
        <v>31.818181818181817</v>
      </c>
      <c r="U262" s="41">
        <f t="shared" si="32"/>
        <v>209.09090909090909</v>
      </c>
      <c r="V262" s="42">
        <f t="shared" si="37"/>
        <v>3.4848484848484849</v>
      </c>
      <c r="W262" s="43">
        <f t="shared" si="33"/>
        <v>0.52012663952962457</v>
      </c>
      <c r="X262" s="38"/>
      <c r="Y262" s="38"/>
      <c r="Z262" s="44" t="s">
        <v>96</v>
      </c>
      <c r="AA262" s="45">
        <v>46104</v>
      </c>
      <c r="AB262" s="45">
        <v>46134</v>
      </c>
      <c r="AC262" s="45"/>
      <c r="AD262" s="46" t="e">
        <f>IF(ISNA(VLOOKUP(D262,#REF!,5,0)),0,VLOOKUP(D262,#REF!,5,0))</f>
        <v>#REF!</v>
      </c>
      <c r="AE262" s="46" t="e">
        <f t="shared" si="28"/>
        <v>#REF!</v>
      </c>
      <c r="AF262" s="45">
        <v>46152</v>
      </c>
      <c r="AG262" s="33">
        <f t="shared" si="38"/>
        <v>48</v>
      </c>
      <c r="AH262" s="45">
        <v>46168</v>
      </c>
      <c r="AI262" s="39"/>
      <c r="AJ262" s="56">
        <f t="shared" si="39"/>
        <v>16</v>
      </c>
      <c r="AK262" s="39"/>
      <c r="AL262" s="35"/>
      <c r="AM262" s="34"/>
      <c r="AN262" s="34"/>
      <c r="AO262" s="39"/>
      <c r="AP262" s="47"/>
      <c r="AQ262" s="47"/>
      <c r="AR262" s="47"/>
      <c r="AS262" s="47"/>
    </row>
    <row r="263" spans="1:45" ht="12" customHeight="1" x14ac:dyDescent="0.25">
      <c r="A263" s="33">
        <v>262</v>
      </c>
      <c r="B263" s="34"/>
      <c r="C263" s="34" t="s">
        <v>492</v>
      </c>
      <c r="D263" s="35" t="s">
        <v>493</v>
      </c>
      <c r="E263" s="34" t="s">
        <v>273</v>
      </c>
      <c r="F263" s="34" t="s">
        <v>178</v>
      </c>
      <c r="G263" s="16" t="s">
        <v>112</v>
      </c>
      <c r="H263" s="34">
        <v>60</v>
      </c>
      <c r="I263" s="34" t="s">
        <v>179</v>
      </c>
      <c r="J263" s="34" t="s">
        <v>235</v>
      </c>
      <c r="K263" s="35" t="s">
        <v>180</v>
      </c>
      <c r="L263" s="36" t="e">
        <f>VLOOKUP(G263,#REF!,4,0)</f>
        <v>#REF!</v>
      </c>
      <c r="M263" s="37" t="e">
        <f>_xlfn.IFNA(VLOOKUP(G263,#REF!,2,0),"")</f>
        <v>#REF!</v>
      </c>
      <c r="N263" s="38" t="e">
        <f>_xlfn.IFNA(VLOOKUP(G263,#REF!,3,0),"")</f>
        <v>#REF!</v>
      </c>
      <c r="O263" s="39">
        <v>2</v>
      </c>
      <c r="P263" s="67">
        <v>27.272727272727273</v>
      </c>
      <c r="Q263" s="39" t="s">
        <v>10</v>
      </c>
      <c r="R263" s="34">
        <v>6.5</v>
      </c>
      <c r="S263" s="38"/>
      <c r="T263" s="40">
        <v>31.818181818181817</v>
      </c>
      <c r="U263" s="41">
        <f t="shared" si="32"/>
        <v>209.09090909090909</v>
      </c>
      <c r="V263" s="42">
        <f t="shared" si="37"/>
        <v>3.4848484848484849</v>
      </c>
      <c r="W263" s="43">
        <f t="shared" si="33"/>
        <v>0.52012663952962457</v>
      </c>
      <c r="X263" s="38"/>
      <c r="Y263" s="38"/>
      <c r="Z263" s="44" t="s">
        <v>96</v>
      </c>
      <c r="AA263" s="45">
        <v>46104</v>
      </c>
      <c r="AB263" s="45">
        <v>46134</v>
      </c>
      <c r="AC263" s="45"/>
      <c r="AD263" s="46" t="e">
        <f>IF(ISNA(VLOOKUP(D263,#REF!,5,0)),0,VLOOKUP(D263,#REF!,5,0))</f>
        <v>#REF!</v>
      </c>
      <c r="AE263" s="46" t="e">
        <f t="shared" si="28"/>
        <v>#REF!</v>
      </c>
      <c r="AF263" s="45">
        <v>46152</v>
      </c>
      <c r="AG263" s="33">
        <f t="shared" si="38"/>
        <v>48</v>
      </c>
      <c r="AH263" s="45">
        <v>46168</v>
      </c>
      <c r="AI263" s="39"/>
      <c r="AJ263" s="56">
        <f t="shared" si="39"/>
        <v>16</v>
      </c>
      <c r="AK263" s="39"/>
      <c r="AL263" s="35"/>
      <c r="AM263" s="34"/>
      <c r="AN263" s="34"/>
      <c r="AO263" s="39"/>
      <c r="AP263" s="47"/>
      <c r="AQ263" s="47"/>
      <c r="AR263" s="47"/>
      <c r="AS263" s="47"/>
    </row>
    <row r="264" spans="1:45" ht="12" customHeight="1" x14ac:dyDescent="0.25">
      <c r="A264" s="33">
        <v>263</v>
      </c>
      <c r="B264" s="34"/>
      <c r="C264" s="34" t="s">
        <v>492</v>
      </c>
      <c r="D264" s="35" t="s">
        <v>493</v>
      </c>
      <c r="E264" s="34" t="s">
        <v>273</v>
      </c>
      <c r="F264" s="34" t="s">
        <v>178</v>
      </c>
      <c r="G264" s="16" t="s">
        <v>251</v>
      </c>
      <c r="H264" s="34">
        <v>90</v>
      </c>
      <c r="I264" s="34" t="s">
        <v>179</v>
      </c>
      <c r="J264" s="34" t="s">
        <v>235</v>
      </c>
      <c r="K264" s="35" t="s">
        <v>180</v>
      </c>
      <c r="L264" s="36" t="e">
        <f>VLOOKUP(G264,#REF!,4,0)</f>
        <v>#REF!</v>
      </c>
      <c r="M264" s="37" t="e">
        <f>_xlfn.IFNA(VLOOKUP(G264,#REF!,2,0),"")</f>
        <v>#REF!</v>
      </c>
      <c r="N264" s="38" t="e">
        <f>_xlfn.IFNA(VLOOKUP(G264,#REF!,3,0),"")</f>
        <v>#REF!</v>
      </c>
      <c r="O264" s="39">
        <v>3</v>
      </c>
      <c r="P264" s="67">
        <v>40.909090909090907</v>
      </c>
      <c r="Q264" s="39" t="s">
        <v>10</v>
      </c>
      <c r="R264" s="34">
        <v>6.5</v>
      </c>
      <c r="S264" s="38"/>
      <c r="T264" s="40">
        <v>47.727272727272727</v>
      </c>
      <c r="U264" s="41">
        <f t="shared" si="32"/>
        <v>313.63636363636363</v>
      </c>
      <c r="V264" s="42">
        <f t="shared" si="37"/>
        <v>3.4848484848484849</v>
      </c>
      <c r="W264" s="43">
        <f t="shared" si="33"/>
        <v>0.52012663952962457</v>
      </c>
      <c r="X264" s="38"/>
      <c r="Y264" s="38"/>
      <c r="Z264" s="44" t="s">
        <v>96</v>
      </c>
      <c r="AA264" s="45">
        <v>46104</v>
      </c>
      <c r="AB264" s="45">
        <v>46134</v>
      </c>
      <c r="AC264" s="45"/>
      <c r="AD264" s="46" t="e">
        <f>IF(ISNA(VLOOKUP(D264,#REF!,5,0)),0,VLOOKUP(D264,#REF!,5,0))</f>
        <v>#REF!</v>
      </c>
      <c r="AE264" s="46" t="e">
        <f t="shared" si="28"/>
        <v>#REF!</v>
      </c>
      <c r="AF264" s="45">
        <v>46152</v>
      </c>
      <c r="AG264" s="33">
        <f t="shared" si="38"/>
        <v>48</v>
      </c>
      <c r="AH264" s="45">
        <v>46168</v>
      </c>
      <c r="AI264" s="39"/>
      <c r="AJ264" s="56">
        <f t="shared" si="39"/>
        <v>16</v>
      </c>
      <c r="AK264" s="39"/>
      <c r="AL264" s="35"/>
      <c r="AM264" s="34"/>
      <c r="AN264" s="34"/>
      <c r="AO264" s="39"/>
      <c r="AP264" s="47"/>
      <c r="AQ264" s="47"/>
      <c r="AR264" s="47"/>
      <c r="AS264" s="47"/>
    </row>
    <row r="265" spans="1:45" ht="12" customHeight="1" x14ac:dyDescent="0.25">
      <c r="A265" s="33">
        <v>264</v>
      </c>
      <c r="B265" s="34"/>
      <c r="C265" s="34" t="s">
        <v>482</v>
      </c>
      <c r="D265" s="35" t="s">
        <v>494</v>
      </c>
      <c r="E265" s="34" t="s">
        <v>260</v>
      </c>
      <c r="F265" s="34" t="s">
        <v>0</v>
      </c>
      <c r="G265" s="16" t="s">
        <v>437</v>
      </c>
      <c r="H265" s="34">
        <v>150</v>
      </c>
      <c r="I265" s="34" t="s">
        <v>62</v>
      </c>
      <c r="J265" s="34" t="s">
        <v>3</v>
      </c>
      <c r="K265" s="35" t="s">
        <v>19</v>
      </c>
      <c r="L265" s="36" t="e">
        <f>VLOOKUP(G265,#REF!,4,0)</f>
        <v>#REF!</v>
      </c>
      <c r="M265" s="37" t="e">
        <f>_xlfn.IFNA(VLOOKUP(G265,#REF!,2,0),"")</f>
        <v>#REF!</v>
      </c>
      <c r="N265" s="38" t="e">
        <f>_xlfn.IFNA(VLOOKUP(G265,#REF!,3,0),"")</f>
        <v>#REF!</v>
      </c>
      <c r="O265" s="39">
        <v>5</v>
      </c>
      <c r="P265" s="67">
        <v>66.709999999999994</v>
      </c>
      <c r="Q265" s="39" t="s">
        <v>10</v>
      </c>
      <c r="R265" s="34">
        <v>2.8</v>
      </c>
      <c r="S265" s="38">
        <v>200</v>
      </c>
      <c r="T265" s="40">
        <v>5.0761421319796955</v>
      </c>
      <c r="U265" s="41">
        <f t="shared" si="32"/>
        <v>191.86414213197969</v>
      </c>
      <c r="V265" s="42">
        <f t="shared" si="37"/>
        <v>1.2790942808798647</v>
      </c>
      <c r="W265" s="43">
        <f t="shared" si="33"/>
        <v>0.19090959416117381</v>
      </c>
      <c r="X265" s="38"/>
      <c r="Y265" s="38"/>
      <c r="Z265" s="44" t="s">
        <v>96</v>
      </c>
      <c r="AA265" s="45">
        <v>46103</v>
      </c>
      <c r="AB265" s="45">
        <v>46122</v>
      </c>
      <c r="AC265" s="45"/>
      <c r="AD265" s="46" t="e">
        <f>IF(ISNA(VLOOKUP(D265,#REF!,5,0)),0,VLOOKUP(D265,#REF!,5,0))</f>
        <v>#REF!</v>
      </c>
      <c r="AE265" s="46" t="e">
        <f t="shared" si="28"/>
        <v>#REF!</v>
      </c>
      <c r="AF265" s="45">
        <v>46143</v>
      </c>
      <c r="AG265" s="33">
        <f t="shared" si="38"/>
        <v>40</v>
      </c>
      <c r="AH265" s="45">
        <v>46167</v>
      </c>
      <c r="AI265" s="39"/>
      <c r="AJ265" s="56">
        <f t="shared" si="39"/>
        <v>24</v>
      </c>
      <c r="AK265" s="39"/>
      <c r="AL265" s="35"/>
      <c r="AM265" s="34"/>
      <c r="AN265" s="34"/>
      <c r="AO265" s="39"/>
      <c r="AP265" s="47"/>
      <c r="AQ265" s="47"/>
      <c r="AR265" s="47"/>
      <c r="AS265" s="47"/>
    </row>
    <row r="266" spans="1:45" ht="12" customHeight="1" x14ac:dyDescent="0.25">
      <c r="A266" s="33">
        <v>265</v>
      </c>
      <c r="B266" s="34"/>
      <c r="C266" s="34" t="s">
        <v>482</v>
      </c>
      <c r="D266" s="35" t="s">
        <v>495</v>
      </c>
      <c r="E266" s="34" t="s">
        <v>172</v>
      </c>
      <c r="F266" s="34" t="s">
        <v>0</v>
      </c>
      <c r="G266" s="16" t="s">
        <v>83</v>
      </c>
      <c r="H266" s="34">
        <v>32</v>
      </c>
      <c r="I266" s="34" t="s">
        <v>62</v>
      </c>
      <c r="J266" s="34" t="s">
        <v>3</v>
      </c>
      <c r="K266" s="35" t="s">
        <v>18</v>
      </c>
      <c r="L266" s="36" t="e">
        <f>VLOOKUP(G266,#REF!,4,0)</f>
        <v>#REF!</v>
      </c>
      <c r="M266" s="37" t="e">
        <f>_xlfn.IFNA(VLOOKUP(G266,#REF!,2,0),"")</f>
        <v>#REF!</v>
      </c>
      <c r="N266" s="38" t="e">
        <f>_xlfn.IFNA(VLOOKUP(G266,#REF!,3,0),"")</f>
        <v>#REF!</v>
      </c>
      <c r="O266" s="39">
        <v>2</v>
      </c>
      <c r="P266" s="67">
        <v>30.153846153846153</v>
      </c>
      <c r="Q266" s="39" t="s">
        <v>10</v>
      </c>
      <c r="R266" s="34">
        <v>2.8</v>
      </c>
      <c r="S266" s="48">
        <f>SUMIF(C:C,C265,T:T)</f>
        <v>199.99999999999997</v>
      </c>
      <c r="T266" s="40">
        <v>2.030456852791878</v>
      </c>
      <c r="U266" s="41">
        <f t="shared" si="32"/>
        <v>86.461226083561101</v>
      </c>
      <c r="V266" s="42">
        <f t="shared" si="37"/>
        <v>2.7019133151112844</v>
      </c>
      <c r="W266" s="43">
        <f t="shared" si="33"/>
        <v>0.40327064404646035</v>
      </c>
      <c r="X266" s="38"/>
      <c r="Y266" s="38"/>
      <c r="Z266" s="44" t="s">
        <v>96</v>
      </c>
      <c r="AA266" s="45">
        <v>46101</v>
      </c>
      <c r="AB266" s="45">
        <v>46122</v>
      </c>
      <c r="AC266" s="45"/>
      <c r="AD266" s="46" t="e">
        <f>IF(ISNA(VLOOKUP(D266,#REF!,5,0)),0,VLOOKUP(D266,#REF!,5,0))</f>
        <v>#REF!</v>
      </c>
      <c r="AE266" s="46" t="e">
        <f t="shared" si="28"/>
        <v>#REF!</v>
      </c>
      <c r="AF266" s="45">
        <v>46135</v>
      </c>
      <c r="AG266" s="33">
        <f t="shared" si="38"/>
        <v>34</v>
      </c>
      <c r="AH266" s="45">
        <v>46165</v>
      </c>
      <c r="AI266" s="39"/>
      <c r="AJ266" s="56">
        <f t="shared" si="39"/>
        <v>30</v>
      </c>
      <c r="AK266" s="39"/>
      <c r="AL266" s="35"/>
      <c r="AM266" s="34"/>
      <c r="AN266" s="34"/>
      <c r="AO266" s="39"/>
      <c r="AP266" s="47"/>
      <c r="AQ266" s="47"/>
      <c r="AR266" s="47"/>
      <c r="AS266" s="47"/>
    </row>
    <row r="267" spans="1:45" ht="12" customHeight="1" x14ac:dyDescent="0.25">
      <c r="A267" s="33">
        <v>266</v>
      </c>
      <c r="B267" s="34"/>
      <c r="C267" s="34" t="s">
        <v>482</v>
      </c>
      <c r="D267" s="35" t="s">
        <v>495</v>
      </c>
      <c r="E267" s="34" t="s">
        <v>172</v>
      </c>
      <c r="F267" s="34" t="s">
        <v>0</v>
      </c>
      <c r="G267" s="16" t="s">
        <v>82</v>
      </c>
      <c r="H267" s="34">
        <v>176</v>
      </c>
      <c r="I267" s="34" t="s">
        <v>62</v>
      </c>
      <c r="J267" s="34" t="s">
        <v>3</v>
      </c>
      <c r="K267" s="35" t="s">
        <v>18</v>
      </c>
      <c r="L267" s="36" t="e">
        <f>VLOOKUP(G267,#REF!,4,0)</f>
        <v>#REF!</v>
      </c>
      <c r="M267" s="37" t="e">
        <f>_xlfn.IFNA(VLOOKUP(G267,#REF!,2,0),"")</f>
        <v>#REF!</v>
      </c>
      <c r="N267" s="38" t="e">
        <f>_xlfn.IFNA(VLOOKUP(G267,#REF!,3,0),"")</f>
        <v>#REF!</v>
      </c>
      <c r="O267" s="39">
        <v>11</v>
      </c>
      <c r="P267" s="67">
        <v>165.84615384615384</v>
      </c>
      <c r="Q267" s="39" t="s">
        <v>10</v>
      </c>
      <c r="R267" s="34">
        <v>2.8</v>
      </c>
      <c r="S267" s="38"/>
      <c r="T267" s="40">
        <v>11.167512690355331</v>
      </c>
      <c r="U267" s="41">
        <f t="shared" si="32"/>
        <v>475.53674345958609</v>
      </c>
      <c r="V267" s="42">
        <f t="shared" si="37"/>
        <v>2.7019133151112844</v>
      </c>
      <c r="W267" s="43">
        <f t="shared" si="33"/>
        <v>0.40327064404646035</v>
      </c>
      <c r="X267" s="38"/>
      <c r="Y267" s="38"/>
      <c r="Z267" s="44" t="s">
        <v>96</v>
      </c>
      <c r="AA267" s="45">
        <v>46101</v>
      </c>
      <c r="AB267" s="45">
        <v>46122</v>
      </c>
      <c r="AC267" s="45"/>
      <c r="AD267" s="46" t="e">
        <f>IF(ISNA(VLOOKUP(D267,#REF!,5,0)),0,VLOOKUP(D267,#REF!,5,0))</f>
        <v>#REF!</v>
      </c>
      <c r="AE267" s="46" t="e">
        <f t="shared" si="28"/>
        <v>#REF!</v>
      </c>
      <c r="AF267" s="45">
        <v>46135</v>
      </c>
      <c r="AG267" s="33">
        <f t="shared" si="38"/>
        <v>34</v>
      </c>
      <c r="AH267" s="45">
        <v>46165</v>
      </c>
      <c r="AI267" s="39"/>
      <c r="AJ267" s="56">
        <f t="shared" si="39"/>
        <v>30</v>
      </c>
      <c r="AK267" s="39"/>
      <c r="AL267" s="35"/>
      <c r="AM267" s="34"/>
      <c r="AN267" s="34"/>
      <c r="AO267" s="39"/>
      <c r="AP267" s="47"/>
      <c r="AQ267" s="47"/>
      <c r="AR267" s="47"/>
      <c r="AS267" s="47"/>
    </row>
    <row r="268" spans="1:45" ht="12" customHeight="1" x14ac:dyDescent="0.25">
      <c r="A268" s="33">
        <v>267</v>
      </c>
      <c r="B268" s="34"/>
      <c r="C268" s="34" t="s">
        <v>496</v>
      </c>
      <c r="D268" s="35" t="s">
        <v>497</v>
      </c>
      <c r="E268" s="34" t="s">
        <v>172</v>
      </c>
      <c r="F268" s="34" t="s">
        <v>0</v>
      </c>
      <c r="G268" s="16" t="s">
        <v>83</v>
      </c>
      <c r="H268" s="34">
        <v>80</v>
      </c>
      <c r="I268" s="34" t="s">
        <v>218</v>
      </c>
      <c r="J268" s="34" t="s">
        <v>2</v>
      </c>
      <c r="K268" s="35" t="s">
        <v>18</v>
      </c>
      <c r="L268" s="36" t="e">
        <f>VLOOKUP(G268,#REF!,4,0)</f>
        <v>#REF!</v>
      </c>
      <c r="M268" s="37" t="e">
        <f>_xlfn.IFNA(VLOOKUP(G268,#REF!,2,0),"")</f>
        <v>#REF!</v>
      </c>
      <c r="N268" s="38" t="e">
        <f>_xlfn.IFNA(VLOOKUP(G268,#REF!,3,0),"")</f>
        <v>#REF!</v>
      </c>
      <c r="O268" s="39">
        <v>5</v>
      </c>
      <c r="P268" s="67">
        <v>0.32599999999999996</v>
      </c>
      <c r="Q268" s="39" t="s">
        <v>420</v>
      </c>
      <c r="R268" s="34">
        <v>1830</v>
      </c>
      <c r="S268" s="38">
        <v>180</v>
      </c>
      <c r="T268" s="40">
        <v>36</v>
      </c>
      <c r="U268" s="41">
        <f t="shared" si="32"/>
        <v>632.57999999999993</v>
      </c>
      <c r="V268" s="42">
        <f t="shared" si="37"/>
        <v>7.9072499999999994</v>
      </c>
      <c r="W268" s="43">
        <f t="shared" si="33"/>
        <v>1.1801865671641789</v>
      </c>
      <c r="X268" s="38"/>
      <c r="Y268" s="38"/>
      <c r="Z268" s="44" t="s">
        <v>96</v>
      </c>
      <c r="AA268" s="45">
        <v>46101</v>
      </c>
      <c r="AB268" s="45">
        <v>46117</v>
      </c>
      <c r="AC268" s="45"/>
      <c r="AD268" s="46" t="e">
        <f>IF(ISNA(VLOOKUP(D268,#REF!,5,0)),0,VLOOKUP(D268,#REF!,5,0))</f>
        <v>#REF!</v>
      </c>
      <c r="AE268" s="46" t="e">
        <f t="shared" si="28"/>
        <v>#REF!</v>
      </c>
      <c r="AF268" s="45">
        <v>46122</v>
      </c>
      <c r="AG268" s="33">
        <f t="shared" si="38"/>
        <v>21</v>
      </c>
      <c r="AH268" s="45">
        <v>46156</v>
      </c>
      <c r="AI268" s="39"/>
      <c r="AJ268" s="56">
        <f t="shared" si="39"/>
        <v>34</v>
      </c>
      <c r="AK268" s="39"/>
      <c r="AL268" s="35"/>
      <c r="AM268" s="34"/>
      <c r="AN268" s="34"/>
      <c r="AO268" s="39"/>
      <c r="AP268" s="47"/>
      <c r="AQ268" s="47"/>
      <c r="AR268" s="47"/>
      <c r="AS268" s="47"/>
    </row>
    <row r="269" spans="1:45" ht="12" customHeight="1" x14ac:dyDescent="0.25">
      <c r="A269" s="33">
        <v>268</v>
      </c>
      <c r="B269" s="34"/>
      <c r="C269" s="34" t="s">
        <v>496</v>
      </c>
      <c r="D269" s="35" t="s">
        <v>497</v>
      </c>
      <c r="E269" s="34" t="s">
        <v>172</v>
      </c>
      <c r="F269" s="34" t="s">
        <v>0</v>
      </c>
      <c r="G269" s="16" t="s">
        <v>82</v>
      </c>
      <c r="H269" s="34">
        <v>320</v>
      </c>
      <c r="I269" s="34" t="s">
        <v>218</v>
      </c>
      <c r="J269" s="34" t="s">
        <v>2</v>
      </c>
      <c r="K269" s="35" t="s">
        <v>18</v>
      </c>
      <c r="L269" s="36" t="e">
        <f>VLOOKUP(G269,#REF!,4,0)</f>
        <v>#REF!</v>
      </c>
      <c r="M269" s="37" t="e">
        <f>_xlfn.IFNA(VLOOKUP(G269,#REF!,2,0),"")</f>
        <v>#REF!</v>
      </c>
      <c r="N269" s="38" t="e">
        <f>_xlfn.IFNA(VLOOKUP(G269,#REF!,3,0),"")</f>
        <v>#REF!</v>
      </c>
      <c r="O269" s="39">
        <v>20</v>
      </c>
      <c r="P269" s="67">
        <v>1.3039999999999998</v>
      </c>
      <c r="Q269" s="39" t="s">
        <v>420</v>
      </c>
      <c r="R269" s="34">
        <v>1830</v>
      </c>
      <c r="S269" s="48">
        <f>SUMIF(C:C,C268,T:T)</f>
        <v>180</v>
      </c>
      <c r="T269" s="40">
        <v>144</v>
      </c>
      <c r="U269" s="41">
        <f t="shared" si="32"/>
        <v>2530.3199999999997</v>
      </c>
      <c r="V269" s="42">
        <f t="shared" si="37"/>
        <v>7.9072499999999994</v>
      </c>
      <c r="W269" s="43">
        <f t="shared" si="33"/>
        <v>1.1801865671641789</v>
      </c>
      <c r="X269" s="38"/>
      <c r="Y269" s="38"/>
      <c r="Z269" s="44" t="s">
        <v>96</v>
      </c>
      <c r="AA269" s="45">
        <v>46101</v>
      </c>
      <c r="AB269" s="45">
        <v>46117</v>
      </c>
      <c r="AC269" s="45"/>
      <c r="AD269" s="46" t="e">
        <f>IF(ISNA(VLOOKUP(D269,#REF!,5,0)),0,VLOOKUP(D269,#REF!,5,0))</f>
        <v>#REF!</v>
      </c>
      <c r="AE269" s="46" t="e">
        <f t="shared" si="28"/>
        <v>#REF!</v>
      </c>
      <c r="AF269" s="45">
        <v>46122</v>
      </c>
      <c r="AG269" s="33">
        <f t="shared" si="38"/>
        <v>21</v>
      </c>
      <c r="AH269" s="45">
        <v>46156</v>
      </c>
      <c r="AI269" s="39"/>
      <c r="AJ269" s="56">
        <f t="shared" si="39"/>
        <v>34</v>
      </c>
      <c r="AK269" s="39"/>
      <c r="AL269" s="35"/>
      <c r="AM269" s="34"/>
      <c r="AN269" s="34"/>
      <c r="AO269" s="39"/>
      <c r="AP269" s="47"/>
      <c r="AQ269" s="47"/>
      <c r="AR269" s="47"/>
      <c r="AS269" s="47"/>
    </row>
    <row r="270" spans="1:45" ht="12" customHeight="1" x14ac:dyDescent="0.25">
      <c r="A270" s="33">
        <v>269</v>
      </c>
      <c r="B270" s="34"/>
      <c r="C270" s="34" t="s">
        <v>487</v>
      </c>
      <c r="D270" s="35" t="s">
        <v>498</v>
      </c>
      <c r="E270" s="34" t="s">
        <v>58</v>
      </c>
      <c r="F270" s="34" t="s">
        <v>0</v>
      </c>
      <c r="G270" s="16" t="s">
        <v>241</v>
      </c>
      <c r="H270" s="34">
        <v>180</v>
      </c>
      <c r="I270" s="34" t="s">
        <v>62</v>
      </c>
      <c r="J270" s="34" t="s">
        <v>3</v>
      </c>
      <c r="K270" s="35" t="s">
        <v>9</v>
      </c>
      <c r="L270" s="36" t="e">
        <f>VLOOKUP(G270,#REF!,4,0)</f>
        <v>#REF!</v>
      </c>
      <c r="M270" s="37" t="e">
        <f>_xlfn.IFNA(VLOOKUP(G270,#REF!,2,0),"")</f>
        <v>#REF!</v>
      </c>
      <c r="N270" s="38" t="e">
        <f>_xlfn.IFNA(VLOOKUP(G270,#REF!,3,0),"")</f>
        <v>#REF!</v>
      </c>
      <c r="O270" s="39">
        <v>15</v>
      </c>
      <c r="P270" s="67">
        <v>256</v>
      </c>
      <c r="Q270" s="39" t="s">
        <v>10</v>
      </c>
      <c r="R270" s="34">
        <v>3.2</v>
      </c>
      <c r="S270" s="48">
        <v>200</v>
      </c>
      <c r="T270" s="40">
        <v>35.714285714285715</v>
      </c>
      <c r="U270" s="41">
        <f t="shared" si="32"/>
        <v>854.91428571428571</v>
      </c>
      <c r="V270" s="42">
        <f t="shared" si="37"/>
        <v>4.7495238095238097</v>
      </c>
      <c r="W270" s="43">
        <f t="shared" si="33"/>
        <v>0.7088841506751955</v>
      </c>
      <c r="X270" s="38"/>
      <c r="Y270" s="38"/>
      <c r="Z270" s="44" t="s">
        <v>96</v>
      </c>
      <c r="AA270" s="45">
        <v>46101</v>
      </c>
      <c r="AB270" s="45">
        <v>46131</v>
      </c>
      <c r="AC270" s="45"/>
      <c r="AD270" s="46" t="e">
        <f>IF(ISNA(VLOOKUP(D270,#REF!,5,0)),0,VLOOKUP(D270,#REF!,5,0))</f>
        <v>#REF!</v>
      </c>
      <c r="AE270" s="46" t="e">
        <f t="shared" si="28"/>
        <v>#REF!</v>
      </c>
      <c r="AF270" s="45">
        <v>46139</v>
      </c>
      <c r="AG270" s="33">
        <f t="shared" si="38"/>
        <v>38</v>
      </c>
      <c r="AH270" s="45">
        <v>46167</v>
      </c>
      <c r="AI270" s="39"/>
      <c r="AJ270" s="56">
        <f t="shared" si="39"/>
        <v>28</v>
      </c>
      <c r="AK270" s="39"/>
      <c r="AL270" s="35"/>
      <c r="AM270" s="34"/>
      <c r="AN270" s="34"/>
      <c r="AO270" s="39"/>
      <c r="AP270" s="47"/>
      <c r="AQ270" s="47"/>
      <c r="AR270" s="47"/>
      <c r="AS270" s="47"/>
    </row>
    <row r="271" spans="1:45" ht="12" customHeight="1" x14ac:dyDescent="0.25">
      <c r="A271" s="33">
        <v>270</v>
      </c>
      <c r="B271" s="34"/>
      <c r="C271" s="34" t="s">
        <v>499</v>
      </c>
      <c r="D271" s="35" t="s">
        <v>500</v>
      </c>
      <c r="E271" s="34" t="s">
        <v>58</v>
      </c>
      <c r="F271" s="34" t="s">
        <v>0</v>
      </c>
      <c r="G271" s="16" t="s">
        <v>239</v>
      </c>
      <c r="H271" s="34">
        <v>288</v>
      </c>
      <c r="I271" s="34" t="s">
        <v>62</v>
      </c>
      <c r="J271" s="34" t="s">
        <v>2</v>
      </c>
      <c r="K271" s="35" t="s">
        <v>18</v>
      </c>
      <c r="L271" s="36" t="e">
        <f>VLOOKUP(G271,#REF!,4,0)</f>
        <v>#REF!</v>
      </c>
      <c r="M271" s="37" t="e">
        <f>_xlfn.IFNA(VLOOKUP(G271,#REF!,2,0),"")</f>
        <v>#REF!</v>
      </c>
      <c r="N271" s="38" t="e">
        <f>_xlfn.IFNA(VLOOKUP(G271,#REF!,3,0),"")</f>
        <v>#REF!</v>
      </c>
      <c r="O271" s="39">
        <v>9</v>
      </c>
      <c r="P271" s="67">
        <v>143</v>
      </c>
      <c r="Q271" s="39" t="s">
        <v>10</v>
      </c>
      <c r="R271" s="34">
        <v>8.5</v>
      </c>
      <c r="S271" s="38">
        <v>200</v>
      </c>
      <c r="T271" s="40">
        <v>200</v>
      </c>
      <c r="U271" s="41">
        <f t="shared" si="32"/>
        <v>1415.5</v>
      </c>
      <c r="V271" s="42">
        <f t="shared" si="37"/>
        <v>4.9149305555555554</v>
      </c>
      <c r="W271" s="43">
        <f t="shared" si="33"/>
        <v>0.73357172470978438</v>
      </c>
      <c r="X271" s="38"/>
      <c r="Y271" s="38"/>
      <c r="Z271" s="44" t="s">
        <v>96</v>
      </c>
      <c r="AA271" s="45">
        <v>46101</v>
      </c>
      <c r="AB271" s="45">
        <v>46117</v>
      </c>
      <c r="AC271" s="45"/>
      <c r="AD271" s="46" t="e">
        <f>IF(ISNA(VLOOKUP(D271,#REF!,5,0)),0,VLOOKUP(D271,#REF!,5,0))</f>
        <v>#REF!</v>
      </c>
      <c r="AE271" s="46" t="e">
        <f t="shared" si="28"/>
        <v>#REF!</v>
      </c>
      <c r="AF271" s="45">
        <v>46127</v>
      </c>
      <c r="AG271" s="33">
        <f t="shared" si="38"/>
        <v>26</v>
      </c>
      <c r="AH271" s="45">
        <v>46156</v>
      </c>
      <c r="AI271" s="39"/>
      <c r="AJ271" s="56">
        <f t="shared" si="39"/>
        <v>29</v>
      </c>
      <c r="AK271" s="39"/>
      <c r="AL271" s="35"/>
      <c r="AM271" s="34"/>
      <c r="AN271" s="34"/>
      <c r="AO271" s="39"/>
      <c r="AP271" s="47"/>
      <c r="AQ271" s="47"/>
      <c r="AR271" s="47"/>
      <c r="AS271" s="47"/>
    </row>
    <row r="272" spans="1:45" ht="12" customHeight="1" x14ac:dyDescent="0.25">
      <c r="A272" s="33">
        <v>271</v>
      </c>
      <c r="B272" s="34"/>
      <c r="C272" s="34" t="s">
        <v>482</v>
      </c>
      <c r="D272" s="35" t="s">
        <v>501</v>
      </c>
      <c r="E272" s="34" t="s">
        <v>58</v>
      </c>
      <c r="F272" s="34" t="s">
        <v>0</v>
      </c>
      <c r="G272" s="16" t="s">
        <v>53</v>
      </c>
      <c r="H272" s="34">
        <v>180</v>
      </c>
      <c r="I272" s="34" t="s">
        <v>62</v>
      </c>
      <c r="J272" s="34" t="s">
        <v>3</v>
      </c>
      <c r="K272" s="35" t="s">
        <v>5</v>
      </c>
      <c r="L272" s="36" t="e">
        <f>VLOOKUP(G272,#REF!,4,0)</f>
        <v>#REF!</v>
      </c>
      <c r="M272" s="37" t="e">
        <f>_xlfn.IFNA(VLOOKUP(G272,#REF!,2,0),"")</f>
        <v>#REF!</v>
      </c>
      <c r="N272" s="38" t="e">
        <f>_xlfn.IFNA(VLOOKUP(G272,#REF!,3,0),"")</f>
        <v>#REF!</v>
      </c>
      <c r="O272" s="39">
        <v>15</v>
      </c>
      <c r="P272" s="67">
        <v>214.24242424242422</v>
      </c>
      <c r="Q272" s="39" t="s">
        <v>10</v>
      </c>
      <c r="R272" s="34">
        <v>3.6</v>
      </c>
      <c r="S272" s="48">
        <f>SUMIF(C:C,C271,T:T)</f>
        <v>200</v>
      </c>
      <c r="T272" s="40">
        <v>15.228426395939087</v>
      </c>
      <c r="U272" s="41">
        <f t="shared" si="32"/>
        <v>786.50115366866635</v>
      </c>
      <c r="V272" s="42">
        <f t="shared" si="37"/>
        <v>4.3694508537148131</v>
      </c>
      <c r="W272" s="43">
        <f t="shared" si="33"/>
        <v>0.65215684383803174</v>
      </c>
      <c r="X272" s="38"/>
      <c r="Y272" s="38"/>
      <c r="Z272" s="44" t="s">
        <v>96</v>
      </c>
      <c r="AA272" s="45">
        <v>46101</v>
      </c>
      <c r="AB272" s="45">
        <v>46122</v>
      </c>
      <c r="AC272" s="45"/>
      <c r="AD272" s="46" t="e">
        <f>IF(ISNA(VLOOKUP(D272,#REF!,5,0)),0,VLOOKUP(D272,#REF!,5,0))</f>
        <v>#REF!</v>
      </c>
      <c r="AE272" s="46" t="e">
        <f t="shared" si="28"/>
        <v>#REF!</v>
      </c>
      <c r="AF272" s="45">
        <v>46133</v>
      </c>
      <c r="AG272" s="33">
        <f t="shared" si="38"/>
        <v>32</v>
      </c>
      <c r="AH272" s="45">
        <v>46168</v>
      </c>
      <c r="AI272" s="39"/>
      <c r="AJ272" s="56">
        <f t="shared" si="39"/>
        <v>35</v>
      </c>
      <c r="AK272" s="39"/>
      <c r="AL272" s="35"/>
      <c r="AM272" s="34"/>
      <c r="AN272" s="34"/>
      <c r="AO272" s="39"/>
      <c r="AP272" s="47"/>
      <c r="AQ272" s="47"/>
      <c r="AR272" s="47"/>
      <c r="AS272" s="47"/>
    </row>
    <row r="273" spans="1:45" ht="12" customHeight="1" x14ac:dyDescent="0.25">
      <c r="A273" s="33">
        <v>272</v>
      </c>
      <c r="B273" s="34"/>
      <c r="C273" s="34" t="s">
        <v>482</v>
      </c>
      <c r="D273" s="35" t="s">
        <v>501</v>
      </c>
      <c r="E273" s="34" t="s">
        <v>58</v>
      </c>
      <c r="F273" s="34" t="s">
        <v>0</v>
      </c>
      <c r="G273" s="16" t="s">
        <v>57</v>
      </c>
      <c r="H273" s="34">
        <v>960</v>
      </c>
      <c r="I273" s="34" t="s">
        <v>62</v>
      </c>
      <c r="J273" s="34" t="s">
        <v>3</v>
      </c>
      <c r="K273" s="35" t="s">
        <v>5</v>
      </c>
      <c r="L273" s="36" t="e">
        <f>VLOOKUP(G273,#REF!,4,0)</f>
        <v>#REF!</v>
      </c>
      <c r="M273" s="37" t="e">
        <f>_xlfn.IFNA(VLOOKUP(G273,#REF!,2,0),"")</f>
        <v>#REF!</v>
      </c>
      <c r="N273" s="38" t="e">
        <f>_xlfn.IFNA(VLOOKUP(G273,#REF!,3,0),"")</f>
        <v>#REF!</v>
      </c>
      <c r="O273" s="39">
        <v>80</v>
      </c>
      <c r="P273" s="67">
        <v>1142.6262626262626</v>
      </c>
      <c r="Q273" s="39" t="s">
        <v>10</v>
      </c>
      <c r="R273" s="34">
        <v>3.6</v>
      </c>
      <c r="S273" s="38">
        <v>200</v>
      </c>
      <c r="T273" s="40">
        <v>81.218274111675129</v>
      </c>
      <c r="U273" s="41">
        <f t="shared" si="32"/>
        <v>4194.6728195662199</v>
      </c>
      <c r="V273" s="42">
        <f t="shared" si="37"/>
        <v>4.3694508537148122</v>
      </c>
      <c r="W273" s="43">
        <f t="shared" si="33"/>
        <v>0.65215684383803163</v>
      </c>
      <c r="X273" s="38"/>
      <c r="Y273" s="38"/>
      <c r="Z273" s="44" t="s">
        <v>96</v>
      </c>
      <c r="AA273" s="45">
        <v>46101</v>
      </c>
      <c r="AB273" s="45">
        <v>46122</v>
      </c>
      <c r="AC273" s="45"/>
      <c r="AD273" s="46" t="e">
        <f>IF(ISNA(VLOOKUP(D273,#REF!,5,0)),0,VLOOKUP(D273,#REF!,5,0))</f>
        <v>#REF!</v>
      </c>
      <c r="AE273" s="46" t="e">
        <f t="shared" ref="AE273:AE336" si="40">AD273*H273</f>
        <v>#REF!</v>
      </c>
      <c r="AF273" s="45">
        <v>46133</v>
      </c>
      <c r="AG273" s="33">
        <f t="shared" si="38"/>
        <v>32</v>
      </c>
      <c r="AH273" s="45">
        <v>46168</v>
      </c>
      <c r="AI273" s="39"/>
      <c r="AJ273" s="56">
        <f t="shared" si="39"/>
        <v>35</v>
      </c>
      <c r="AK273" s="39"/>
      <c r="AL273" s="35"/>
      <c r="AM273" s="34"/>
      <c r="AN273" s="34"/>
      <c r="AO273" s="39"/>
      <c r="AP273" s="47"/>
      <c r="AQ273" s="47"/>
      <c r="AR273" s="47"/>
      <c r="AS273" s="47"/>
    </row>
    <row r="274" spans="1:45" ht="12" customHeight="1" x14ac:dyDescent="0.25">
      <c r="A274" s="33">
        <v>273</v>
      </c>
      <c r="B274" s="34"/>
      <c r="C274" s="34" t="s">
        <v>482</v>
      </c>
      <c r="D274" s="35" t="s">
        <v>501</v>
      </c>
      <c r="E274" s="34" t="s">
        <v>58</v>
      </c>
      <c r="F274" s="34" t="s">
        <v>0</v>
      </c>
      <c r="G274" s="16" t="s">
        <v>239</v>
      </c>
      <c r="H274" s="34">
        <v>128</v>
      </c>
      <c r="I274" s="34" t="s">
        <v>62</v>
      </c>
      <c r="J274" s="34" t="s">
        <v>3</v>
      </c>
      <c r="K274" s="35" t="s">
        <v>5</v>
      </c>
      <c r="L274" s="36" t="e">
        <f>VLOOKUP(G274,#REF!,4,0)</f>
        <v>#REF!</v>
      </c>
      <c r="M274" s="37" t="e">
        <f>_xlfn.IFNA(VLOOKUP(G274,#REF!,2,0),"")</f>
        <v>#REF!</v>
      </c>
      <c r="N274" s="38" t="e">
        <f>_xlfn.IFNA(VLOOKUP(G274,#REF!,3,0),"")</f>
        <v>#REF!</v>
      </c>
      <c r="O274" s="39">
        <v>4</v>
      </c>
      <c r="P274" s="67">
        <v>57.131313131313128</v>
      </c>
      <c r="Q274" s="39" t="s">
        <v>10</v>
      </c>
      <c r="R274" s="34">
        <v>3.6</v>
      </c>
      <c r="S274" s="48">
        <f>SUMIF(C:C,C273,T:T)</f>
        <v>199.99999999999997</v>
      </c>
      <c r="T274" s="40">
        <v>4.0609137055837561</v>
      </c>
      <c r="U274" s="41">
        <f t="shared" si="32"/>
        <v>209.733640978311</v>
      </c>
      <c r="V274" s="42">
        <f t="shared" si="37"/>
        <v>1.6385440701430547</v>
      </c>
      <c r="W274" s="43">
        <f t="shared" si="33"/>
        <v>0.24455881643926189</v>
      </c>
      <c r="X274" s="38"/>
      <c r="Y274" s="38"/>
      <c r="Z274" s="44" t="s">
        <v>96</v>
      </c>
      <c r="AA274" s="45">
        <v>46101</v>
      </c>
      <c r="AB274" s="45">
        <v>46122</v>
      </c>
      <c r="AC274" s="45"/>
      <c r="AD274" s="46" t="e">
        <f>IF(ISNA(VLOOKUP(D274,#REF!,5,0)),0,VLOOKUP(D274,#REF!,5,0))</f>
        <v>#REF!</v>
      </c>
      <c r="AE274" s="46" t="e">
        <f t="shared" si="40"/>
        <v>#REF!</v>
      </c>
      <c r="AF274" s="45">
        <v>46133</v>
      </c>
      <c r="AG274" s="33">
        <f t="shared" si="38"/>
        <v>32</v>
      </c>
      <c r="AH274" s="45">
        <v>46168</v>
      </c>
      <c r="AI274" s="39"/>
      <c r="AJ274" s="56">
        <f t="shared" si="39"/>
        <v>35</v>
      </c>
      <c r="AK274" s="39"/>
      <c r="AL274" s="35"/>
      <c r="AM274" s="34"/>
      <c r="AN274" s="34"/>
      <c r="AO274" s="39"/>
      <c r="AP274" s="47"/>
      <c r="AQ274" s="47"/>
      <c r="AR274" s="47"/>
      <c r="AS274" s="47"/>
    </row>
    <row r="275" spans="1:45" ht="12" customHeight="1" x14ac:dyDescent="0.25">
      <c r="A275" s="33">
        <v>274</v>
      </c>
      <c r="B275" s="34"/>
      <c r="C275" s="34" t="s">
        <v>502</v>
      </c>
      <c r="D275" s="35" t="s">
        <v>503</v>
      </c>
      <c r="E275" s="34" t="s">
        <v>61</v>
      </c>
      <c r="F275" s="34" t="s">
        <v>0</v>
      </c>
      <c r="G275" s="16" t="s">
        <v>293</v>
      </c>
      <c r="H275" s="34">
        <v>192</v>
      </c>
      <c r="I275" s="34" t="s">
        <v>218</v>
      </c>
      <c r="J275" s="34" t="s">
        <v>3</v>
      </c>
      <c r="K275" s="35" t="s">
        <v>19</v>
      </c>
      <c r="L275" s="36" t="e">
        <f>VLOOKUP(G275,#REF!,4,0)</f>
        <v>#REF!</v>
      </c>
      <c r="M275" s="37" t="e">
        <f>_xlfn.IFNA(VLOOKUP(G275,#REF!,2,0),"")</f>
        <v>#REF!</v>
      </c>
      <c r="N275" s="38" t="e">
        <f>_xlfn.IFNA(VLOOKUP(G275,#REF!,3,0),"")</f>
        <v>#REF!</v>
      </c>
      <c r="O275" s="39">
        <v>3</v>
      </c>
      <c r="P275" s="67">
        <v>0.125</v>
      </c>
      <c r="Q275" s="39" t="s">
        <v>420</v>
      </c>
      <c r="R275" s="34">
        <v>1030</v>
      </c>
      <c r="S275" s="38">
        <v>180</v>
      </c>
      <c r="T275" s="40">
        <v>20.76923076923077</v>
      </c>
      <c r="U275" s="41">
        <f t="shared" si="32"/>
        <v>149.51923076923077</v>
      </c>
      <c r="V275" s="42">
        <f t="shared" si="37"/>
        <v>0.77874599358974361</v>
      </c>
      <c r="W275" s="43">
        <f t="shared" si="33"/>
        <v>0.11623074531190203</v>
      </c>
      <c r="X275" s="38"/>
      <c r="Y275" s="38"/>
      <c r="Z275" s="44" t="s">
        <v>96</v>
      </c>
      <c r="AA275" s="45">
        <v>46101</v>
      </c>
      <c r="AB275" s="45">
        <v>46119</v>
      </c>
      <c r="AC275" s="45"/>
      <c r="AD275" s="46" t="e">
        <f>IF(ISNA(VLOOKUP(D275,#REF!,5,0)),0,VLOOKUP(D275,#REF!,5,0))</f>
        <v>#REF!</v>
      </c>
      <c r="AE275" s="46" t="e">
        <f t="shared" si="40"/>
        <v>#REF!</v>
      </c>
      <c r="AF275" s="45">
        <v>46128</v>
      </c>
      <c r="AG275" s="33">
        <f t="shared" si="38"/>
        <v>27</v>
      </c>
      <c r="AH275" s="45">
        <v>46158</v>
      </c>
      <c r="AI275" s="39"/>
      <c r="AJ275" s="56">
        <f t="shared" si="39"/>
        <v>30</v>
      </c>
      <c r="AK275" s="39"/>
      <c r="AL275" s="35"/>
      <c r="AM275" s="34"/>
      <c r="AN275" s="34"/>
      <c r="AO275" s="39"/>
      <c r="AP275" s="47"/>
      <c r="AQ275" s="47"/>
      <c r="AR275" s="47"/>
      <c r="AS275" s="47"/>
    </row>
    <row r="276" spans="1:45" ht="12" customHeight="1" x14ac:dyDescent="0.25">
      <c r="A276" s="33">
        <v>275</v>
      </c>
      <c r="B276" s="34"/>
      <c r="C276" s="34" t="s">
        <v>502</v>
      </c>
      <c r="D276" s="35" t="s">
        <v>503</v>
      </c>
      <c r="E276" s="34" t="s">
        <v>61</v>
      </c>
      <c r="F276" s="34" t="s">
        <v>0</v>
      </c>
      <c r="G276" s="16" t="s">
        <v>225</v>
      </c>
      <c r="H276" s="34">
        <v>640</v>
      </c>
      <c r="I276" s="34" t="s">
        <v>218</v>
      </c>
      <c r="J276" s="34" t="s">
        <v>3</v>
      </c>
      <c r="K276" s="35" t="s">
        <v>19</v>
      </c>
      <c r="L276" s="36" t="e">
        <f>VLOOKUP(G276,#REF!,4,0)</f>
        <v>#REF!</v>
      </c>
      <c r="M276" s="37" t="e">
        <f>_xlfn.IFNA(VLOOKUP(G276,#REF!,2,0),"")</f>
        <v>#REF!</v>
      </c>
      <c r="N276" s="38" t="e">
        <f>_xlfn.IFNA(VLOOKUP(G276,#REF!,3,0),"")</f>
        <v>#REF!</v>
      </c>
      <c r="O276" s="39">
        <v>10</v>
      </c>
      <c r="P276" s="67">
        <v>0.41666666666666663</v>
      </c>
      <c r="Q276" s="39" t="s">
        <v>420</v>
      </c>
      <c r="R276" s="34">
        <v>1030</v>
      </c>
      <c r="S276" s="48">
        <f>SUMIF(C:C,C275,T:T)</f>
        <v>180</v>
      </c>
      <c r="T276" s="40">
        <v>69.230769230769226</v>
      </c>
      <c r="U276" s="41">
        <f t="shared" si="32"/>
        <v>498.39743589743586</v>
      </c>
      <c r="V276" s="42">
        <f t="shared" si="37"/>
        <v>0.7787459935897435</v>
      </c>
      <c r="W276" s="43">
        <f t="shared" si="33"/>
        <v>0.11623074531190201</v>
      </c>
      <c r="X276" s="38"/>
      <c r="Y276" s="38"/>
      <c r="Z276" s="44" t="s">
        <v>96</v>
      </c>
      <c r="AA276" s="45">
        <v>46101</v>
      </c>
      <c r="AB276" s="45">
        <v>46119</v>
      </c>
      <c r="AC276" s="45"/>
      <c r="AD276" s="46" t="e">
        <f>IF(ISNA(VLOOKUP(D276,#REF!,5,0)),0,VLOOKUP(D276,#REF!,5,0))</f>
        <v>#REF!</v>
      </c>
      <c r="AE276" s="46" t="e">
        <f t="shared" si="40"/>
        <v>#REF!</v>
      </c>
      <c r="AF276" s="45">
        <v>46128</v>
      </c>
      <c r="AG276" s="33">
        <f t="shared" si="38"/>
        <v>27</v>
      </c>
      <c r="AH276" s="45">
        <v>46158</v>
      </c>
      <c r="AI276" s="39"/>
      <c r="AJ276" s="56">
        <f t="shared" si="39"/>
        <v>30</v>
      </c>
      <c r="AK276" s="39"/>
      <c r="AL276" s="35"/>
      <c r="AM276" s="34"/>
      <c r="AN276" s="34"/>
      <c r="AO276" s="39"/>
      <c r="AP276" s="47"/>
      <c r="AQ276" s="47"/>
      <c r="AR276" s="47"/>
      <c r="AS276" s="47"/>
    </row>
    <row r="277" spans="1:45" ht="12" customHeight="1" x14ac:dyDescent="0.25">
      <c r="A277" s="33">
        <v>276</v>
      </c>
      <c r="B277" s="34"/>
      <c r="C277" s="34" t="s">
        <v>502</v>
      </c>
      <c r="D277" s="35" t="s">
        <v>503</v>
      </c>
      <c r="E277" s="34" t="s">
        <v>61</v>
      </c>
      <c r="F277" s="34" t="s">
        <v>0</v>
      </c>
      <c r="G277" s="16" t="s">
        <v>253</v>
      </c>
      <c r="H277" s="34">
        <v>192</v>
      </c>
      <c r="I277" s="34" t="s">
        <v>218</v>
      </c>
      <c r="J277" s="34" t="s">
        <v>3</v>
      </c>
      <c r="K277" s="35" t="s">
        <v>19</v>
      </c>
      <c r="L277" s="36" t="e">
        <f>VLOOKUP(G277,#REF!,4,0)</f>
        <v>#REF!</v>
      </c>
      <c r="M277" s="37" t="e">
        <f>_xlfn.IFNA(VLOOKUP(G277,#REF!,2,0),"")</f>
        <v>#REF!</v>
      </c>
      <c r="N277" s="38" t="e">
        <f>_xlfn.IFNA(VLOOKUP(G277,#REF!,3,0),"")</f>
        <v>#REF!</v>
      </c>
      <c r="O277" s="39">
        <v>3</v>
      </c>
      <c r="P277" s="67">
        <v>0.125</v>
      </c>
      <c r="Q277" s="39" t="s">
        <v>420</v>
      </c>
      <c r="R277" s="34">
        <v>1030</v>
      </c>
      <c r="S277" s="38"/>
      <c r="T277" s="40">
        <v>20.76923076923077</v>
      </c>
      <c r="U277" s="41">
        <f t="shared" si="32"/>
        <v>149.51923076923077</v>
      </c>
      <c r="V277" s="42">
        <f t="shared" si="37"/>
        <v>0.77874599358974361</v>
      </c>
      <c r="W277" s="43">
        <f t="shared" si="33"/>
        <v>0.11623074531190203</v>
      </c>
      <c r="X277" s="38"/>
      <c r="Y277" s="38"/>
      <c r="Z277" s="44" t="s">
        <v>96</v>
      </c>
      <c r="AA277" s="45">
        <v>46101</v>
      </c>
      <c r="AB277" s="45">
        <v>46119</v>
      </c>
      <c r="AC277" s="45"/>
      <c r="AD277" s="46" t="e">
        <f>IF(ISNA(VLOOKUP(D277,#REF!,5,0)),0,VLOOKUP(D277,#REF!,5,0))</f>
        <v>#REF!</v>
      </c>
      <c r="AE277" s="46" t="e">
        <f t="shared" si="40"/>
        <v>#REF!</v>
      </c>
      <c r="AF277" s="45">
        <v>46128</v>
      </c>
      <c r="AG277" s="33">
        <f t="shared" si="38"/>
        <v>27</v>
      </c>
      <c r="AH277" s="45">
        <v>46158</v>
      </c>
      <c r="AI277" s="39"/>
      <c r="AJ277" s="56">
        <f t="shared" si="39"/>
        <v>30</v>
      </c>
      <c r="AK277" s="39"/>
      <c r="AL277" s="35"/>
      <c r="AM277" s="34"/>
      <c r="AN277" s="34"/>
      <c r="AO277" s="39"/>
      <c r="AP277" s="47"/>
      <c r="AQ277" s="47"/>
      <c r="AR277" s="47"/>
      <c r="AS277" s="47"/>
    </row>
    <row r="278" spans="1:45" ht="12" customHeight="1" x14ac:dyDescent="0.25">
      <c r="A278" s="33">
        <v>277</v>
      </c>
      <c r="B278" s="34"/>
      <c r="C278" s="34" t="s">
        <v>502</v>
      </c>
      <c r="D278" s="35" t="s">
        <v>503</v>
      </c>
      <c r="E278" s="34" t="s">
        <v>61</v>
      </c>
      <c r="F278" s="34" t="s">
        <v>0</v>
      </c>
      <c r="G278" s="16" t="s">
        <v>254</v>
      </c>
      <c r="H278" s="34">
        <v>64</v>
      </c>
      <c r="I278" s="34" t="s">
        <v>218</v>
      </c>
      <c r="J278" s="34" t="s">
        <v>3</v>
      </c>
      <c r="K278" s="35" t="s">
        <v>19</v>
      </c>
      <c r="L278" s="36" t="e">
        <f>VLOOKUP(G278,#REF!,4,0)</f>
        <v>#REF!</v>
      </c>
      <c r="M278" s="37" t="e">
        <f>_xlfn.IFNA(VLOOKUP(G278,#REF!,2,0),"")</f>
        <v>#REF!</v>
      </c>
      <c r="N278" s="38" t="e">
        <f>_xlfn.IFNA(VLOOKUP(G278,#REF!,3,0),"")</f>
        <v>#REF!</v>
      </c>
      <c r="O278" s="39">
        <v>1</v>
      </c>
      <c r="P278" s="67">
        <v>4.1666666666666664E-2</v>
      </c>
      <c r="Q278" s="39" t="s">
        <v>420</v>
      </c>
      <c r="R278" s="34">
        <v>1030</v>
      </c>
      <c r="S278" s="38"/>
      <c r="T278" s="40">
        <v>6.9230769230769234</v>
      </c>
      <c r="U278" s="41">
        <f t="shared" si="32"/>
        <v>49.839743589743591</v>
      </c>
      <c r="V278" s="42">
        <f t="shared" si="37"/>
        <v>0.77874599358974361</v>
      </c>
      <c r="W278" s="43">
        <f t="shared" si="33"/>
        <v>0.11623074531190203</v>
      </c>
      <c r="X278" s="38"/>
      <c r="Y278" s="38"/>
      <c r="Z278" s="44" t="s">
        <v>96</v>
      </c>
      <c r="AA278" s="45">
        <v>46101</v>
      </c>
      <c r="AB278" s="45">
        <v>46119</v>
      </c>
      <c r="AC278" s="45"/>
      <c r="AD278" s="46" t="e">
        <f>IF(ISNA(VLOOKUP(D278,#REF!,5,0)),0,VLOOKUP(D278,#REF!,5,0))</f>
        <v>#REF!</v>
      </c>
      <c r="AE278" s="46" t="e">
        <f t="shared" si="40"/>
        <v>#REF!</v>
      </c>
      <c r="AF278" s="45">
        <v>46128</v>
      </c>
      <c r="AG278" s="33">
        <f t="shared" si="38"/>
        <v>27</v>
      </c>
      <c r="AH278" s="45">
        <v>46158</v>
      </c>
      <c r="AI278" s="39"/>
      <c r="AJ278" s="56">
        <f t="shared" si="39"/>
        <v>30</v>
      </c>
      <c r="AK278" s="39"/>
      <c r="AL278" s="35"/>
      <c r="AM278" s="34"/>
      <c r="AN278" s="34"/>
      <c r="AO278" s="39"/>
      <c r="AP278" s="47"/>
      <c r="AQ278" s="47"/>
      <c r="AR278" s="47"/>
      <c r="AS278" s="47"/>
    </row>
    <row r="279" spans="1:45" ht="12" customHeight="1" x14ac:dyDescent="0.25">
      <c r="A279" s="33">
        <v>278</v>
      </c>
      <c r="B279" s="34"/>
      <c r="C279" s="34" t="s">
        <v>502</v>
      </c>
      <c r="D279" s="35" t="s">
        <v>503</v>
      </c>
      <c r="E279" s="34" t="s">
        <v>61</v>
      </c>
      <c r="F279" s="34" t="s">
        <v>0</v>
      </c>
      <c r="G279" s="16" t="s">
        <v>227</v>
      </c>
      <c r="H279" s="34">
        <v>256</v>
      </c>
      <c r="I279" s="34" t="s">
        <v>218</v>
      </c>
      <c r="J279" s="34" t="s">
        <v>3</v>
      </c>
      <c r="K279" s="35" t="s">
        <v>19</v>
      </c>
      <c r="L279" s="36" t="e">
        <f>VLOOKUP(G279,#REF!,4,0)</f>
        <v>#REF!</v>
      </c>
      <c r="M279" s="37" t="e">
        <f>_xlfn.IFNA(VLOOKUP(G279,#REF!,2,0),"")</f>
        <v>#REF!</v>
      </c>
      <c r="N279" s="38" t="e">
        <f>_xlfn.IFNA(VLOOKUP(G279,#REF!,3,0),"")</f>
        <v>#REF!</v>
      </c>
      <c r="O279" s="39">
        <v>4</v>
      </c>
      <c r="P279" s="67">
        <v>0.16666666666666666</v>
      </c>
      <c r="Q279" s="39" t="s">
        <v>420</v>
      </c>
      <c r="R279" s="34">
        <v>1030</v>
      </c>
      <c r="S279" s="38"/>
      <c r="T279" s="40">
        <v>27.692307692307693</v>
      </c>
      <c r="U279" s="41">
        <f t="shared" si="32"/>
        <v>199.35897435897436</v>
      </c>
      <c r="V279" s="42">
        <f t="shared" si="37"/>
        <v>0.77874599358974361</v>
      </c>
      <c r="W279" s="43">
        <f t="shared" si="33"/>
        <v>0.11623074531190203</v>
      </c>
      <c r="X279" s="38"/>
      <c r="Y279" s="38"/>
      <c r="Z279" s="44" t="s">
        <v>96</v>
      </c>
      <c r="AA279" s="45">
        <v>46101</v>
      </c>
      <c r="AB279" s="45">
        <v>46119</v>
      </c>
      <c r="AC279" s="45"/>
      <c r="AD279" s="46" t="e">
        <f>IF(ISNA(VLOOKUP(D279,#REF!,5,0)),0,VLOOKUP(D279,#REF!,5,0))</f>
        <v>#REF!</v>
      </c>
      <c r="AE279" s="46" t="e">
        <f t="shared" si="40"/>
        <v>#REF!</v>
      </c>
      <c r="AF279" s="45">
        <v>46128</v>
      </c>
      <c r="AG279" s="33">
        <f t="shared" si="38"/>
        <v>27</v>
      </c>
      <c r="AH279" s="45">
        <v>46158</v>
      </c>
      <c r="AI279" s="39"/>
      <c r="AJ279" s="56">
        <f t="shared" si="39"/>
        <v>30</v>
      </c>
      <c r="AK279" s="39"/>
      <c r="AL279" s="35"/>
      <c r="AM279" s="34"/>
      <c r="AN279" s="34"/>
      <c r="AO279" s="39"/>
      <c r="AP279" s="47"/>
      <c r="AQ279" s="47"/>
      <c r="AR279" s="47"/>
      <c r="AS279" s="47"/>
    </row>
    <row r="280" spans="1:45" ht="12" customHeight="1" x14ac:dyDescent="0.25">
      <c r="A280" s="33">
        <v>279</v>
      </c>
      <c r="B280" s="34"/>
      <c r="C280" s="34" t="s">
        <v>502</v>
      </c>
      <c r="D280" s="35" t="s">
        <v>503</v>
      </c>
      <c r="E280" s="34" t="s">
        <v>61</v>
      </c>
      <c r="F280" s="34" t="s">
        <v>0</v>
      </c>
      <c r="G280" s="16" t="s">
        <v>226</v>
      </c>
      <c r="H280" s="34">
        <v>192</v>
      </c>
      <c r="I280" s="34" t="s">
        <v>218</v>
      </c>
      <c r="J280" s="34" t="s">
        <v>3</v>
      </c>
      <c r="K280" s="35" t="s">
        <v>19</v>
      </c>
      <c r="L280" s="36" t="e">
        <f>VLOOKUP(G280,#REF!,4,0)</f>
        <v>#REF!</v>
      </c>
      <c r="M280" s="37" t="e">
        <f>_xlfn.IFNA(VLOOKUP(G280,#REF!,2,0),"")</f>
        <v>#REF!</v>
      </c>
      <c r="N280" s="38" t="e">
        <f>_xlfn.IFNA(VLOOKUP(G280,#REF!,3,0),"")</f>
        <v>#REF!</v>
      </c>
      <c r="O280" s="39">
        <v>3</v>
      </c>
      <c r="P280" s="67">
        <v>0.125</v>
      </c>
      <c r="Q280" s="39" t="s">
        <v>420</v>
      </c>
      <c r="R280" s="34">
        <v>1030</v>
      </c>
      <c r="S280" s="38"/>
      <c r="T280" s="40">
        <v>20.76923076923077</v>
      </c>
      <c r="U280" s="41">
        <f t="shared" si="32"/>
        <v>149.51923076923077</v>
      </c>
      <c r="V280" s="42">
        <f t="shared" si="37"/>
        <v>0.77874599358974361</v>
      </c>
      <c r="W280" s="43">
        <f t="shared" si="33"/>
        <v>0.11623074531190203</v>
      </c>
      <c r="X280" s="38"/>
      <c r="Y280" s="38"/>
      <c r="Z280" s="44" t="s">
        <v>96</v>
      </c>
      <c r="AA280" s="45">
        <v>46101</v>
      </c>
      <c r="AB280" s="45">
        <v>46119</v>
      </c>
      <c r="AC280" s="45"/>
      <c r="AD280" s="46" t="e">
        <f>IF(ISNA(VLOOKUP(D280,#REF!,5,0)),0,VLOOKUP(D280,#REF!,5,0))</f>
        <v>#REF!</v>
      </c>
      <c r="AE280" s="46" t="e">
        <f t="shared" si="40"/>
        <v>#REF!</v>
      </c>
      <c r="AF280" s="45">
        <v>46128</v>
      </c>
      <c r="AG280" s="33">
        <f t="shared" si="38"/>
        <v>27</v>
      </c>
      <c r="AH280" s="45">
        <v>46158</v>
      </c>
      <c r="AI280" s="39"/>
      <c r="AJ280" s="56">
        <f t="shared" si="39"/>
        <v>30</v>
      </c>
      <c r="AK280" s="39"/>
      <c r="AL280" s="35"/>
      <c r="AM280" s="34"/>
      <c r="AN280" s="34"/>
      <c r="AO280" s="39"/>
      <c r="AP280" s="47"/>
      <c r="AQ280" s="47"/>
      <c r="AR280" s="47"/>
      <c r="AS280" s="47"/>
    </row>
    <row r="281" spans="1:45" ht="12" customHeight="1" x14ac:dyDescent="0.25">
      <c r="A281" s="33">
        <v>280</v>
      </c>
      <c r="B281" s="34" t="s">
        <v>511</v>
      </c>
      <c r="C281" s="34" t="s">
        <v>502</v>
      </c>
      <c r="D281" s="35" t="s">
        <v>504</v>
      </c>
      <c r="E281" s="34" t="s">
        <v>470</v>
      </c>
      <c r="F281" s="34" t="s">
        <v>0</v>
      </c>
      <c r="G281" s="16" t="s">
        <v>505</v>
      </c>
      <c r="H281" s="34">
        <v>128</v>
      </c>
      <c r="I281" s="34" t="s">
        <v>218</v>
      </c>
      <c r="J281" s="34" t="s">
        <v>3</v>
      </c>
      <c r="K281" s="35" t="s">
        <v>9</v>
      </c>
      <c r="L281" s="36" t="e">
        <f>VLOOKUP(G281,#REF!,4,0)</f>
        <v>#REF!</v>
      </c>
      <c r="M281" s="37" t="e">
        <f>_xlfn.IFNA(VLOOKUP(G281,#REF!,2,0),"")</f>
        <v>#REF!</v>
      </c>
      <c r="N281" s="38" t="e">
        <f>_xlfn.IFNA(VLOOKUP(G281,#REF!,3,0),"")</f>
        <v>#REF!</v>
      </c>
      <c r="O281" s="39">
        <v>2</v>
      </c>
      <c r="P281" s="67">
        <v>30</v>
      </c>
      <c r="Q281" s="39" t="s">
        <v>10</v>
      </c>
      <c r="R281" s="34">
        <v>6.6</v>
      </c>
      <c r="S281" s="38"/>
      <c r="T281" s="40">
        <v>13.846153846153847</v>
      </c>
      <c r="U281" s="41">
        <f t="shared" si="32"/>
        <v>211.84615384615384</v>
      </c>
      <c r="V281" s="42">
        <f t="shared" si="37"/>
        <v>1.6550480769230769</v>
      </c>
      <c r="W281" s="43">
        <f t="shared" si="33"/>
        <v>0.24702210103329506</v>
      </c>
      <c r="X281" s="38"/>
      <c r="Y281" s="38"/>
      <c r="Z281" s="44" t="s">
        <v>96</v>
      </c>
      <c r="AA281" s="45">
        <v>46101</v>
      </c>
      <c r="AB281" s="45">
        <v>46119</v>
      </c>
      <c r="AC281" s="45"/>
      <c r="AD281" s="46" t="e">
        <f>IF(ISNA(VLOOKUP(D281,#REF!,5,0)),0,VLOOKUP(D281,#REF!,5,0))</f>
        <v>#REF!</v>
      </c>
      <c r="AE281" s="46" t="e">
        <f t="shared" si="40"/>
        <v>#REF!</v>
      </c>
      <c r="AF281" s="45">
        <v>46131</v>
      </c>
      <c r="AG281" s="33">
        <f t="shared" si="38"/>
        <v>30</v>
      </c>
      <c r="AH281" s="45">
        <v>46157</v>
      </c>
      <c r="AI281" s="39"/>
      <c r="AJ281" s="56">
        <f t="shared" si="39"/>
        <v>26</v>
      </c>
      <c r="AK281" s="39"/>
      <c r="AL281" s="35"/>
      <c r="AM281" s="34"/>
      <c r="AN281" s="34"/>
      <c r="AO281" s="39"/>
      <c r="AP281" s="47"/>
      <c r="AQ281" s="47"/>
      <c r="AR281" s="47"/>
      <c r="AS281" s="47"/>
    </row>
    <row r="282" spans="1:45" ht="12" customHeight="1" x14ac:dyDescent="0.25">
      <c r="A282" s="33">
        <v>281</v>
      </c>
      <c r="B282" s="34"/>
      <c r="C282" s="34" t="s">
        <v>482</v>
      </c>
      <c r="D282" s="35" t="s">
        <v>506</v>
      </c>
      <c r="E282" s="34" t="s">
        <v>61</v>
      </c>
      <c r="F282" s="34" t="s">
        <v>0</v>
      </c>
      <c r="G282" s="16" t="s">
        <v>120</v>
      </c>
      <c r="H282" s="34">
        <v>252</v>
      </c>
      <c r="I282" s="34" t="s">
        <v>62</v>
      </c>
      <c r="J282" s="34" t="s">
        <v>3</v>
      </c>
      <c r="K282" s="35" t="s">
        <v>17</v>
      </c>
      <c r="L282" s="36" t="e">
        <f>VLOOKUP(G282,#REF!,4,0)</f>
        <v>#REF!</v>
      </c>
      <c r="M282" s="37" t="e">
        <f>_xlfn.IFNA(VLOOKUP(G282,#REF!,2,0),"")</f>
        <v>#REF!</v>
      </c>
      <c r="N282" s="38" t="e">
        <f>_xlfn.IFNA(VLOOKUP(G282,#REF!,3,0),"")</f>
        <v>#REF!</v>
      </c>
      <c r="O282" s="39">
        <v>7</v>
      </c>
      <c r="P282" s="67">
        <v>154</v>
      </c>
      <c r="Q282" s="39" t="s">
        <v>10</v>
      </c>
      <c r="R282" s="34">
        <v>2.8</v>
      </c>
      <c r="S282" s="48">
        <v>200</v>
      </c>
      <c r="T282" s="40">
        <v>7.1065989847715736</v>
      </c>
      <c r="U282" s="41">
        <f t="shared" si="32"/>
        <v>438.30659898477154</v>
      </c>
      <c r="V282" s="42">
        <f t="shared" si="37"/>
        <v>1.7393119007332205</v>
      </c>
      <c r="W282" s="43">
        <f t="shared" si="33"/>
        <v>0.25959879115421203</v>
      </c>
      <c r="X282" s="38"/>
      <c r="Y282" s="38"/>
      <c r="Z282" s="44" t="s">
        <v>96</v>
      </c>
      <c r="AA282" s="45">
        <v>46101</v>
      </c>
      <c r="AB282" s="45">
        <v>46122</v>
      </c>
      <c r="AC282" s="45"/>
      <c r="AD282" s="46" t="e">
        <f>IF(ISNA(VLOOKUP(D282,#REF!,5,0)),0,VLOOKUP(D282,#REF!,5,0))</f>
        <v>#REF!</v>
      </c>
      <c r="AE282" s="46" t="e">
        <f t="shared" si="40"/>
        <v>#REF!</v>
      </c>
      <c r="AF282" s="45">
        <v>46131</v>
      </c>
      <c r="AG282" s="33">
        <f t="shared" si="38"/>
        <v>30</v>
      </c>
      <c r="AH282" s="45">
        <v>46159</v>
      </c>
      <c r="AI282" s="39"/>
      <c r="AJ282" s="56">
        <f t="shared" si="39"/>
        <v>28</v>
      </c>
      <c r="AK282" s="39"/>
      <c r="AL282" s="35"/>
      <c r="AM282" s="34"/>
      <c r="AN282" s="34"/>
      <c r="AO282" s="39"/>
      <c r="AP282" s="47"/>
      <c r="AQ282" s="47"/>
      <c r="AR282" s="47"/>
      <c r="AS282" s="47"/>
    </row>
    <row r="283" spans="1:45" ht="12" customHeight="1" x14ac:dyDescent="0.25">
      <c r="A283" s="33">
        <v>282</v>
      </c>
      <c r="B283" s="34"/>
      <c r="C283" s="34" t="s">
        <v>512</v>
      </c>
      <c r="D283" s="35" t="s">
        <v>513</v>
      </c>
      <c r="E283" s="34" t="s">
        <v>58</v>
      </c>
      <c r="F283" s="34" t="s">
        <v>0</v>
      </c>
      <c r="G283" s="16" t="s">
        <v>514</v>
      </c>
      <c r="H283" s="34">
        <v>1200</v>
      </c>
      <c r="I283" s="34" t="s">
        <v>66</v>
      </c>
      <c r="J283" s="34" t="s">
        <v>2</v>
      </c>
      <c r="K283" s="35" t="s">
        <v>4</v>
      </c>
      <c r="L283" s="36" t="e">
        <f>VLOOKUP(G283,#REF!,4,0)</f>
        <v>#REF!</v>
      </c>
      <c r="M283" s="37" t="e">
        <f>_xlfn.IFNA(VLOOKUP(G283,#REF!,2,0),"")</f>
        <v>#REF!</v>
      </c>
      <c r="N283" s="38" t="e">
        <f>_xlfn.IFNA(VLOOKUP(G283,#REF!,3,0),"")</f>
        <v>#REF!</v>
      </c>
      <c r="O283" s="39">
        <v>40</v>
      </c>
      <c r="P283" s="79">
        <v>648</v>
      </c>
      <c r="Q283" s="39" t="s">
        <v>10</v>
      </c>
      <c r="R283" s="34">
        <v>9.4</v>
      </c>
      <c r="S283" s="38">
        <v>200</v>
      </c>
      <c r="T283" s="40">
        <v>200</v>
      </c>
      <c r="U283" s="41">
        <f t="shared" ref="U283:U339" si="41">R283*P283+T283</f>
        <v>6291.2</v>
      </c>
      <c r="V283" s="42">
        <f t="shared" si="37"/>
        <v>5.2426666666666666</v>
      </c>
      <c r="W283" s="43">
        <f t="shared" ref="W283:W339" si="42">V283/6.7</f>
        <v>0.78248756218905469</v>
      </c>
      <c r="X283" s="38"/>
      <c r="Y283" s="38"/>
      <c r="Z283" s="44" t="s">
        <v>96</v>
      </c>
      <c r="AA283" s="45">
        <v>46109</v>
      </c>
      <c r="AB283" s="45">
        <v>46126</v>
      </c>
      <c r="AC283" s="45"/>
      <c r="AD283" s="46" t="e">
        <f>IF(ISNA(VLOOKUP(D283,#REF!,5,0)),0,VLOOKUP(D283,#REF!,5,0))</f>
        <v>#REF!</v>
      </c>
      <c r="AE283" s="46" t="e">
        <f t="shared" si="40"/>
        <v>#REF!</v>
      </c>
      <c r="AF283" s="45">
        <v>46134</v>
      </c>
      <c r="AG283" s="33">
        <f t="shared" si="38"/>
        <v>25</v>
      </c>
      <c r="AH283" s="45">
        <v>46163</v>
      </c>
      <c r="AI283" s="39"/>
      <c r="AJ283" s="56">
        <f t="shared" si="39"/>
        <v>29</v>
      </c>
      <c r="AK283" s="39"/>
      <c r="AL283" s="35"/>
      <c r="AM283" s="34"/>
      <c r="AN283" s="34"/>
      <c r="AO283" s="39"/>
      <c r="AP283" s="47"/>
      <c r="AQ283" s="47"/>
      <c r="AR283" s="47"/>
      <c r="AS283" s="47"/>
    </row>
    <row r="284" spans="1:45" ht="12" customHeight="1" x14ac:dyDescent="0.25">
      <c r="A284" s="33">
        <v>283</v>
      </c>
      <c r="B284" s="34"/>
      <c r="C284" s="34" t="s">
        <v>515</v>
      </c>
      <c r="D284" s="35" t="s">
        <v>516</v>
      </c>
      <c r="E284" s="34" t="s">
        <v>58</v>
      </c>
      <c r="F284" s="34" t="s">
        <v>0</v>
      </c>
      <c r="G284" s="16" t="s">
        <v>64</v>
      </c>
      <c r="H284" s="34">
        <v>2000</v>
      </c>
      <c r="I284" s="34" t="s">
        <v>66</v>
      </c>
      <c r="J284" s="34" t="s">
        <v>3</v>
      </c>
      <c r="K284" s="35" t="s">
        <v>20</v>
      </c>
      <c r="L284" s="36" t="e">
        <f>VLOOKUP(G284,#REF!,4,0)</f>
        <v>#REF!</v>
      </c>
      <c r="M284" s="37" t="e">
        <f>_xlfn.IFNA(VLOOKUP(G284,#REF!,2,0),"")</f>
        <v>#REF!</v>
      </c>
      <c r="N284" s="38" t="e">
        <f>_xlfn.IFNA(VLOOKUP(G284,#REF!,3,0),"")</f>
        <v>#REF!</v>
      </c>
      <c r="O284" s="39">
        <v>50</v>
      </c>
      <c r="P284" s="79">
        <v>681.18279569892468</v>
      </c>
      <c r="Q284" s="39" t="s">
        <v>10</v>
      </c>
      <c r="R284" s="34">
        <v>3.9</v>
      </c>
      <c r="S284" s="38">
        <v>200</v>
      </c>
      <c r="T284" s="40">
        <v>68.493150684931507</v>
      </c>
      <c r="U284" s="41">
        <f t="shared" si="41"/>
        <v>2725.106053910738</v>
      </c>
      <c r="V284" s="42">
        <f t="shared" si="37"/>
        <v>1.362553026955369</v>
      </c>
      <c r="W284" s="43">
        <f t="shared" si="42"/>
        <v>0.20336612342617447</v>
      </c>
      <c r="X284" s="38"/>
      <c r="Y284" s="38"/>
      <c r="Z284" s="44" t="s">
        <v>96</v>
      </c>
      <c r="AA284" s="45">
        <v>46109</v>
      </c>
      <c r="AB284" s="45">
        <v>46129</v>
      </c>
      <c r="AC284" s="45"/>
      <c r="AD284" s="46" t="e">
        <f>IF(ISNA(VLOOKUP(D284,#REF!,5,0)),0,VLOOKUP(D284,#REF!,5,0))</f>
        <v>#REF!</v>
      </c>
      <c r="AE284" s="46" t="e">
        <f t="shared" si="40"/>
        <v>#REF!</v>
      </c>
      <c r="AF284" s="45">
        <v>46146</v>
      </c>
      <c r="AG284" s="33">
        <f t="shared" si="38"/>
        <v>37</v>
      </c>
      <c r="AH284" s="45">
        <v>46178</v>
      </c>
      <c r="AI284" s="39"/>
      <c r="AJ284" s="56">
        <f t="shared" si="39"/>
        <v>32</v>
      </c>
      <c r="AK284" s="39"/>
      <c r="AL284" s="35"/>
      <c r="AM284" s="34"/>
      <c r="AN284" s="34"/>
      <c r="AO284" s="39"/>
      <c r="AP284" s="47"/>
      <c r="AQ284" s="47"/>
      <c r="AR284" s="47"/>
      <c r="AS284" s="47"/>
    </row>
    <row r="285" spans="1:45" ht="12" customHeight="1" x14ac:dyDescent="0.25">
      <c r="A285" s="33">
        <v>284</v>
      </c>
      <c r="B285" s="34"/>
      <c r="C285" s="34" t="s">
        <v>515</v>
      </c>
      <c r="D285" s="35" t="s">
        <v>516</v>
      </c>
      <c r="E285" s="34" t="s">
        <v>58</v>
      </c>
      <c r="F285" s="34" t="s">
        <v>0</v>
      </c>
      <c r="G285" s="16" t="s">
        <v>149</v>
      </c>
      <c r="H285" s="34">
        <v>120</v>
      </c>
      <c r="I285" s="34" t="s">
        <v>66</v>
      </c>
      <c r="J285" s="34" t="s">
        <v>3</v>
      </c>
      <c r="K285" s="35" t="s">
        <v>20</v>
      </c>
      <c r="L285" s="36" t="e">
        <f>VLOOKUP(G285,#REF!,4,0)</f>
        <v>#REF!</v>
      </c>
      <c r="M285" s="37" t="e">
        <f>_xlfn.IFNA(VLOOKUP(G285,#REF!,2,0),"")</f>
        <v>#REF!</v>
      </c>
      <c r="N285" s="38" t="e">
        <f>_xlfn.IFNA(VLOOKUP(G285,#REF!,3,0),"")</f>
        <v>#REF!</v>
      </c>
      <c r="O285" s="39">
        <v>3</v>
      </c>
      <c r="P285" s="79">
        <v>40.87096774193548</v>
      </c>
      <c r="Q285" s="39" t="s">
        <v>10</v>
      </c>
      <c r="R285" s="34">
        <v>3.9</v>
      </c>
      <c r="S285" s="48">
        <v>200</v>
      </c>
      <c r="T285" s="40">
        <v>4.1095890410958908</v>
      </c>
      <c r="U285" s="41">
        <f t="shared" si="41"/>
        <v>163.50636323464425</v>
      </c>
      <c r="V285" s="42">
        <f t="shared" si="37"/>
        <v>1.3625530269553687</v>
      </c>
      <c r="W285" s="43">
        <f t="shared" si="42"/>
        <v>0.20336612342617444</v>
      </c>
      <c r="X285" s="38"/>
      <c r="Y285" s="38"/>
      <c r="Z285" s="44" t="s">
        <v>96</v>
      </c>
      <c r="AA285" s="45">
        <v>46109</v>
      </c>
      <c r="AB285" s="45">
        <v>46129</v>
      </c>
      <c r="AC285" s="45"/>
      <c r="AD285" s="46" t="e">
        <f>IF(ISNA(VLOOKUP(D285,#REF!,5,0)),0,VLOOKUP(D285,#REF!,5,0))</f>
        <v>#REF!</v>
      </c>
      <c r="AE285" s="46" t="e">
        <f t="shared" si="40"/>
        <v>#REF!</v>
      </c>
      <c r="AF285" s="45">
        <v>46146</v>
      </c>
      <c r="AG285" s="33">
        <f t="shared" si="38"/>
        <v>37</v>
      </c>
      <c r="AH285" s="45">
        <v>46178</v>
      </c>
      <c r="AI285" s="39"/>
      <c r="AJ285" s="56">
        <f t="shared" si="39"/>
        <v>32</v>
      </c>
      <c r="AK285" s="39"/>
      <c r="AL285" s="35"/>
      <c r="AM285" s="34"/>
      <c r="AN285" s="34"/>
      <c r="AO285" s="39"/>
      <c r="AP285" s="47"/>
      <c r="AQ285" s="47"/>
      <c r="AR285" s="47"/>
      <c r="AS285" s="47"/>
    </row>
    <row r="286" spans="1:45" ht="12" customHeight="1" x14ac:dyDescent="0.25">
      <c r="A286" s="33">
        <v>285</v>
      </c>
      <c r="B286" s="34"/>
      <c r="C286" s="34" t="s">
        <v>515</v>
      </c>
      <c r="D286" s="35" t="s">
        <v>516</v>
      </c>
      <c r="E286" s="34" t="s">
        <v>58</v>
      </c>
      <c r="F286" s="34" t="s">
        <v>0</v>
      </c>
      <c r="G286" s="16" t="s">
        <v>65</v>
      </c>
      <c r="H286" s="34">
        <v>600</v>
      </c>
      <c r="I286" s="34" t="s">
        <v>66</v>
      </c>
      <c r="J286" s="34" t="s">
        <v>3</v>
      </c>
      <c r="K286" s="35" t="s">
        <v>20</v>
      </c>
      <c r="L286" s="36" t="e">
        <f>VLOOKUP(G286,#REF!,4,0)</f>
        <v>#REF!</v>
      </c>
      <c r="M286" s="37" t="e">
        <f>_xlfn.IFNA(VLOOKUP(G286,#REF!,2,0),"")</f>
        <v>#REF!</v>
      </c>
      <c r="N286" s="38" t="e">
        <f>_xlfn.IFNA(VLOOKUP(G286,#REF!,3,0),"")</f>
        <v>#REF!</v>
      </c>
      <c r="O286" s="39">
        <v>15</v>
      </c>
      <c r="P286" s="79">
        <v>204.35483870967741</v>
      </c>
      <c r="Q286" s="39" t="s">
        <v>10</v>
      </c>
      <c r="R286" s="34">
        <v>3.9</v>
      </c>
      <c r="S286" s="38"/>
      <c r="T286" s="40">
        <v>20.547945205479451</v>
      </c>
      <c r="U286" s="41">
        <f t="shared" si="41"/>
        <v>817.53181617322127</v>
      </c>
      <c r="V286" s="42">
        <f t="shared" si="37"/>
        <v>1.3625530269553687</v>
      </c>
      <c r="W286" s="43">
        <f t="shared" si="42"/>
        <v>0.20336612342617444</v>
      </c>
      <c r="X286" s="38"/>
      <c r="Y286" s="38"/>
      <c r="Z286" s="44" t="s">
        <v>96</v>
      </c>
      <c r="AA286" s="45">
        <v>46109</v>
      </c>
      <c r="AB286" s="45">
        <v>46129</v>
      </c>
      <c r="AC286" s="45"/>
      <c r="AD286" s="46" t="e">
        <f>IF(ISNA(VLOOKUP(D286,#REF!,5,0)),0,VLOOKUP(D286,#REF!,5,0))</f>
        <v>#REF!</v>
      </c>
      <c r="AE286" s="46" t="e">
        <f t="shared" si="40"/>
        <v>#REF!</v>
      </c>
      <c r="AF286" s="45">
        <v>46146</v>
      </c>
      <c r="AG286" s="33">
        <f t="shared" si="38"/>
        <v>37</v>
      </c>
      <c r="AH286" s="45">
        <v>46178</v>
      </c>
      <c r="AI286" s="39"/>
      <c r="AJ286" s="56">
        <f t="shared" si="39"/>
        <v>32</v>
      </c>
      <c r="AK286" s="39"/>
      <c r="AL286" s="35"/>
      <c r="AM286" s="34"/>
      <c r="AN286" s="34"/>
      <c r="AO286" s="39"/>
      <c r="AP286" s="47"/>
      <c r="AQ286" s="47"/>
      <c r="AR286" s="47"/>
      <c r="AS286" s="47"/>
    </row>
    <row r="287" spans="1:45" ht="12" customHeight="1" x14ac:dyDescent="0.25">
      <c r="A287" s="33">
        <v>286</v>
      </c>
      <c r="B287" s="34"/>
      <c r="C287" s="34" t="s">
        <v>515</v>
      </c>
      <c r="D287" s="35" t="s">
        <v>516</v>
      </c>
      <c r="E287" s="34" t="s">
        <v>58</v>
      </c>
      <c r="F287" s="34" t="s">
        <v>0</v>
      </c>
      <c r="G287" s="16" t="s">
        <v>135</v>
      </c>
      <c r="H287" s="34">
        <v>200</v>
      </c>
      <c r="I287" s="34" t="s">
        <v>66</v>
      </c>
      <c r="J287" s="34" t="s">
        <v>3</v>
      </c>
      <c r="K287" s="35" t="s">
        <v>20</v>
      </c>
      <c r="L287" s="36" t="e">
        <f>VLOOKUP(G287,#REF!,4,0)</f>
        <v>#REF!</v>
      </c>
      <c r="M287" s="37" t="e">
        <f>_xlfn.IFNA(VLOOKUP(G287,#REF!,2,0),"")</f>
        <v>#REF!</v>
      </c>
      <c r="N287" s="38" t="e">
        <f>_xlfn.IFNA(VLOOKUP(G287,#REF!,3,0),"")</f>
        <v>#REF!</v>
      </c>
      <c r="O287" s="39">
        <v>5</v>
      </c>
      <c r="P287" s="79">
        <v>68.118279569892465</v>
      </c>
      <c r="Q287" s="39" t="s">
        <v>10</v>
      </c>
      <c r="R287" s="34">
        <v>3.9</v>
      </c>
      <c r="S287" s="38"/>
      <c r="T287" s="40">
        <v>6.8493150684931505</v>
      </c>
      <c r="U287" s="41">
        <f t="shared" si="41"/>
        <v>272.51060539107374</v>
      </c>
      <c r="V287" s="42">
        <f t="shared" si="37"/>
        <v>1.3625530269553687</v>
      </c>
      <c r="W287" s="43">
        <f t="shared" si="42"/>
        <v>0.20336612342617444</v>
      </c>
      <c r="X287" s="38"/>
      <c r="Y287" s="38"/>
      <c r="Z287" s="44" t="s">
        <v>96</v>
      </c>
      <c r="AA287" s="45">
        <v>46109</v>
      </c>
      <c r="AB287" s="45">
        <v>46129</v>
      </c>
      <c r="AC287" s="45"/>
      <c r="AD287" s="46" t="e">
        <f>IF(ISNA(VLOOKUP(D287,#REF!,5,0)),0,VLOOKUP(D287,#REF!,5,0))</f>
        <v>#REF!</v>
      </c>
      <c r="AE287" s="46" t="e">
        <f t="shared" si="40"/>
        <v>#REF!</v>
      </c>
      <c r="AF287" s="45">
        <v>46146</v>
      </c>
      <c r="AG287" s="33">
        <f t="shared" si="38"/>
        <v>37</v>
      </c>
      <c r="AH287" s="45">
        <v>46178</v>
      </c>
      <c r="AI287" s="39"/>
      <c r="AJ287" s="56">
        <f t="shared" si="39"/>
        <v>32</v>
      </c>
      <c r="AK287" s="39"/>
      <c r="AL287" s="35"/>
      <c r="AM287" s="34"/>
      <c r="AN287" s="34"/>
      <c r="AO287" s="39"/>
      <c r="AP287" s="47"/>
      <c r="AQ287" s="47"/>
      <c r="AR287" s="47"/>
      <c r="AS287" s="47"/>
    </row>
    <row r="288" spans="1:45" ht="12" customHeight="1" x14ac:dyDescent="0.25">
      <c r="A288" s="33">
        <v>287</v>
      </c>
      <c r="B288" s="34"/>
      <c r="C288" s="34" t="s">
        <v>515</v>
      </c>
      <c r="D288" s="35" t="s">
        <v>516</v>
      </c>
      <c r="E288" s="34" t="s">
        <v>58</v>
      </c>
      <c r="F288" s="34" t="s">
        <v>0</v>
      </c>
      <c r="G288" s="16" t="s">
        <v>204</v>
      </c>
      <c r="H288" s="34">
        <v>320</v>
      </c>
      <c r="I288" s="34" t="s">
        <v>66</v>
      </c>
      <c r="J288" s="34" t="s">
        <v>3</v>
      </c>
      <c r="K288" s="35" t="s">
        <v>20</v>
      </c>
      <c r="L288" s="36" t="e">
        <f>VLOOKUP(G288,#REF!,4,0)</f>
        <v>#REF!</v>
      </c>
      <c r="M288" s="37" t="e">
        <f>_xlfn.IFNA(VLOOKUP(G288,#REF!,2,0),"")</f>
        <v>#REF!</v>
      </c>
      <c r="N288" s="38" t="e">
        <f>_xlfn.IFNA(VLOOKUP(G288,#REF!,3,0),"")</f>
        <v>#REF!</v>
      </c>
      <c r="O288" s="39">
        <v>8</v>
      </c>
      <c r="P288" s="79">
        <v>108.98924731182795</v>
      </c>
      <c r="Q288" s="39" t="s">
        <v>10</v>
      </c>
      <c r="R288" s="34">
        <v>3.9</v>
      </c>
      <c r="S288" s="38"/>
      <c r="T288" s="40">
        <v>10.95890410958904</v>
      </c>
      <c r="U288" s="41">
        <f t="shared" si="41"/>
        <v>436.01696862571799</v>
      </c>
      <c r="V288" s="42">
        <f t="shared" si="37"/>
        <v>1.3625530269553687</v>
      </c>
      <c r="W288" s="43">
        <f t="shared" si="42"/>
        <v>0.20336612342617444</v>
      </c>
      <c r="X288" s="38"/>
      <c r="Y288" s="38"/>
      <c r="Z288" s="44" t="s">
        <v>96</v>
      </c>
      <c r="AA288" s="45">
        <v>46109</v>
      </c>
      <c r="AB288" s="45">
        <v>46129</v>
      </c>
      <c r="AC288" s="45"/>
      <c r="AD288" s="46" t="e">
        <f>IF(ISNA(VLOOKUP(D288,#REF!,5,0)),0,VLOOKUP(D288,#REF!,5,0))</f>
        <v>#REF!</v>
      </c>
      <c r="AE288" s="46" t="e">
        <f t="shared" si="40"/>
        <v>#REF!</v>
      </c>
      <c r="AF288" s="45">
        <v>46146</v>
      </c>
      <c r="AG288" s="33">
        <f t="shared" si="38"/>
        <v>37</v>
      </c>
      <c r="AH288" s="45">
        <v>46178</v>
      </c>
      <c r="AI288" s="39"/>
      <c r="AJ288" s="56">
        <f t="shared" si="39"/>
        <v>32</v>
      </c>
      <c r="AK288" s="39"/>
      <c r="AL288" s="35"/>
      <c r="AM288" s="34"/>
      <c r="AN288" s="34"/>
      <c r="AO288" s="39"/>
      <c r="AP288" s="47"/>
      <c r="AQ288" s="47"/>
      <c r="AR288" s="47"/>
      <c r="AS288" s="47"/>
    </row>
    <row r="289" spans="1:45" ht="12" customHeight="1" x14ac:dyDescent="0.25">
      <c r="A289" s="33">
        <v>288</v>
      </c>
      <c r="B289" s="34"/>
      <c r="C289" s="34" t="s">
        <v>515</v>
      </c>
      <c r="D289" s="35" t="s">
        <v>516</v>
      </c>
      <c r="E289" s="34" t="s">
        <v>58</v>
      </c>
      <c r="F289" s="34" t="s">
        <v>0</v>
      </c>
      <c r="G289" s="16" t="s">
        <v>206</v>
      </c>
      <c r="H289" s="34">
        <v>200</v>
      </c>
      <c r="I289" s="34" t="s">
        <v>66</v>
      </c>
      <c r="J289" s="34" t="s">
        <v>3</v>
      </c>
      <c r="K289" s="35" t="s">
        <v>20</v>
      </c>
      <c r="L289" s="36" t="e">
        <f>VLOOKUP(G289,#REF!,4,0)</f>
        <v>#REF!</v>
      </c>
      <c r="M289" s="37" t="e">
        <f>_xlfn.IFNA(VLOOKUP(G289,#REF!,2,0),"")</f>
        <v>#REF!</v>
      </c>
      <c r="N289" s="38" t="e">
        <f>_xlfn.IFNA(VLOOKUP(G289,#REF!,3,0),"")</f>
        <v>#REF!</v>
      </c>
      <c r="O289" s="39">
        <v>10</v>
      </c>
      <c r="P289" s="79">
        <v>136.23655913978493</v>
      </c>
      <c r="Q289" s="39" t="s">
        <v>10</v>
      </c>
      <c r="R289" s="34">
        <v>3.9</v>
      </c>
      <c r="S289" s="38"/>
      <c r="T289" s="40">
        <v>13.698630136986301</v>
      </c>
      <c r="U289" s="41">
        <f t="shared" si="41"/>
        <v>545.02121078214748</v>
      </c>
      <c r="V289" s="42">
        <f t="shared" si="37"/>
        <v>2.7251060539107375</v>
      </c>
      <c r="W289" s="43">
        <f t="shared" si="42"/>
        <v>0.40673224685234888</v>
      </c>
      <c r="X289" s="38"/>
      <c r="Y289" s="38"/>
      <c r="Z289" s="44" t="s">
        <v>96</v>
      </c>
      <c r="AA289" s="45">
        <v>46109</v>
      </c>
      <c r="AB289" s="45">
        <v>46129</v>
      </c>
      <c r="AC289" s="45"/>
      <c r="AD289" s="46" t="e">
        <f>IF(ISNA(VLOOKUP(D289,#REF!,5,0)),0,VLOOKUP(D289,#REF!,5,0))</f>
        <v>#REF!</v>
      </c>
      <c r="AE289" s="46" t="e">
        <f t="shared" si="40"/>
        <v>#REF!</v>
      </c>
      <c r="AF289" s="45">
        <v>46146</v>
      </c>
      <c r="AG289" s="33">
        <f t="shared" si="38"/>
        <v>37</v>
      </c>
      <c r="AH289" s="45">
        <v>46178</v>
      </c>
      <c r="AI289" s="39"/>
      <c r="AJ289" s="56">
        <f t="shared" si="39"/>
        <v>32</v>
      </c>
      <c r="AK289" s="39"/>
      <c r="AL289" s="35"/>
      <c r="AM289" s="34"/>
      <c r="AN289" s="34"/>
      <c r="AO289" s="39"/>
      <c r="AP289" s="47"/>
      <c r="AQ289" s="47"/>
      <c r="AR289" s="47"/>
      <c r="AS289" s="47"/>
    </row>
    <row r="290" spans="1:45" ht="12" customHeight="1" x14ac:dyDescent="0.25">
      <c r="A290" s="33">
        <v>289</v>
      </c>
      <c r="B290" s="34"/>
      <c r="C290" s="34" t="s">
        <v>515</v>
      </c>
      <c r="D290" s="35" t="s">
        <v>516</v>
      </c>
      <c r="E290" s="34" t="s">
        <v>58</v>
      </c>
      <c r="F290" s="34" t="s">
        <v>0</v>
      </c>
      <c r="G290" s="16" t="s">
        <v>99</v>
      </c>
      <c r="H290" s="34">
        <v>200</v>
      </c>
      <c r="I290" s="34" t="s">
        <v>66</v>
      </c>
      <c r="J290" s="34" t="s">
        <v>3</v>
      </c>
      <c r="K290" s="35" t="s">
        <v>20</v>
      </c>
      <c r="L290" s="36" t="e">
        <f>VLOOKUP(G290,#REF!,4,0)</f>
        <v>#REF!</v>
      </c>
      <c r="M290" s="37" t="e">
        <f>_xlfn.IFNA(VLOOKUP(G290,#REF!,2,0),"")</f>
        <v>#REF!</v>
      </c>
      <c r="N290" s="38" t="e">
        <f>_xlfn.IFNA(VLOOKUP(G290,#REF!,3,0),"")</f>
        <v>#REF!</v>
      </c>
      <c r="O290" s="39">
        <v>1</v>
      </c>
      <c r="P290" s="79">
        <v>13.623655913978494</v>
      </c>
      <c r="Q290" s="39" t="s">
        <v>10</v>
      </c>
      <c r="R290" s="34">
        <v>3.9</v>
      </c>
      <c r="S290" s="38"/>
      <c r="T290" s="40">
        <v>1.3698630136986301</v>
      </c>
      <c r="U290" s="41">
        <f t="shared" si="41"/>
        <v>54.502121078214749</v>
      </c>
      <c r="V290" s="42">
        <f t="shared" si="37"/>
        <v>0.27251060539107375</v>
      </c>
      <c r="W290" s="43">
        <f t="shared" si="42"/>
        <v>4.0673224685234884E-2</v>
      </c>
      <c r="X290" s="38"/>
      <c r="Y290" s="38"/>
      <c r="Z290" s="44" t="s">
        <v>96</v>
      </c>
      <c r="AA290" s="45">
        <v>46109</v>
      </c>
      <c r="AB290" s="45">
        <v>46129</v>
      </c>
      <c r="AC290" s="45"/>
      <c r="AD290" s="46" t="e">
        <f>IF(ISNA(VLOOKUP(D290,#REF!,5,0)),0,VLOOKUP(D290,#REF!,5,0))</f>
        <v>#REF!</v>
      </c>
      <c r="AE290" s="46" t="e">
        <f t="shared" si="40"/>
        <v>#REF!</v>
      </c>
      <c r="AF290" s="45">
        <v>46146</v>
      </c>
      <c r="AG290" s="33">
        <f t="shared" si="38"/>
        <v>37</v>
      </c>
      <c r="AH290" s="45">
        <v>46178</v>
      </c>
      <c r="AI290" s="39"/>
      <c r="AJ290" s="56">
        <f t="shared" si="39"/>
        <v>32</v>
      </c>
      <c r="AK290" s="39"/>
      <c r="AL290" s="35"/>
      <c r="AM290" s="34"/>
      <c r="AN290" s="34"/>
      <c r="AO290" s="39"/>
      <c r="AP290" s="47"/>
      <c r="AQ290" s="47"/>
      <c r="AR290" s="47"/>
      <c r="AS290" s="47"/>
    </row>
    <row r="291" spans="1:45" ht="12" customHeight="1" x14ac:dyDescent="0.25">
      <c r="A291" s="33">
        <v>290</v>
      </c>
      <c r="B291" s="34"/>
      <c r="C291" s="34" t="s">
        <v>515</v>
      </c>
      <c r="D291" s="35" t="s">
        <v>516</v>
      </c>
      <c r="E291" s="34" t="s">
        <v>58</v>
      </c>
      <c r="F291" s="34" t="s">
        <v>0</v>
      </c>
      <c r="G291" s="16" t="s">
        <v>99</v>
      </c>
      <c r="H291" s="34">
        <v>100</v>
      </c>
      <c r="I291" s="34" t="s">
        <v>66</v>
      </c>
      <c r="J291" s="34" t="s">
        <v>3</v>
      </c>
      <c r="K291" s="35" t="s">
        <v>20</v>
      </c>
      <c r="L291" s="36" t="e">
        <f>VLOOKUP(G291,#REF!,4,0)</f>
        <v>#REF!</v>
      </c>
      <c r="M291" s="37" t="e">
        <f>_xlfn.IFNA(VLOOKUP(G291,#REF!,2,0),"")</f>
        <v>#REF!</v>
      </c>
      <c r="N291" s="38" t="e">
        <f>_xlfn.IFNA(VLOOKUP(G291,#REF!,3,0),"")</f>
        <v>#REF!</v>
      </c>
      <c r="O291" s="39">
        <v>0.5</v>
      </c>
      <c r="P291" s="79">
        <v>6.811827956989247</v>
      </c>
      <c r="Q291" s="39" t="s">
        <v>10</v>
      </c>
      <c r="R291" s="34">
        <v>3.9</v>
      </c>
      <c r="S291" s="38"/>
      <c r="T291" s="40">
        <v>0.68493150684931503</v>
      </c>
      <c r="U291" s="41">
        <f t="shared" si="41"/>
        <v>27.251060539107375</v>
      </c>
      <c r="V291" s="42">
        <f t="shared" si="37"/>
        <v>0.27251060539107375</v>
      </c>
      <c r="W291" s="43">
        <f t="shared" si="42"/>
        <v>4.0673224685234884E-2</v>
      </c>
      <c r="X291" s="38"/>
      <c r="Y291" s="38"/>
      <c r="Z291" s="44" t="s">
        <v>96</v>
      </c>
      <c r="AA291" s="45">
        <v>46109</v>
      </c>
      <c r="AB291" s="45">
        <v>46129</v>
      </c>
      <c r="AC291" s="45"/>
      <c r="AD291" s="46" t="e">
        <f>IF(ISNA(VLOOKUP(D291,#REF!,5,0)),0,VLOOKUP(D291,#REF!,5,0))</f>
        <v>#REF!</v>
      </c>
      <c r="AE291" s="46" t="e">
        <f t="shared" si="40"/>
        <v>#REF!</v>
      </c>
      <c r="AF291" s="45">
        <v>46146</v>
      </c>
      <c r="AG291" s="33">
        <f t="shared" si="38"/>
        <v>37</v>
      </c>
      <c r="AH291" s="45">
        <v>46178</v>
      </c>
      <c r="AI291" s="39"/>
      <c r="AJ291" s="56">
        <f t="shared" si="39"/>
        <v>32</v>
      </c>
      <c r="AK291" s="39"/>
      <c r="AL291" s="35"/>
      <c r="AM291" s="34"/>
      <c r="AN291" s="34"/>
      <c r="AO291" s="39"/>
      <c r="AP291" s="47"/>
      <c r="AQ291" s="47"/>
      <c r="AR291" s="47"/>
      <c r="AS291" s="47"/>
    </row>
    <row r="292" spans="1:45" ht="11.75" customHeight="1" x14ac:dyDescent="0.25">
      <c r="A292" s="33">
        <v>291</v>
      </c>
      <c r="B292" s="34"/>
      <c r="C292" s="34" t="s">
        <v>515</v>
      </c>
      <c r="D292" s="35" t="s">
        <v>516</v>
      </c>
      <c r="E292" s="34" t="s">
        <v>58</v>
      </c>
      <c r="F292" s="34" t="s">
        <v>0</v>
      </c>
      <c r="G292" s="16" t="s">
        <v>100</v>
      </c>
      <c r="H292" s="34">
        <v>100</v>
      </c>
      <c r="I292" s="34" t="s">
        <v>66</v>
      </c>
      <c r="J292" s="34" t="s">
        <v>3</v>
      </c>
      <c r="K292" s="35" t="s">
        <v>20</v>
      </c>
      <c r="L292" s="36" t="e">
        <f>VLOOKUP(G292,#REF!,4,0)</f>
        <v>#REF!</v>
      </c>
      <c r="M292" s="37" t="e">
        <f>_xlfn.IFNA(VLOOKUP(G292,#REF!,2,0),"")</f>
        <v>#REF!</v>
      </c>
      <c r="N292" s="38" t="e">
        <f>_xlfn.IFNA(VLOOKUP(G292,#REF!,3,0),"")</f>
        <v>#REF!</v>
      </c>
      <c r="O292" s="39">
        <v>0.5</v>
      </c>
      <c r="P292" s="79">
        <v>6.811827956989247</v>
      </c>
      <c r="Q292" s="39" t="s">
        <v>10</v>
      </c>
      <c r="R292" s="34">
        <v>3.9</v>
      </c>
      <c r="S292" s="38"/>
      <c r="T292" s="40">
        <v>0.68493150684931503</v>
      </c>
      <c r="U292" s="41">
        <f t="shared" si="41"/>
        <v>27.251060539107375</v>
      </c>
      <c r="V292" s="42">
        <f t="shared" si="37"/>
        <v>0.27251060539107375</v>
      </c>
      <c r="W292" s="43">
        <f t="shared" si="42"/>
        <v>4.0673224685234884E-2</v>
      </c>
      <c r="X292" s="38"/>
      <c r="Y292" s="38"/>
      <c r="Z292" s="44" t="s">
        <v>96</v>
      </c>
      <c r="AA292" s="45">
        <v>46109</v>
      </c>
      <c r="AB292" s="45">
        <v>46129</v>
      </c>
      <c r="AC292" s="45"/>
      <c r="AD292" s="46" t="e">
        <f>IF(ISNA(VLOOKUP(D292,#REF!,5,0)),0,VLOOKUP(D292,#REF!,5,0))</f>
        <v>#REF!</v>
      </c>
      <c r="AE292" s="46" t="e">
        <f t="shared" si="40"/>
        <v>#REF!</v>
      </c>
      <c r="AF292" s="45">
        <v>46146</v>
      </c>
      <c r="AG292" s="33">
        <f t="shared" si="38"/>
        <v>37</v>
      </c>
      <c r="AH292" s="45">
        <v>46178</v>
      </c>
      <c r="AI292" s="39"/>
      <c r="AJ292" s="56">
        <f t="shared" si="39"/>
        <v>32</v>
      </c>
      <c r="AK292" s="39"/>
      <c r="AL292" s="35"/>
      <c r="AM292" s="34"/>
      <c r="AN292" s="34"/>
      <c r="AO292" s="39"/>
      <c r="AP292" s="47"/>
      <c r="AQ292" s="47"/>
      <c r="AR292" s="47"/>
      <c r="AS292" s="47"/>
    </row>
    <row r="293" spans="1:45" ht="12" customHeight="1" x14ac:dyDescent="0.25">
      <c r="A293" s="33">
        <v>292</v>
      </c>
      <c r="B293" s="34"/>
      <c r="C293" s="34" t="s">
        <v>517</v>
      </c>
      <c r="D293" s="35" t="s">
        <v>518</v>
      </c>
      <c r="E293" s="34" t="s">
        <v>58</v>
      </c>
      <c r="F293" s="34" t="s">
        <v>0</v>
      </c>
      <c r="G293" s="16" t="s">
        <v>313</v>
      </c>
      <c r="H293" s="34">
        <v>300</v>
      </c>
      <c r="I293" s="34" t="s">
        <v>54</v>
      </c>
      <c r="J293" s="34" t="s">
        <v>3</v>
      </c>
      <c r="K293" s="35" t="s">
        <v>7</v>
      </c>
      <c r="L293" s="36" t="e">
        <f>VLOOKUP(G293,#REF!,4,0)</f>
        <v>#REF!</v>
      </c>
      <c r="M293" s="37" t="e">
        <f>_xlfn.IFNA(VLOOKUP(G293,#REF!,2,0),"")</f>
        <v>#REF!</v>
      </c>
      <c r="N293" s="38" t="e">
        <f>_xlfn.IFNA(VLOOKUP(G293,#REF!,3,0),"")</f>
        <v>#REF!</v>
      </c>
      <c r="O293" s="39">
        <v>10</v>
      </c>
      <c r="P293" s="79">
        <v>158.79611650485435</v>
      </c>
      <c r="Q293" s="39" t="s">
        <v>10</v>
      </c>
      <c r="R293" s="34">
        <v>4.2</v>
      </c>
      <c r="S293" s="38">
        <v>200</v>
      </c>
      <c r="T293" s="40">
        <v>14.492753623188406</v>
      </c>
      <c r="U293" s="41">
        <f t="shared" si="41"/>
        <v>681.43644294357671</v>
      </c>
      <c r="V293" s="42">
        <f t="shared" si="37"/>
        <v>2.2714548098119223</v>
      </c>
      <c r="W293" s="43">
        <f t="shared" si="42"/>
        <v>0.33902310594207796</v>
      </c>
      <c r="X293" s="38"/>
      <c r="Y293" s="38"/>
      <c r="Z293" s="44" t="s">
        <v>96</v>
      </c>
      <c r="AA293" s="45">
        <v>46109</v>
      </c>
      <c r="AB293" s="45">
        <v>46131</v>
      </c>
      <c r="AC293" s="45"/>
      <c r="AD293" s="46" t="e">
        <f>IF(ISNA(VLOOKUP(D293,#REF!,5,0)),0,VLOOKUP(D293,#REF!,5,0))</f>
        <v>#REF!</v>
      </c>
      <c r="AE293" s="46" t="e">
        <f t="shared" si="40"/>
        <v>#REF!</v>
      </c>
      <c r="AF293" s="45">
        <v>46141</v>
      </c>
      <c r="AG293" s="33">
        <f t="shared" si="38"/>
        <v>32</v>
      </c>
      <c r="AH293" s="45">
        <v>46181</v>
      </c>
      <c r="AI293" s="39"/>
      <c r="AJ293" s="56">
        <f t="shared" si="39"/>
        <v>40</v>
      </c>
      <c r="AK293" s="39"/>
      <c r="AL293" s="35"/>
      <c r="AM293" s="34"/>
      <c r="AN293" s="34"/>
      <c r="AO293" s="39"/>
      <c r="AP293" s="47"/>
      <c r="AQ293" s="47"/>
      <c r="AR293" s="47"/>
      <c r="AS293" s="47"/>
    </row>
    <row r="294" spans="1:45" ht="12" customHeight="1" x14ac:dyDescent="0.25">
      <c r="A294" s="33">
        <v>293</v>
      </c>
      <c r="B294" s="34"/>
      <c r="C294" s="34" t="s">
        <v>517</v>
      </c>
      <c r="D294" s="35" t="s">
        <v>518</v>
      </c>
      <c r="E294" s="34" t="s">
        <v>58</v>
      </c>
      <c r="F294" s="34" t="s">
        <v>0</v>
      </c>
      <c r="G294" s="16" t="s">
        <v>205</v>
      </c>
      <c r="H294" s="34">
        <v>570</v>
      </c>
      <c r="I294" s="34" t="s">
        <v>54</v>
      </c>
      <c r="J294" s="34" t="s">
        <v>3</v>
      </c>
      <c r="K294" s="35" t="s">
        <v>7</v>
      </c>
      <c r="L294" s="36" t="e">
        <f>VLOOKUP(G294,#REF!,4,0)</f>
        <v>#REF!</v>
      </c>
      <c r="M294" s="37" t="e">
        <f>_xlfn.IFNA(VLOOKUP(G294,#REF!,2,0),"")</f>
        <v>#REF!</v>
      </c>
      <c r="N294" s="38" t="e">
        <f>_xlfn.IFNA(VLOOKUP(G294,#REF!,3,0),"")</f>
        <v>#REF!</v>
      </c>
      <c r="O294" s="39">
        <v>19</v>
      </c>
      <c r="P294" s="79">
        <v>301.71262135922331</v>
      </c>
      <c r="Q294" s="39" t="s">
        <v>10</v>
      </c>
      <c r="R294" s="34">
        <v>4.2</v>
      </c>
      <c r="S294" s="48">
        <v>200</v>
      </c>
      <c r="T294" s="40">
        <v>27.536231884057973</v>
      </c>
      <c r="U294" s="41">
        <f t="shared" si="41"/>
        <v>1294.7292415927959</v>
      </c>
      <c r="V294" s="42">
        <f t="shared" si="37"/>
        <v>2.2714548098119227</v>
      </c>
      <c r="W294" s="43">
        <f t="shared" si="42"/>
        <v>0.33902310594207802</v>
      </c>
      <c r="X294" s="38"/>
      <c r="Y294" s="38"/>
      <c r="Z294" s="44" t="s">
        <v>96</v>
      </c>
      <c r="AA294" s="45">
        <v>46109</v>
      </c>
      <c r="AB294" s="45">
        <v>46131</v>
      </c>
      <c r="AC294" s="45"/>
      <c r="AD294" s="46" t="e">
        <f>IF(ISNA(VLOOKUP(D294,#REF!,5,0)),0,VLOOKUP(D294,#REF!,5,0))</f>
        <v>#REF!</v>
      </c>
      <c r="AE294" s="46" t="e">
        <f t="shared" si="40"/>
        <v>#REF!</v>
      </c>
      <c r="AF294" s="45">
        <v>46141</v>
      </c>
      <c r="AG294" s="33">
        <f t="shared" si="38"/>
        <v>32</v>
      </c>
      <c r="AH294" s="45">
        <v>46181</v>
      </c>
      <c r="AI294" s="39"/>
      <c r="AJ294" s="56">
        <f t="shared" si="39"/>
        <v>40</v>
      </c>
      <c r="AK294" s="39"/>
      <c r="AL294" s="35"/>
      <c r="AM294" s="34"/>
      <c r="AN294" s="34"/>
      <c r="AO294" s="39"/>
      <c r="AP294" s="47"/>
      <c r="AQ294" s="47"/>
      <c r="AR294" s="47"/>
      <c r="AS294" s="47"/>
    </row>
    <row r="295" spans="1:45" ht="12" customHeight="1" x14ac:dyDescent="0.25">
      <c r="A295" s="33">
        <v>294</v>
      </c>
      <c r="B295" s="34"/>
      <c r="C295" s="34" t="s">
        <v>517</v>
      </c>
      <c r="D295" s="35" t="s">
        <v>518</v>
      </c>
      <c r="E295" s="34" t="s">
        <v>58</v>
      </c>
      <c r="F295" s="34" t="s">
        <v>0</v>
      </c>
      <c r="G295" s="16" t="s">
        <v>514</v>
      </c>
      <c r="H295" s="34">
        <v>1500</v>
      </c>
      <c r="I295" s="34" t="s">
        <v>54</v>
      </c>
      <c r="J295" s="34" t="s">
        <v>3</v>
      </c>
      <c r="K295" s="35" t="s">
        <v>7</v>
      </c>
      <c r="L295" s="36" t="e">
        <f>VLOOKUP(G295,#REF!,4,0)</f>
        <v>#REF!</v>
      </c>
      <c r="M295" s="37" t="e">
        <f>_xlfn.IFNA(VLOOKUP(G295,#REF!,2,0),"")</f>
        <v>#REF!</v>
      </c>
      <c r="N295" s="38" t="e">
        <f>_xlfn.IFNA(VLOOKUP(G295,#REF!,3,0),"")</f>
        <v>#REF!</v>
      </c>
      <c r="O295" s="39">
        <v>50</v>
      </c>
      <c r="P295" s="79">
        <v>793.98058252427188</v>
      </c>
      <c r="Q295" s="39" t="s">
        <v>10</v>
      </c>
      <c r="R295" s="34">
        <v>4.2</v>
      </c>
      <c r="S295" s="38"/>
      <c r="T295" s="40">
        <v>72.463768115942031</v>
      </c>
      <c r="U295" s="41">
        <f t="shared" si="41"/>
        <v>3407.1822147178841</v>
      </c>
      <c r="V295" s="42">
        <f t="shared" si="37"/>
        <v>2.2714548098119227</v>
      </c>
      <c r="W295" s="43">
        <f t="shared" si="42"/>
        <v>0.33902310594207802</v>
      </c>
      <c r="X295" s="38"/>
      <c r="Y295" s="38"/>
      <c r="Z295" s="44" t="s">
        <v>96</v>
      </c>
      <c r="AA295" s="45">
        <v>46109</v>
      </c>
      <c r="AB295" s="45">
        <v>46131</v>
      </c>
      <c r="AC295" s="45"/>
      <c r="AD295" s="46" t="e">
        <f>IF(ISNA(VLOOKUP(D295,#REF!,5,0)),0,VLOOKUP(D295,#REF!,5,0))</f>
        <v>#REF!</v>
      </c>
      <c r="AE295" s="46" t="e">
        <f t="shared" si="40"/>
        <v>#REF!</v>
      </c>
      <c r="AF295" s="45">
        <v>46141</v>
      </c>
      <c r="AG295" s="33">
        <f t="shared" si="38"/>
        <v>32</v>
      </c>
      <c r="AH295" s="45">
        <v>46181</v>
      </c>
      <c r="AI295" s="39"/>
      <c r="AJ295" s="56">
        <f t="shared" si="39"/>
        <v>40</v>
      </c>
      <c r="AK295" s="39"/>
      <c r="AL295" s="35"/>
      <c r="AM295" s="34"/>
      <c r="AN295" s="34"/>
      <c r="AO295" s="39"/>
      <c r="AP295" s="47"/>
      <c r="AQ295" s="47"/>
      <c r="AR295" s="47"/>
      <c r="AS295" s="47"/>
    </row>
    <row r="296" spans="1:45" ht="12" customHeight="1" x14ac:dyDescent="0.25">
      <c r="A296" s="33">
        <v>295</v>
      </c>
      <c r="B296" s="34"/>
      <c r="C296" s="34" t="s">
        <v>517</v>
      </c>
      <c r="D296" s="35" t="s">
        <v>518</v>
      </c>
      <c r="E296" s="34" t="s">
        <v>58</v>
      </c>
      <c r="F296" s="34" t="s">
        <v>0</v>
      </c>
      <c r="G296" s="16" t="s">
        <v>486</v>
      </c>
      <c r="H296" s="34">
        <v>720</v>
      </c>
      <c r="I296" s="34" t="s">
        <v>54</v>
      </c>
      <c r="J296" s="34" t="s">
        <v>3</v>
      </c>
      <c r="K296" s="35" t="s">
        <v>7</v>
      </c>
      <c r="L296" s="36" t="e">
        <f>VLOOKUP(G296,#REF!,4,0)</f>
        <v>#REF!</v>
      </c>
      <c r="M296" s="37" t="e">
        <f>_xlfn.IFNA(VLOOKUP(G296,#REF!,2,0),"")</f>
        <v>#REF!</v>
      </c>
      <c r="N296" s="38" t="e">
        <f>_xlfn.IFNA(VLOOKUP(G296,#REF!,3,0),"")</f>
        <v>#REF!</v>
      </c>
      <c r="O296" s="39">
        <v>24</v>
      </c>
      <c r="P296" s="79">
        <v>381.11067961165048</v>
      </c>
      <c r="Q296" s="39" t="s">
        <v>10</v>
      </c>
      <c r="R296" s="34">
        <v>4.2</v>
      </c>
      <c r="S296" s="38"/>
      <c r="T296" s="40">
        <v>34.782608695652172</v>
      </c>
      <c r="U296" s="41">
        <f t="shared" si="41"/>
        <v>1635.4474630645843</v>
      </c>
      <c r="V296" s="42">
        <f t="shared" si="37"/>
        <v>2.2714548098119227</v>
      </c>
      <c r="W296" s="43">
        <f t="shared" si="42"/>
        <v>0.33902310594207802</v>
      </c>
      <c r="X296" s="38"/>
      <c r="Y296" s="38"/>
      <c r="Z296" s="44" t="s">
        <v>96</v>
      </c>
      <c r="AA296" s="45">
        <v>46109</v>
      </c>
      <c r="AB296" s="45">
        <v>46131</v>
      </c>
      <c r="AC296" s="45"/>
      <c r="AD296" s="46" t="e">
        <f>IF(ISNA(VLOOKUP(D296,#REF!,5,0)),0,VLOOKUP(D296,#REF!,5,0))</f>
        <v>#REF!</v>
      </c>
      <c r="AE296" s="46" t="e">
        <f t="shared" si="40"/>
        <v>#REF!</v>
      </c>
      <c r="AF296" s="45">
        <v>46141</v>
      </c>
      <c r="AG296" s="33">
        <f t="shared" si="38"/>
        <v>32</v>
      </c>
      <c r="AH296" s="45">
        <v>46181</v>
      </c>
      <c r="AI296" s="39"/>
      <c r="AJ296" s="56">
        <f t="shared" si="39"/>
        <v>40</v>
      </c>
      <c r="AK296" s="39"/>
      <c r="AL296" s="35"/>
      <c r="AM296" s="34"/>
      <c r="AN296" s="34"/>
      <c r="AO296" s="39"/>
      <c r="AP296" s="47"/>
      <c r="AQ296" s="47"/>
      <c r="AR296" s="47"/>
      <c r="AS296" s="47"/>
    </row>
    <row r="297" spans="1:45" ht="12" customHeight="1" x14ac:dyDescent="0.25">
      <c r="A297" s="33">
        <v>296</v>
      </c>
      <c r="B297" s="34"/>
      <c r="C297" s="34" t="s">
        <v>517</v>
      </c>
      <c r="D297" s="35" t="s">
        <v>519</v>
      </c>
      <c r="E297" s="34" t="s">
        <v>260</v>
      </c>
      <c r="F297" s="34" t="s">
        <v>0</v>
      </c>
      <c r="G297" s="16" t="s">
        <v>437</v>
      </c>
      <c r="H297" s="34">
        <v>150</v>
      </c>
      <c r="I297" s="34" t="s">
        <v>54</v>
      </c>
      <c r="J297" s="34" t="s">
        <v>3</v>
      </c>
      <c r="K297" s="35" t="s">
        <v>7</v>
      </c>
      <c r="L297" s="36" t="e">
        <f>VLOOKUP(G297,#REF!,4,0)</f>
        <v>#REF!</v>
      </c>
      <c r="M297" s="37" t="e">
        <f>_xlfn.IFNA(VLOOKUP(G297,#REF!,2,0),"")</f>
        <v>#REF!</v>
      </c>
      <c r="N297" s="38" t="e">
        <f>_xlfn.IFNA(VLOOKUP(G297,#REF!,3,0),"")</f>
        <v>#REF!</v>
      </c>
      <c r="O297" s="39">
        <v>5</v>
      </c>
      <c r="P297" s="79">
        <v>79.400000000000006</v>
      </c>
      <c r="Q297" s="39" t="s">
        <v>10</v>
      </c>
      <c r="R297" s="34">
        <v>4.2</v>
      </c>
      <c r="S297" s="38"/>
      <c r="T297" s="40">
        <v>7.2463768115942031</v>
      </c>
      <c r="U297" s="41">
        <f t="shared" si="41"/>
        <v>340.72637681159421</v>
      </c>
      <c r="V297" s="42">
        <f t="shared" si="37"/>
        <v>2.2715091787439614</v>
      </c>
      <c r="W297" s="43">
        <f t="shared" si="42"/>
        <v>0.33903122070805392</v>
      </c>
      <c r="X297" s="38"/>
      <c r="Y297" s="38"/>
      <c r="Z297" s="44" t="s">
        <v>96</v>
      </c>
      <c r="AA297" s="45">
        <v>46109</v>
      </c>
      <c r="AB297" s="45">
        <v>46131</v>
      </c>
      <c r="AC297" s="45"/>
      <c r="AD297" s="46" t="e">
        <f>IF(ISNA(VLOOKUP(D297,#REF!,5,0)),0,VLOOKUP(D297,#REF!,5,0))</f>
        <v>#REF!</v>
      </c>
      <c r="AE297" s="46" t="e">
        <f t="shared" si="40"/>
        <v>#REF!</v>
      </c>
      <c r="AF297" s="45">
        <v>46148</v>
      </c>
      <c r="AG297" s="33">
        <f t="shared" si="38"/>
        <v>39</v>
      </c>
      <c r="AH297" s="45">
        <v>46157</v>
      </c>
      <c r="AI297" s="39"/>
      <c r="AJ297" s="56">
        <f t="shared" si="39"/>
        <v>9</v>
      </c>
      <c r="AK297" s="39"/>
      <c r="AL297" s="35"/>
      <c r="AM297" s="34"/>
      <c r="AN297" s="34"/>
      <c r="AO297" s="39"/>
      <c r="AP297" s="47"/>
      <c r="AQ297" s="47"/>
      <c r="AR297" s="47"/>
      <c r="AS297" s="47"/>
    </row>
    <row r="298" spans="1:45" ht="12" customHeight="1" x14ac:dyDescent="0.25">
      <c r="A298" s="33">
        <v>297</v>
      </c>
      <c r="B298" s="34"/>
      <c r="C298" s="34" t="s">
        <v>520</v>
      </c>
      <c r="D298" s="35" t="s">
        <v>521</v>
      </c>
      <c r="E298" s="34" t="s">
        <v>61</v>
      </c>
      <c r="F298" s="34" t="s">
        <v>0</v>
      </c>
      <c r="G298" s="16" t="s">
        <v>242</v>
      </c>
      <c r="H298" s="34">
        <v>800</v>
      </c>
      <c r="I298" s="34" t="s">
        <v>66</v>
      </c>
      <c r="J298" s="34" t="s">
        <v>261</v>
      </c>
      <c r="K298" s="35" t="s">
        <v>5</v>
      </c>
      <c r="L298" s="36" t="e">
        <f>VLOOKUP(G298,#REF!,4,0)</f>
        <v>#REF!</v>
      </c>
      <c r="M298" s="37" t="e">
        <f>_xlfn.IFNA(VLOOKUP(G298,#REF!,2,0),"")</f>
        <v>#REF!</v>
      </c>
      <c r="N298" s="38" t="e">
        <f>_xlfn.IFNA(VLOOKUP(G298,#REF!,3,0),"")</f>
        <v>#REF!</v>
      </c>
      <c r="O298" s="39">
        <v>20</v>
      </c>
      <c r="P298" s="79">
        <v>287.14</v>
      </c>
      <c r="Q298" s="39" t="s">
        <v>10</v>
      </c>
      <c r="R298" s="34">
        <v>4.9000000000000004</v>
      </c>
      <c r="S298" s="38">
        <v>200</v>
      </c>
      <c r="T298" s="40">
        <v>142.85714285714286</v>
      </c>
      <c r="U298" s="41">
        <f t="shared" si="41"/>
        <v>1549.843142857143</v>
      </c>
      <c r="V298" s="42">
        <f t="shared" si="37"/>
        <v>1.9373039285714286</v>
      </c>
      <c r="W298" s="43">
        <f t="shared" si="42"/>
        <v>0.28914984008528782</v>
      </c>
      <c r="X298" s="38"/>
      <c r="Y298" s="38"/>
      <c r="Z298" s="44" t="s">
        <v>96</v>
      </c>
      <c r="AA298" s="45">
        <v>46109</v>
      </c>
      <c r="AB298" s="45">
        <v>46124</v>
      </c>
      <c r="AC298" s="45"/>
      <c r="AD298" s="46" t="e">
        <f>IF(ISNA(VLOOKUP(D298,#REF!,5,0)),0,VLOOKUP(D298,#REF!,5,0))</f>
        <v>#REF!</v>
      </c>
      <c r="AE298" s="46" t="e">
        <f t="shared" si="40"/>
        <v>#REF!</v>
      </c>
      <c r="AF298" s="45">
        <v>46145</v>
      </c>
      <c r="AG298" s="33">
        <f t="shared" si="38"/>
        <v>36</v>
      </c>
      <c r="AH298" s="45">
        <v>46177</v>
      </c>
      <c r="AI298" s="39"/>
      <c r="AJ298" s="56">
        <f t="shared" si="39"/>
        <v>32</v>
      </c>
      <c r="AK298" s="39"/>
      <c r="AL298" s="35"/>
      <c r="AM298" s="34"/>
      <c r="AN298" s="34"/>
      <c r="AO298" s="39"/>
      <c r="AP298" s="47"/>
      <c r="AQ298" s="47"/>
      <c r="AR298" s="47"/>
      <c r="AS298" s="47"/>
    </row>
    <row r="299" spans="1:45" ht="12" customHeight="1" x14ac:dyDescent="0.25">
      <c r="A299" s="33">
        <v>298</v>
      </c>
      <c r="B299" s="34"/>
      <c r="C299" s="34" t="s">
        <v>520</v>
      </c>
      <c r="D299" s="35" t="s">
        <v>522</v>
      </c>
      <c r="E299" s="34" t="s">
        <v>61</v>
      </c>
      <c r="F299" s="34" t="s">
        <v>0</v>
      </c>
      <c r="G299" s="16" t="s">
        <v>282</v>
      </c>
      <c r="H299" s="34">
        <v>240</v>
      </c>
      <c r="I299" s="34" t="s">
        <v>66</v>
      </c>
      <c r="J299" s="34" t="s">
        <v>261</v>
      </c>
      <c r="K299" s="35" t="s">
        <v>5</v>
      </c>
      <c r="L299" s="36" t="e">
        <f>VLOOKUP(G299,#REF!,4,0)</f>
        <v>#REF!</v>
      </c>
      <c r="M299" s="37" t="e">
        <f>_xlfn.IFNA(VLOOKUP(G299,#REF!,2,0),"")</f>
        <v>#REF!</v>
      </c>
      <c r="N299" s="38" t="e">
        <f>_xlfn.IFNA(VLOOKUP(G299,#REF!,3,0),"")</f>
        <v>#REF!</v>
      </c>
      <c r="O299" s="39">
        <v>8</v>
      </c>
      <c r="P299" s="79">
        <v>114.86</v>
      </c>
      <c r="Q299" s="39" t="s">
        <v>10</v>
      </c>
      <c r="R299" s="34">
        <v>4.9000000000000004</v>
      </c>
      <c r="S299" s="48">
        <v>200</v>
      </c>
      <c r="T299" s="40">
        <v>57.142857142857146</v>
      </c>
      <c r="U299" s="41">
        <f t="shared" si="41"/>
        <v>619.95685714285719</v>
      </c>
      <c r="V299" s="42">
        <f t="shared" si="37"/>
        <v>2.5831535714285718</v>
      </c>
      <c r="W299" s="43">
        <f t="shared" si="42"/>
        <v>0.38554530916844354</v>
      </c>
      <c r="X299" s="38"/>
      <c r="Y299" s="38"/>
      <c r="Z299" s="44" t="s">
        <v>96</v>
      </c>
      <c r="AA299" s="45">
        <v>46109</v>
      </c>
      <c r="AB299" s="45">
        <v>46124</v>
      </c>
      <c r="AC299" s="45"/>
      <c r="AD299" s="46" t="e">
        <f>IF(ISNA(VLOOKUP(D299,#REF!,5,0)),0,VLOOKUP(D299,#REF!,5,0))</f>
        <v>#REF!</v>
      </c>
      <c r="AE299" s="46" t="e">
        <f t="shared" si="40"/>
        <v>#REF!</v>
      </c>
      <c r="AF299" s="45">
        <v>46145</v>
      </c>
      <c r="AG299" s="33">
        <f t="shared" si="38"/>
        <v>36</v>
      </c>
      <c r="AH299" s="45">
        <v>46178</v>
      </c>
      <c r="AI299" s="39"/>
      <c r="AJ299" s="56">
        <f t="shared" si="39"/>
        <v>33</v>
      </c>
      <c r="AK299" s="39"/>
      <c r="AL299" s="35"/>
      <c r="AM299" s="34"/>
      <c r="AN299" s="34"/>
      <c r="AO299" s="39"/>
      <c r="AP299" s="47"/>
      <c r="AQ299" s="47"/>
      <c r="AR299" s="47"/>
      <c r="AS299" s="47"/>
    </row>
    <row r="300" spans="1:45" ht="12" customHeight="1" x14ac:dyDescent="0.25">
      <c r="A300" s="33">
        <v>299</v>
      </c>
      <c r="B300" s="34"/>
      <c r="C300" s="34" t="s">
        <v>517</v>
      </c>
      <c r="D300" s="35" t="s">
        <v>523</v>
      </c>
      <c r="E300" s="34" t="s">
        <v>61</v>
      </c>
      <c r="F300" s="34" t="s">
        <v>0</v>
      </c>
      <c r="G300" s="16" t="s">
        <v>282</v>
      </c>
      <c r="H300" s="34">
        <v>360</v>
      </c>
      <c r="I300" s="34" t="s">
        <v>54</v>
      </c>
      <c r="J300" s="34" t="s">
        <v>3</v>
      </c>
      <c r="K300" s="35" t="s">
        <v>5</v>
      </c>
      <c r="L300" s="36" t="e">
        <f>VLOOKUP(G300,#REF!,4,0)</f>
        <v>#REF!</v>
      </c>
      <c r="M300" s="37" t="e">
        <f>_xlfn.IFNA(VLOOKUP(G300,#REF!,2,0),"")</f>
        <v>#REF!</v>
      </c>
      <c r="N300" s="38" t="e">
        <f>_xlfn.IFNA(VLOOKUP(G300,#REF!,3,0),"")</f>
        <v>#REF!</v>
      </c>
      <c r="O300" s="39">
        <v>12</v>
      </c>
      <c r="P300" s="79">
        <v>192.54545454545456</v>
      </c>
      <c r="Q300" s="39" t="s">
        <v>10</v>
      </c>
      <c r="R300" s="34">
        <v>4.3</v>
      </c>
      <c r="S300" s="38">
        <v>200</v>
      </c>
      <c r="T300" s="40">
        <v>17.391304347826086</v>
      </c>
      <c r="U300" s="41">
        <f t="shared" si="41"/>
        <v>845.33675889328072</v>
      </c>
      <c r="V300" s="42">
        <f t="shared" si="37"/>
        <v>2.3481576635924464</v>
      </c>
      <c r="W300" s="43">
        <f t="shared" si="42"/>
        <v>0.35047129307349945</v>
      </c>
      <c r="X300" s="38"/>
      <c r="Y300" s="38"/>
      <c r="Z300" s="44" t="s">
        <v>96</v>
      </c>
      <c r="AA300" s="45">
        <v>46109</v>
      </c>
      <c r="AB300" s="45">
        <v>46131</v>
      </c>
      <c r="AC300" s="45"/>
      <c r="AD300" s="46" t="e">
        <f>IF(ISNA(VLOOKUP(D300,#REF!,5,0)),0,VLOOKUP(D300,#REF!,5,0))</f>
        <v>#REF!</v>
      </c>
      <c r="AE300" s="46" t="e">
        <f t="shared" si="40"/>
        <v>#REF!</v>
      </c>
      <c r="AF300" s="45">
        <v>46145</v>
      </c>
      <c r="AG300" s="33">
        <f t="shared" si="38"/>
        <v>36</v>
      </c>
      <c r="AH300" s="45">
        <v>46180</v>
      </c>
      <c r="AI300" s="39"/>
      <c r="AJ300" s="56">
        <f t="shared" si="39"/>
        <v>35</v>
      </c>
      <c r="AK300" s="39"/>
      <c r="AL300" s="35"/>
      <c r="AM300" s="34"/>
      <c r="AN300" s="34"/>
      <c r="AO300" s="39"/>
      <c r="AP300" s="47"/>
      <c r="AQ300" s="47"/>
      <c r="AR300" s="47"/>
      <c r="AS300" s="47"/>
    </row>
    <row r="301" spans="1:45" ht="12" customHeight="1" x14ac:dyDescent="0.25">
      <c r="A301" s="33">
        <v>300</v>
      </c>
      <c r="B301" s="34"/>
      <c r="C301" s="34" t="s">
        <v>517</v>
      </c>
      <c r="D301" s="35" t="s">
        <v>523</v>
      </c>
      <c r="E301" s="34" t="s">
        <v>61</v>
      </c>
      <c r="F301" s="34" t="s">
        <v>0</v>
      </c>
      <c r="G301" s="16" t="s">
        <v>436</v>
      </c>
      <c r="H301" s="34">
        <v>300</v>
      </c>
      <c r="I301" s="34" t="s">
        <v>54</v>
      </c>
      <c r="J301" s="34" t="s">
        <v>3</v>
      </c>
      <c r="K301" s="35" t="s">
        <v>5</v>
      </c>
      <c r="L301" s="36" t="e">
        <f>VLOOKUP(G301,#REF!,4,0)</f>
        <v>#REF!</v>
      </c>
      <c r="M301" s="37" t="e">
        <f>_xlfn.IFNA(VLOOKUP(G301,#REF!,2,0),"")</f>
        <v>#REF!</v>
      </c>
      <c r="N301" s="38" t="e">
        <f>_xlfn.IFNA(VLOOKUP(G301,#REF!,3,0),"")</f>
        <v>#REF!</v>
      </c>
      <c r="O301" s="39">
        <v>10</v>
      </c>
      <c r="P301" s="79">
        <v>160.45454545454547</v>
      </c>
      <c r="Q301" s="39" t="s">
        <v>10</v>
      </c>
      <c r="R301" s="34">
        <v>4.3</v>
      </c>
      <c r="S301" s="48">
        <v>200</v>
      </c>
      <c r="T301" s="40">
        <v>14.492753623188406</v>
      </c>
      <c r="U301" s="41">
        <f t="shared" si="41"/>
        <v>704.44729907773387</v>
      </c>
      <c r="V301" s="42">
        <f t="shared" si="37"/>
        <v>2.3481576635924464</v>
      </c>
      <c r="W301" s="43">
        <f t="shared" si="42"/>
        <v>0.35047129307349945</v>
      </c>
      <c r="X301" s="38"/>
      <c r="Y301" s="38"/>
      <c r="Z301" s="44" t="s">
        <v>96</v>
      </c>
      <c r="AA301" s="45">
        <v>46109</v>
      </c>
      <c r="AB301" s="45">
        <v>46131</v>
      </c>
      <c r="AC301" s="45"/>
      <c r="AD301" s="46" t="e">
        <f>IF(ISNA(VLOOKUP(D301,#REF!,5,0)),0,VLOOKUP(D301,#REF!,5,0))</f>
        <v>#REF!</v>
      </c>
      <c r="AE301" s="46" t="e">
        <f t="shared" si="40"/>
        <v>#REF!</v>
      </c>
      <c r="AF301" s="45">
        <v>46145</v>
      </c>
      <c r="AG301" s="33">
        <f t="shared" si="38"/>
        <v>36</v>
      </c>
      <c r="AH301" s="45">
        <v>46180</v>
      </c>
      <c r="AI301" s="39"/>
      <c r="AJ301" s="56">
        <f t="shared" si="39"/>
        <v>35</v>
      </c>
      <c r="AK301" s="39"/>
      <c r="AL301" s="35"/>
      <c r="AM301" s="34"/>
      <c r="AN301" s="34"/>
      <c r="AO301" s="39"/>
      <c r="AP301" s="47"/>
      <c r="AQ301" s="47"/>
      <c r="AR301" s="47"/>
      <c r="AS301" s="47"/>
    </row>
    <row r="302" spans="1:45" ht="12" customHeight="1" x14ac:dyDescent="0.25">
      <c r="A302" s="33">
        <v>301</v>
      </c>
      <c r="B302" s="34"/>
      <c r="C302" s="34" t="s">
        <v>524</v>
      </c>
      <c r="D302" s="35" t="s">
        <v>525</v>
      </c>
      <c r="E302" s="34" t="s">
        <v>61</v>
      </c>
      <c r="F302" s="34" t="s">
        <v>0</v>
      </c>
      <c r="G302" s="16" t="s">
        <v>68</v>
      </c>
      <c r="H302" s="34">
        <v>180</v>
      </c>
      <c r="I302" s="34" t="s">
        <v>62</v>
      </c>
      <c r="J302" s="34" t="s">
        <v>3</v>
      </c>
      <c r="K302" s="35" t="s">
        <v>5</v>
      </c>
      <c r="L302" s="36" t="e">
        <f>VLOOKUP(G302,#REF!,4,0)</f>
        <v>#REF!</v>
      </c>
      <c r="M302" s="37" t="e">
        <f>_xlfn.IFNA(VLOOKUP(G302,#REF!,2,0),"")</f>
        <v>#REF!</v>
      </c>
      <c r="N302" s="38" t="e">
        <f>_xlfn.IFNA(VLOOKUP(G302,#REF!,3,0),"")</f>
        <v>#REF!</v>
      </c>
      <c r="O302" s="39">
        <v>6</v>
      </c>
      <c r="P302" s="79">
        <v>76.89473684210526</v>
      </c>
      <c r="Q302" s="39" t="s">
        <v>10</v>
      </c>
      <c r="R302" s="34">
        <v>4</v>
      </c>
      <c r="S302" s="38">
        <v>200</v>
      </c>
      <c r="T302" s="40">
        <v>12</v>
      </c>
      <c r="U302" s="41">
        <f t="shared" si="41"/>
        <v>319.57894736842104</v>
      </c>
      <c r="V302" s="42">
        <f t="shared" si="37"/>
        <v>1.775438596491228</v>
      </c>
      <c r="W302" s="43">
        <f t="shared" si="42"/>
        <v>0.26499083529719819</v>
      </c>
      <c r="X302" s="38"/>
      <c r="Y302" s="38"/>
      <c r="Z302" s="44" t="s">
        <v>96</v>
      </c>
      <c r="AA302" s="45">
        <v>46109</v>
      </c>
      <c r="AB302" s="45">
        <v>46130</v>
      </c>
      <c r="AC302" s="45"/>
      <c r="AD302" s="46" t="e">
        <f>IF(ISNA(VLOOKUP(D302,#REF!,5,0)),0,VLOOKUP(D302,#REF!,5,0))</f>
        <v>#REF!</v>
      </c>
      <c r="AE302" s="46" t="e">
        <f t="shared" si="40"/>
        <v>#REF!</v>
      </c>
      <c r="AF302" s="45">
        <v>46137</v>
      </c>
      <c r="AG302" s="33">
        <f t="shared" si="38"/>
        <v>28</v>
      </c>
      <c r="AH302" s="45">
        <v>46178</v>
      </c>
      <c r="AI302" s="39"/>
      <c r="AJ302" s="56">
        <f t="shared" si="39"/>
        <v>41</v>
      </c>
      <c r="AK302" s="39"/>
      <c r="AL302" s="35"/>
      <c r="AM302" s="34"/>
      <c r="AN302" s="34"/>
      <c r="AO302" s="39"/>
      <c r="AP302" s="47"/>
      <c r="AQ302" s="47"/>
      <c r="AR302" s="47"/>
      <c r="AS302" s="47"/>
    </row>
    <row r="303" spans="1:45" ht="12" customHeight="1" x14ac:dyDescent="0.25">
      <c r="A303" s="33">
        <v>302</v>
      </c>
      <c r="B303" s="34"/>
      <c r="C303" s="34" t="s">
        <v>524</v>
      </c>
      <c r="D303" s="35" t="s">
        <v>525</v>
      </c>
      <c r="E303" s="34" t="s">
        <v>61</v>
      </c>
      <c r="F303" s="34" t="s">
        <v>0</v>
      </c>
      <c r="G303" s="16" t="s">
        <v>69</v>
      </c>
      <c r="H303" s="34">
        <v>210</v>
      </c>
      <c r="I303" s="34" t="s">
        <v>62</v>
      </c>
      <c r="J303" s="34" t="s">
        <v>3</v>
      </c>
      <c r="K303" s="35" t="s">
        <v>5</v>
      </c>
      <c r="L303" s="36" t="e">
        <f>VLOOKUP(G303,#REF!,4,0)</f>
        <v>#REF!</v>
      </c>
      <c r="M303" s="37" t="e">
        <f>_xlfn.IFNA(VLOOKUP(G303,#REF!,2,0),"")</f>
        <v>#REF!</v>
      </c>
      <c r="N303" s="38" t="e">
        <f>_xlfn.IFNA(VLOOKUP(G303,#REF!,3,0),"")</f>
        <v>#REF!</v>
      </c>
      <c r="O303" s="39">
        <v>7</v>
      </c>
      <c r="P303" s="79">
        <v>89.71052631578948</v>
      </c>
      <c r="Q303" s="39" t="s">
        <v>10</v>
      </c>
      <c r="R303" s="34">
        <v>4</v>
      </c>
      <c r="S303" s="48">
        <v>200</v>
      </c>
      <c r="T303" s="40">
        <v>14</v>
      </c>
      <c r="U303" s="41">
        <f t="shared" si="41"/>
        <v>372.84210526315792</v>
      </c>
      <c r="V303" s="42">
        <f t="shared" si="37"/>
        <v>1.7754385964912283</v>
      </c>
      <c r="W303" s="43">
        <f t="shared" si="42"/>
        <v>0.26499083529719825</v>
      </c>
      <c r="X303" s="38"/>
      <c r="Y303" s="38"/>
      <c r="Z303" s="44" t="s">
        <v>96</v>
      </c>
      <c r="AA303" s="45">
        <v>46109</v>
      </c>
      <c r="AB303" s="45">
        <v>46130</v>
      </c>
      <c r="AC303" s="45"/>
      <c r="AD303" s="46" t="e">
        <f>IF(ISNA(VLOOKUP(D303,#REF!,5,0)),0,VLOOKUP(D303,#REF!,5,0))</f>
        <v>#REF!</v>
      </c>
      <c r="AE303" s="46" t="e">
        <f t="shared" si="40"/>
        <v>#REF!</v>
      </c>
      <c r="AF303" s="45">
        <v>46137</v>
      </c>
      <c r="AG303" s="33">
        <f t="shared" si="38"/>
        <v>28</v>
      </c>
      <c r="AH303" s="45">
        <v>46178</v>
      </c>
      <c r="AI303" s="39"/>
      <c r="AJ303" s="56">
        <f t="shared" si="39"/>
        <v>41</v>
      </c>
      <c r="AK303" s="39"/>
      <c r="AL303" s="35"/>
      <c r="AM303" s="34"/>
      <c r="AN303" s="34"/>
      <c r="AO303" s="39"/>
      <c r="AP303" s="47"/>
      <c r="AQ303" s="47"/>
      <c r="AR303" s="47"/>
      <c r="AS303" s="47"/>
    </row>
    <row r="304" spans="1:45" ht="12" customHeight="1" x14ac:dyDescent="0.25">
      <c r="A304" s="33">
        <v>303</v>
      </c>
      <c r="B304" s="34"/>
      <c r="C304" s="34" t="s">
        <v>524</v>
      </c>
      <c r="D304" s="35" t="s">
        <v>525</v>
      </c>
      <c r="E304" s="34" t="s">
        <v>61</v>
      </c>
      <c r="F304" s="34" t="s">
        <v>0</v>
      </c>
      <c r="G304" s="16" t="s">
        <v>242</v>
      </c>
      <c r="H304" s="34">
        <v>600</v>
      </c>
      <c r="I304" s="34" t="s">
        <v>62</v>
      </c>
      <c r="J304" s="34" t="s">
        <v>3</v>
      </c>
      <c r="K304" s="35" t="s">
        <v>5</v>
      </c>
      <c r="L304" s="36" t="e">
        <f>VLOOKUP(G304,#REF!,4,0)</f>
        <v>#REF!</v>
      </c>
      <c r="M304" s="37" t="e">
        <f>_xlfn.IFNA(VLOOKUP(G304,#REF!,2,0),"")</f>
        <v>#REF!</v>
      </c>
      <c r="N304" s="38" t="e">
        <f>_xlfn.IFNA(VLOOKUP(G304,#REF!,3,0),"")</f>
        <v>#REF!</v>
      </c>
      <c r="O304" s="39">
        <v>15</v>
      </c>
      <c r="P304" s="79">
        <v>192.23684210526315</v>
      </c>
      <c r="Q304" s="39" t="s">
        <v>10</v>
      </c>
      <c r="R304" s="34">
        <v>4</v>
      </c>
      <c r="S304" s="38"/>
      <c r="T304" s="40">
        <v>30</v>
      </c>
      <c r="U304" s="41">
        <f t="shared" si="41"/>
        <v>798.9473684210526</v>
      </c>
      <c r="V304" s="42">
        <f t="shared" si="37"/>
        <v>1.331578947368421</v>
      </c>
      <c r="W304" s="43">
        <f t="shared" si="42"/>
        <v>0.19874312647289866</v>
      </c>
      <c r="X304" s="38"/>
      <c r="Y304" s="38"/>
      <c r="Z304" s="44" t="s">
        <v>96</v>
      </c>
      <c r="AA304" s="45">
        <v>46109</v>
      </c>
      <c r="AB304" s="45">
        <v>46130</v>
      </c>
      <c r="AC304" s="45"/>
      <c r="AD304" s="46" t="e">
        <f>IF(ISNA(VLOOKUP(D304,#REF!,5,0)),0,VLOOKUP(D304,#REF!,5,0))</f>
        <v>#REF!</v>
      </c>
      <c r="AE304" s="46" t="e">
        <f t="shared" si="40"/>
        <v>#REF!</v>
      </c>
      <c r="AF304" s="45">
        <v>46137</v>
      </c>
      <c r="AG304" s="33">
        <f t="shared" si="38"/>
        <v>28</v>
      </c>
      <c r="AH304" s="45">
        <v>46178</v>
      </c>
      <c r="AI304" s="39"/>
      <c r="AJ304" s="56">
        <f t="shared" si="39"/>
        <v>41</v>
      </c>
      <c r="AK304" s="39"/>
      <c r="AL304" s="35"/>
      <c r="AM304" s="34"/>
      <c r="AN304" s="34"/>
      <c r="AO304" s="39"/>
      <c r="AP304" s="47"/>
      <c r="AQ304" s="47"/>
      <c r="AR304" s="47"/>
      <c r="AS304" s="47"/>
    </row>
    <row r="305" spans="1:45" ht="12" customHeight="1" x14ac:dyDescent="0.25">
      <c r="A305" s="33">
        <v>304</v>
      </c>
      <c r="B305" s="34"/>
      <c r="C305" s="34" t="s">
        <v>524</v>
      </c>
      <c r="D305" s="35" t="s">
        <v>525</v>
      </c>
      <c r="E305" s="34" t="s">
        <v>61</v>
      </c>
      <c r="F305" s="34" t="s">
        <v>0</v>
      </c>
      <c r="G305" s="16" t="s">
        <v>243</v>
      </c>
      <c r="H305" s="34">
        <v>400</v>
      </c>
      <c r="I305" s="34" t="s">
        <v>62</v>
      </c>
      <c r="J305" s="34" t="s">
        <v>3</v>
      </c>
      <c r="K305" s="35" t="s">
        <v>5</v>
      </c>
      <c r="L305" s="36" t="e">
        <f>VLOOKUP(G305,#REF!,4,0)</f>
        <v>#REF!</v>
      </c>
      <c r="M305" s="37" t="e">
        <f>_xlfn.IFNA(VLOOKUP(G305,#REF!,2,0),"")</f>
        <v>#REF!</v>
      </c>
      <c r="N305" s="38" t="e">
        <f>_xlfn.IFNA(VLOOKUP(G305,#REF!,3,0),"")</f>
        <v>#REF!</v>
      </c>
      <c r="O305" s="39">
        <v>10</v>
      </c>
      <c r="P305" s="79">
        <v>128.15789473684211</v>
      </c>
      <c r="Q305" s="39" t="s">
        <v>10</v>
      </c>
      <c r="R305" s="34">
        <v>4</v>
      </c>
      <c r="S305" s="38"/>
      <c r="T305" s="40">
        <v>20</v>
      </c>
      <c r="U305" s="41">
        <f t="shared" si="41"/>
        <v>532.63157894736844</v>
      </c>
      <c r="V305" s="42">
        <f t="shared" si="37"/>
        <v>1.3315789473684212</v>
      </c>
      <c r="W305" s="43">
        <f t="shared" si="42"/>
        <v>0.19874312647289868</v>
      </c>
      <c r="X305" s="38"/>
      <c r="Y305" s="38"/>
      <c r="Z305" s="44" t="s">
        <v>96</v>
      </c>
      <c r="AA305" s="45">
        <v>46109</v>
      </c>
      <c r="AB305" s="45">
        <v>46130</v>
      </c>
      <c r="AC305" s="45"/>
      <c r="AD305" s="46" t="e">
        <f>IF(ISNA(VLOOKUP(D305,#REF!,5,0)),0,VLOOKUP(D305,#REF!,5,0))</f>
        <v>#REF!</v>
      </c>
      <c r="AE305" s="46" t="e">
        <f t="shared" si="40"/>
        <v>#REF!</v>
      </c>
      <c r="AF305" s="45">
        <v>46137</v>
      </c>
      <c r="AG305" s="33">
        <f t="shared" si="38"/>
        <v>28</v>
      </c>
      <c r="AH305" s="45">
        <v>46178</v>
      </c>
      <c r="AI305" s="39"/>
      <c r="AJ305" s="56">
        <f t="shared" si="39"/>
        <v>41</v>
      </c>
      <c r="AK305" s="39"/>
      <c r="AL305" s="35"/>
      <c r="AM305" s="34"/>
      <c r="AN305" s="34"/>
      <c r="AO305" s="39"/>
      <c r="AP305" s="47"/>
      <c r="AQ305" s="47"/>
      <c r="AR305" s="47"/>
      <c r="AS305" s="47"/>
    </row>
    <row r="306" spans="1:45" ht="12" customHeight="1" x14ac:dyDescent="0.25">
      <c r="A306" s="33">
        <v>305</v>
      </c>
      <c r="B306" s="34"/>
      <c r="C306" s="34" t="s">
        <v>526</v>
      </c>
      <c r="D306" s="35" t="s">
        <v>527</v>
      </c>
      <c r="E306" s="34" t="s">
        <v>71</v>
      </c>
      <c r="F306" s="34" t="s">
        <v>72</v>
      </c>
      <c r="G306" s="16" t="s">
        <v>143</v>
      </c>
      <c r="H306" s="34">
        <v>80</v>
      </c>
      <c r="I306" s="34" t="s">
        <v>54</v>
      </c>
      <c r="J306" s="34" t="s">
        <v>255</v>
      </c>
      <c r="K306" s="35" t="s">
        <v>107</v>
      </c>
      <c r="L306" s="36" t="e">
        <f>VLOOKUP(G306,#REF!,4,0)</f>
        <v>#REF!</v>
      </c>
      <c r="M306" s="37" t="e">
        <f>_xlfn.IFNA(VLOOKUP(G306,#REF!,2,0),"")</f>
        <v>#REF!</v>
      </c>
      <c r="N306" s="38" t="e">
        <f>_xlfn.IFNA(VLOOKUP(G306,#REF!,3,0),"")</f>
        <v>#REF!</v>
      </c>
      <c r="O306" s="39">
        <v>2</v>
      </c>
      <c r="P306" s="79">
        <v>24.5</v>
      </c>
      <c r="Q306" s="39" t="s">
        <v>10</v>
      </c>
      <c r="R306" s="34">
        <v>4.5999999999999996</v>
      </c>
      <c r="S306" s="38">
        <v>550</v>
      </c>
      <c r="T306" s="40">
        <v>68.75</v>
      </c>
      <c r="U306" s="41">
        <f t="shared" si="41"/>
        <v>181.45</v>
      </c>
      <c r="V306" s="42">
        <f t="shared" si="37"/>
        <v>2.2681249999999999</v>
      </c>
      <c r="W306" s="43">
        <f t="shared" si="42"/>
        <v>0.33852611940298505</v>
      </c>
      <c r="X306" s="38">
        <v>635.94000000000005</v>
      </c>
      <c r="Y306" s="38">
        <v>79.492500000000007</v>
      </c>
      <c r="Z306" s="44" t="s">
        <v>96</v>
      </c>
      <c r="AA306" s="45">
        <v>46109</v>
      </c>
      <c r="AB306" s="45">
        <v>46153</v>
      </c>
      <c r="AC306" s="45"/>
      <c r="AD306" s="46" t="e">
        <f>IF(ISNA(VLOOKUP(D306,#REF!,5,0)),0,VLOOKUP(D306,#REF!,5,0))</f>
        <v>#REF!</v>
      </c>
      <c r="AE306" s="46" t="e">
        <f t="shared" si="40"/>
        <v>#REF!</v>
      </c>
      <c r="AF306" s="45">
        <v>46160</v>
      </c>
      <c r="AG306" s="33">
        <f t="shared" si="38"/>
        <v>51</v>
      </c>
      <c r="AH306" s="45">
        <v>46175</v>
      </c>
      <c r="AI306" s="39"/>
      <c r="AJ306" s="56">
        <f t="shared" si="39"/>
        <v>15</v>
      </c>
      <c r="AK306" s="39"/>
      <c r="AL306" s="35"/>
      <c r="AM306" s="34"/>
      <c r="AN306" s="34"/>
      <c r="AO306" s="39"/>
      <c r="AP306" s="47"/>
      <c r="AQ306" s="47"/>
      <c r="AR306" s="47"/>
      <c r="AS306" s="47"/>
    </row>
    <row r="307" spans="1:45" ht="12" customHeight="1" x14ac:dyDescent="0.25">
      <c r="A307" s="33">
        <v>306</v>
      </c>
      <c r="B307" s="34"/>
      <c r="C307" s="34" t="s">
        <v>526</v>
      </c>
      <c r="D307" s="35" t="s">
        <v>527</v>
      </c>
      <c r="E307" s="34" t="s">
        <v>71</v>
      </c>
      <c r="F307" s="34" t="s">
        <v>72</v>
      </c>
      <c r="G307" s="16" t="s">
        <v>68</v>
      </c>
      <c r="H307" s="34">
        <v>210</v>
      </c>
      <c r="I307" s="34" t="s">
        <v>54</v>
      </c>
      <c r="J307" s="34" t="s">
        <v>255</v>
      </c>
      <c r="K307" s="35" t="s">
        <v>107</v>
      </c>
      <c r="L307" s="36" t="e">
        <f>VLOOKUP(G307,#REF!,4,0)</f>
        <v>#REF!</v>
      </c>
      <c r="M307" s="37" t="e">
        <f>_xlfn.IFNA(VLOOKUP(G307,#REF!,2,0),"")</f>
        <v>#REF!</v>
      </c>
      <c r="N307" s="38" t="e">
        <f>_xlfn.IFNA(VLOOKUP(G307,#REF!,3,0),"")</f>
        <v>#REF!</v>
      </c>
      <c r="O307" s="39">
        <v>7</v>
      </c>
      <c r="P307" s="79">
        <v>85.75</v>
      </c>
      <c r="Q307" s="39" t="s">
        <v>10</v>
      </c>
      <c r="R307" s="34">
        <v>4.5999999999999996</v>
      </c>
      <c r="S307" s="48">
        <v>550</v>
      </c>
      <c r="T307" s="40">
        <v>240.625</v>
      </c>
      <c r="U307" s="41">
        <f t="shared" si="41"/>
        <v>635.07500000000005</v>
      </c>
      <c r="V307" s="42">
        <f t="shared" si="37"/>
        <v>3.0241666666666669</v>
      </c>
      <c r="W307" s="43">
        <f t="shared" si="42"/>
        <v>0.4513681592039801</v>
      </c>
      <c r="X307" s="38"/>
      <c r="Y307" s="38">
        <v>278.22375</v>
      </c>
      <c r="Z307" s="44" t="s">
        <v>96</v>
      </c>
      <c r="AA307" s="45">
        <v>46109</v>
      </c>
      <c r="AB307" s="45">
        <v>46153</v>
      </c>
      <c r="AC307" s="45"/>
      <c r="AD307" s="46" t="e">
        <f>IF(ISNA(VLOOKUP(D307,#REF!,5,0)),0,VLOOKUP(D307,#REF!,5,0))</f>
        <v>#REF!</v>
      </c>
      <c r="AE307" s="46" t="e">
        <f t="shared" si="40"/>
        <v>#REF!</v>
      </c>
      <c r="AF307" s="45">
        <v>46160</v>
      </c>
      <c r="AG307" s="33">
        <f t="shared" si="38"/>
        <v>51</v>
      </c>
      <c r="AH307" s="45">
        <v>46175</v>
      </c>
      <c r="AI307" s="39"/>
      <c r="AJ307" s="56">
        <f t="shared" si="39"/>
        <v>15</v>
      </c>
      <c r="AK307" s="39"/>
      <c r="AL307" s="35"/>
      <c r="AM307" s="34"/>
      <c r="AN307" s="34"/>
      <c r="AO307" s="39"/>
      <c r="AP307" s="47"/>
      <c r="AQ307" s="47"/>
      <c r="AR307" s="47"/>
      <c r="AS307" s="47"/>
    </row>
    <row r="308" spans="1:45" ht="12" customHeight="1" x14ac:dyDescent="0.25">
      <c r="A308" s="33">
        <v>307</v>
      </c>
      <c r="B308" s="34"/>
      <c r="C308" s="34" t="s">
        <v>526</v>
      </c>
      <c r="D308" s="35" t="s">
        <v>527</v>
      </c>
      <c r="E308" s="34" t="s">
        <v>71</v>
      </c>
      <c r="F308" s="34" t="s">
        <v>72</v>
      </c>
      <c r="G308" s="16" t="s">
        <v>69</v>
      </c>
      <c r="H308" s="34">
        <v>90</v>
      </c>
      <c r="I308" s="34" t="s">
        <v>54</v>
      </c>
      <c r="J308" s="34" t="s">
        <v>255</v>
      </c>
      <c r="K308" s="35" t="s">
        <v>107</v>
      </c>
      <c r="L308" s="36" t="e">
        <f>VLOOKUP(G308,#REF!,4,0)</f>
        <v>#REF!</v>
      </c>
      <c r="M308" s="37" t="e">
        <f>_xlfn.IFNA(VLOOKUP(G308,#REF!,2,0),"")</f>
        <v>#REF!</v>
      </c>
      <c r="N308" s="38" t="e">
        <f>_xlfn.IFNA(VLOOKUP(G308,#REF!,3,0),"")</f>
        <v>#REF!</v>
      </c>
      <c r="O308" s="39">
        <v>3</v>
      </c>
      <c r="P308" s="79">
        <v>36.75</v>
      </c>
      <c r="Q308" s="39" t="s">
        <v>10</v>
      </c>
      <c r="R308" s="34">
        <v>4.5999999999999996</v>
      </c>
      <c r="S308" s="38"/>
      <c r="T308" s="40">
        <v>103.125</v>
      </c>
      <c r="U308" s="41">
        <f t="shared" si="41"/>
        <v>272.17499999999995</v>
      </c>
      <c r="V308" s="42">
        <f t="shared" si="37"/>
        <v>3.024166666666666</v>
      </c>
      <c r="W308" s="43">
        <f t="shared" si="42"/>
        <v>0.45136815920397999</v>
      </c>
      <c r="X308" s="38"/>
      <c r="Y308" s="38">
        <v>119.23875000000001</v>
      </c>
      <c r="Z308" s="44" t="s">
        <v>96</v>
      </c>
      <c r="AA308" s="45">
        <v>46109</v>
      </c>
      <c r="AB308" s="45">
        <v>46153</v>
      </c>
      <c r="AC308" s="45"/>
      <c r="AD308" s="46" t="e">
        <f>IF(ISNA(VLOOKUP(D308,#REF!,5,0)),0,VLOOKUP(D308,#REF!,5,0))</f>
        <v>#REF!</v>
      </c>
      <c r="AE308" s="46" t="e">
        <f t="shared" si="40"/>
        <v>#REF!</v>
      </c>
      <c r="AF308" s="45">
        <v>46160</v>
      </c>
      <c r="AG308" s="33">
        <f t="shared" si="38"/>
        <v>51</v>
      </c>
      <c r="AH308" s="45">
        <v>46175</v>
      </c>
      <c r="AI308" s="39"/>
      <c r="AJ308" s="56">
        <f t="shared" si="39"/>
        <v>15</v>
      </c>
      <c r="AK308" s="39"/>
      <c r="AL308" s="35"/>
      <c r="AM308" s="34"/>
      <c r="AN308" s="34"/>
      <c r="AO308" s="39"/>
      <c r="AP308" s="47"/>
      <c r="AQ308" s="47"/>
      <c r="AR308" s="47"/>
      <c r="AS308" s="47"/>
    </row>
    <row r="309" spans="1:45" ht="12" customHeight="1" x14ac:dyDescent="0.25">
      <c r="A309" s="33">
        <v>308</v>
      </c>
      <c r="B309" s="34"/>
      <c r="C309" s="34" t="s">
        <v>526</v>
      </c>
      <c r="D309" s="35" t="s">
        <v>527</v>
      </c>
      <c r="E309" s="34" t="s">
        <v>71</v>
      </c>
      <c r="F309" s="34" t="s">
        <v>72</v>
      </c>
      <c r="G309" s="16" t="s">
        <v>119</v>
      </c>
      <c r="H309" s="34">
        <v>60</v>
      </c>
      <c r="I309" s="34" t="s">
        <v>54</v>
      </c>
      <c r="J309" s="34" t="s">
        <v>255</v>
      </c>
      <c r="K309" s="35" t="s">
        <v>107</v>
      </c>
      <c r="L309" s="36" t="e">
        <f>VLOOKUP(G309,#REF!,4,0)</f>
        <v>#REF!</v>
      </c>
      <c r="M309" s="37" t="e">
        <f>_xlfn.IFNA(VLOOKUP(G309,#REF!,2,0),"")</f>
        <v>#REF!</v>
      </c>
      <c r="N309" s="38" t="e">
        <f>_xlfn.IFNA(VLOOKUP(G309,#REF!,3,0),"")</f>
        <v>#REF!</v>
      </c>
      <c r="O309" s="39">
        <v>2</v>
      </c>
      <c r="P309" s="79">
        <v>24.5</v>
      </c>
      <c r="Q309" s="39" t="s">
        <v>10</v>
      </c>
      <c r="R309" s="34">
        <v>4.5999999999999996</v>
      </c>
      <c r="S309" s="38"/>
      <c r="T309" s="40">
        <v>68.75</v>
      </c>
      <c r="U309" s="41">
        <f t="shared" si="41"/>
        <v>181.45</v>
      </c>
      <c r="V309" s="42">
        <f t="shared" si="37"/>
        <v>3.0241666666666664</v>
      </c>
      <c r="W309" s="43">
        <f t="shared" si="42"/>
        <v>0.45136815920398005</v>
      </c>
      <c r="X309" s="38"/>
      <c r="Y309" s="38">
        <v>79.492500000000007</v>
      </c>
      <c r="Z309" s="44" t="s">
        <v>96</v>
      </c>
      <c r="AA309" s="45">
        <v>46109</v>
      </c>
      <c r="AB309" s="45">
        <v>46153</v>
      </c>
      <c r="AC309" s="45"/>
      <c r="AD309" s="46" t="e">
        <f>IF(ISNA(VLOOKUP(D309,#REF!,5,0)),0,VLOOKUP(D309,#REF!,5,0))</f>
        <v>#REF!</v>
      </c>
      <c r="AE309" s="46" t="e">
        <f t="shared" si="40"/>
        <v>#REF!</v>
      </c>
      <c r="AF309" s="45">
        <v>46160</v>
      </c>
      <c r="AG309" s="33">
        <f t="shared" si="38"/>
        <v>51</v>
      </c>
      <c r="AH309" s="45">
        <v>46175</v>
      </c>
      <c r="AI309" s="39"/>
      <c r="AJ309" s="56">
        <f t="shared" si="39"/>
        <v>15</v>
      </c>
      <c r="AK309" s="39"/>
      <c r="AL309" s="35"/>
      <c r="AM309" s="34"/>
      <c r="AN309" s="34"/>
      <c r="AO309" s="39"/>
      <c r="AP309" s="47"/>
      <c r="AQ309" s="47"/>
      <c r="AR309" s="47"/>
      <c r="AS309" s="47"/>
    </row>
    <row r="310" spans="1:45" ht="12" customHeight="1" x14ac:dyDescent="0.25">
      <c r="A310" s="33">
        <v>309</v>
      </c>
      <c r="B310" s="34"/>
      <c r="C310" s="34" t="s">
        <v>526</v>
      </c>
      <c r="D310" s="35" t="s">
        <v>527</v>
      </c>
      <c r="E310" s="34" t="s">
        <v>71</v>
      </c>
      <c r="F310" s="34" t="s">
        <v>72</v>
      </c>
      <c r="G310" s="16" t="s">
        <v>112</v>
      </c>
      <c r="H310" s="34">
        <v>60</v>
      </c>
      <c r="I310" s="34" t="s">
        <v>54</v>
      </c>
      <c r="J310" s="34" t="s">
        <v>255</v>
      </c>
      <c r="K310" s="35" t="s">
        <v>107</v>
      </c>
      <c r="L310" s="36" t="e">
        <f>VLOOKUP(G310,#REF!,4,0)</f>
        <v>#REF!</v>
      </c>
      <c r="M310" s="37" t="e">
        <f>_xlfn.IFNA(VLOOKUP(G310,#REF!,2,0),"")</f>
        <v>#REF!</v>
      </c>
      <c r="N310" s="38" t="e">
        <f>_xlfn.IFNA(VLOOKUP(G310,#REF!,3,0),"")</f>
        <v>#REF!</v>
      </c>
      <c r="O310" s="39">
        <v>2</v>
      </c>
      <c r="P310" s="79">
        <v>24.5</v>
      </c>
      <c r="Q310" s="39" t="s">
        <v>10</v>
      </c>
      <c r="R310" s="34">
        <v>4.5999999999999996</v>
      </c>
      <c r="S310" s="38"/>
      <c r="T310" s="40">
        <v>68.75</v>
      </c>
      <c r="U310" s="41">
        <f t="shared" si="41"/>
        <v>181.45</v>
      </c>
      <c r="V310" s="42">
        <f t="shared" si="37"/>
        <v>3.0241666666666664</v>
      </c>
      <c r="W310" s="43">
        <f t="shared" si="42"/>
        <v>0.45136815920398005</v>
      </c>
      <c r="X310" s="38"/>
      <c r="Y310" s="38">
        <v>79.492500000000007</v>
      </c>
      <c r="Z310" s="44" t="s">
        <v>96</v>
      </c>
      <c r="AA310" s="45">
        <v>46109</v>
      </c>
      <c r="AB310" s="45">
        <v>46153</v>
      </c>
      <c r="AC310" s="45"/>
      <c r="AD310" s="46" t="e">
        <f>IF(ISNA(VLOOKUP(D310,#REF!,5,0)),0,VLOOKUP(D310,#REF!,5,0))</f>
        <v>#REF!</v>
      </c>
      <c r="AE310" s="46" t="e">
        <f t="shared" si="40"/>
        <v>#REF!</v>
      </c>
      <c r="AF310" s="45">
        <v>46160</v>
      </c>
      <c r="AG310" s="33">
        <f t="shared" si="38"/>
        <v>51</v>
      </c>
      <c r="AH310" s="45">
        <v>46175</v>
      </c>
      <c r="AI310" s="39"/>
      <c r="AJ310" s="56">
        <f t="shared" si="39"/>
        <v>15</v>
      </c>
      <c r="AK310" s="39"/>
      <c r="AL310" s="35"/>
      <c r="AM310" s="34"/>
      <c r="AN310" s="34"/>
      <c r="AO310" s="39"/>
      <c r="AP310" s="47"/>
      <c r="AQ310" s="47"/>
      <c r="AR310" s="47"/>
      <c r="AS310" s="47"/>
    </row>
    <row r="311" spans="1:45" ht="12" customHeight="1" x14ac:dyDescent="0.25">
      <c r="A311" s="33">
        <v>310</v>
      </c>
      <c r="B311" s="34"/>
      <c r="C311" s="34" t="s">
        <v>528</v>
      </c>
      <c r="D311" s="35" t="s">
        <v>529</v>
      </c>
      <c r="E311" s="34" t="s">
        <v>194</v>
      </c>
      <c r="F311" s="34" t="s">
        <v>195</v>
      </c>
      <c r="G311" s="16" t="s">
        <v>514</v>
      </c>
      <c r="H311" s="34">
        <v>150</v>
      </c>
      <c r="I311" s="34" t="s">
        <v>66</v>
      </c>
      <c r="J311" s="34" t="s">
        <v>234</v>
      </c>
      <c r="K311" s="35" t="s">
        <v>454</v>
      </c>
      <c r="L311" s="36" t="e">
        <f>VLOOKUP(G311,#REF!,4,0)</f>
        <v>#REF!</v>
      </c>
      <c r="M311" s="37" t="e">
        <f>_xlfn.IFNA(VLOOKUP(G311,#REF!,2,0),"")</f>
        <v>#REF!</v>
      </c>
      <c r="N311" s="38" t="e">
        <f>_xlfn.IFNA(VLOOKUP(G311,#REF!,3,0),"")</f>
        <v>#REF!</v>
      </c>
      <c r="O311" s="39">
        <v>5</v>
      </c>
      <c r="P311" s="79">
        <v>79.5</v>
      </c>
      <c r="Q311" s="39" t="s">
        <v>10</v>
      </c>
      <c r="R311" s="34">
        <v>9.6</v>
      </c>
      <c r="S311" s="38">
        <v>250</v>
      </c>
      <c r="T311" s="40">
        <v>125</v>
      </c>
      <c r="U311" s="41">
        <f t="shared" si="41"/>
        <v>888.19999999999993</v>
      </c>
      <c r="V311" s="42">
        <f t="shared" si="37"/>
        <v>5.9213333333333331</v>
      </c>
      <c r="W311" s="43">
        <f t="shared" si="42"/>
        <v>0.88378109452736309</v>
      </c>
      <c r="X311" s="38"/>
      <c r="Y311" s="38"/>
      <c r="Z311" s="44"/>
      <c r="AA311" s="45">
        <v>46107</v>
      </c>
      <c r="AB311" s="45">
        <v>46151</v>
      </c>
      <c r="AC311" s="45"/>
      <c r="AD311" s="46" t="e">
        <f>IF(ISNA(VLOOKUP(D311,#REF!,5,0)),0,VLOOKUP(D311,#REF!,5,0))</f>
        <v>#REF!</v>
      </c>
      <c r="AE311" s="46" t="e">
        <f t="shared" si="40"/>
        <v>#REF!</v>
      </c>
      <c r="AF311" s="45">
        <v>46176</v>
      </c>
      <c r="AG311" s="76">
        <f t="shared" si="38"/>
        <v>69</v>
      </c>
      <c r="AH311" s="45"/>
      <c r="AI311" s="39"/>
      <c r="AJ311" s="56">
        <f t="shared" si="39"/>
        <v>-46176</v>
      </c>
      <c r="AK311" s="39"/>
      <c r="AL311" s="35"/>
      <c r="AM311" s="34"/>
      <c r="AN311" s="34"/>
      <c r="AO311" s="39"/>
      <c r="AP311" s="47"/>
      <c r="AQ311" s="47"/>
      <c r="AR311" s="47"/>
      <c r="AS311" s="47"/>
    </row>
    <row r="312" spans="1:45" ht="12" customHeight="1" x14ac:dyDescent="0.25">
      <c r="A312" s="33">
        <v>311</v>
      </c>
      <c r="B312" s="34"/>
      <c r="C312" s="34" t="s">
        <v>528</v>
      </c>
      <c r="D312" s="35" t="s">
        <v>529</v>
      </c>
      <c r="E312" s="34" t="s">
        <v>194</v>
      </c>
      <c r="F312" s="34" t="s">
        <v>195</v>
      </c>
      <c r="G312" s="16" t="s">
        <v>486</v>
      </c>
      <c r="H312" s="34">
        <v>90</v>
      </c>
      <c r="I312" s="34" t="s">
        <v>66</v>
      </c>
      <c r="J312" s="34" t="s">
        <v>234</v>
      </c>
      <c r="K312" s="35" t="s">
        <v>454</v>
      </c>
      <c r="L312" s="36" t="e">
        <f>VLOOKUP(G312,#REF!,4,0)</f>
        <v>#REF!</v>
      </c>
      <c r="M312" s="37" t="e">
        <f>_xlfn.IFNA(VLOOKUP(G312,#REF!,2,0),"")</f>
        <v>#REF!</v>
      </c>
      <c r="N312" s="38" t="e">
        <f>_xlfn.IFNA(VLOOKUP(G312,#REF!,3,0),"")</f>
        <v>#REF!</v>
      </c>
      <c r="O312" s="39">
        <v>3</v>
      </c>
      <c r="P312" s="79">
        <v>47.7</v>
      </c>
      <c r="Q312" s="39" t="s">
        <v>10</v>
      </c>
      <c r="R312" s="34">
        <v>9.6</v>
      </c>
      <c r="S312" s="48">
        <v>250</v>
      </c>
      <c r="T312" s="40">
        <v>75</v>
      </c>
      <c r="U312" s="41">
        <f t="shared" si="41"/>
        <v>532.92000000000007</v>
      </c>
      <c r="V312" s="42">
        <f t="shared" si="37"/>
        <v>5.921333333333334</v>
      </c>
      <c r="W312" s="43">
        <f t="shared" si="42"/>
        <v>0.88378109452736331</v>
      </c>
      <c r="X312" s="38"/>
      <c r="Y312" s="38"/>
      <c r="Z312" s="44"/>
      <c r="AA312" s="45">
        <v>46107</v>
      </c>
      <c r="AB312" s="45">
        <v>46151</v>
      </c>
      <c r="AC312" s="45"/>
      <c r="AD312" s="46" t="e">
        <f>IF(ISNA(VLOOKUP(D312,#REF!,5,0)),0,VLOOKUP(D312,#REF!,5,0))</f>
        <v>#REF!</v>
      </c>
      <c r="AE312" s="46" t="e">
        <f t="shared" si="40"/>
        <v>#REF!</v>
      </c>
      <c r="AF312" s="45">
        <v>46176</v>
      </c>
      <c r="AG312" s="76">
        <f t="shared" si="38"/>
        <v>69</v>
      </c>
      <c r="AH312" s="45"/>
      <c r="AI312" s="39"/>
      <c r="AJ312" s="56">
        <f t="shared" si="39"/>
        <v>-46176</v>
      </c>
      <c r="AK312" s="39"/>
      <c r="AL312" s="35"/>
      <c r="AM312" s="34"/>
      <c r="AN312" s="34"/>
      <c r="AO312" s="39"/>
      <c r="AP312" s="47"/>
      <c r="AQ312" s="47"/>
      <c r="AR312" s="47"/>
      <c r="AS312" s="47"/>
    </row>
    <row r="313" spans="1:45" ht="12" customHeight="1" x14ac:dyDescent="0.25">
      <c r="A313" s="33">
        <v>312</v>
      </c>
      <c r="B313" s="34"/>
      <c r="C313" s="34" t="s">
        <v>517</v>
      </c>
      <c r="D313" s="35" t="s">
        <v>530</v>
      </c>
      <c r="E313" s="34" t="s">
        <v>260</v>
      </c>
      <c r="F313" s="34" t="s">
        <v>0</v>
      </c>
      <c r="G313" s="16" t="s">
        <v>279</v>
      </c>
      <c r="H313" s="34">
        <v>160</v>
      </c>
      <c r="I313" s="34" t="s">
        <v>54</v>
      </c>
      <c r="J313" s="34" t="s">
        <v>3</v>
      </c>
      <c r="K313" s="35" t="s">
        <v>9</v>
      </c>
      <c r="L313" s="36" t="e">
        <f>VLOOKUP(G313,#REF!,4,0)</f>
        <v>#REF!</v>
      </c>
      <c r="M313" s="37" t="e">
        <f>_xlfn.IFNA(VLOOKUP(G313,#REF!,2,0),"")</f>
        <v>#REF!</v>
      </c>
      <c r="N313" s="38" t="e">
        <f>_xlfn.IFNA(VLOOKUP(G313,#REF!,3,0),"")</f>
        <v>#REF!</v>
      </c>
      <c r="O313" s="39">
        <v>8</v>
      </c>
      <c r="P313" s="79">
        <v>104</v>
      </c>
      <c r="Q313" s="39" t="s">
        <v>10</v>
      </c>
      <c r="R313" s="34">
        <v>4.0999999999999996</v>
      </c>
      <c r="S313" s="48">
        <v>200</v>
      </c>
      <c r="T313" s="40">
        <v>11.594202898550725</v>
      </c>
      <c r="U313" s="41">
        <f t="shared" si="41"/>
        <v>437.99420289855072</v>
      </c>
      <c r="V313" s="42">
        <f t="shared" si="37"/>
        <v>2.7374637681159419</v>
      </c>
      <c r="W313" s="43">
        <f t="shared" si="42"/>
        <v>0.40857668180834955</v>
      </c>
      <c r="X313" s="38"/>
      <c r="Y313" s="38"/>
      <c r="Z313" s="44"/>
      <c r="AA313" s="45">
        <v>46109</v>
      </c>
      <c r="AB313" s="45">
        <v>46131</v>
      </c>
      <c r="AC313" s="45"/>
      <c r="AD313" s="46" t="e">
        <f>IF(ISNA(VLOOKUP(D313,#REF!,5,0)),0,VLOOKUP(D313,#REF!,5,0))</f>
        <v>#REF!</v>
      </c>
      <c r="AE313" s="46" t="e">
        <f t="shared" si="40"/>
        <v>#REF!</v>
      </c>
      <c r="AF313" s="45">
        <v>46144</v>
      </c>
      <c r="AG313" s="33">
        <f t="shared" si="38"/>
        <v>35</v>
      </c>
      <c r="AH313" s="45">
        <v>46168</v>
      </c>
      <c r="AI313" s="39"/>
      <c r="AJ313" s="56">
        <f t="shared" si="39"/>
        <v>24</v>
      </c>
      <c r="AK313" s="39"/>
      <c r="AL313" s="35"/>
      <c r="AM313" s="34"/>
      <c r="AN313" s="34"/>
      <c r="AO313" s="39"/>
      <c r="AP313" s="47"/>
      <c r="AQ313" s="47"/>
      <c r="AR313" s="47"/>
      <c r="AS313" s="47"/>
    </row>
    <row r="314" spans="1:45" ht="12" customHeight="1" x14ac:dyDescent="0.25">
      <c r="A314" s="33">
        <v>313</v>
      </c>
      <c r="B314" s="34"/>
      <c r="C314" s="34" t="s">
        <v>136</v>
      </c>
      <c r="D314" s="35" t="s">
        <v>531</v>
      </c>
      <c r="E314" s="34" t="s">
        <v>172</v>
      </c>
      <c r="F314" s="34" t="s">
        <v>0</v>
      </c>
      <c r="G314" s="16" t="s">
        <v>81</v>
      </c>
      <c r="H314" s="34">
        <v>192</v>
      </c>
      <c r="I314" s="34" t="s">
        <v>62</v>
      </c>
      <c r="J314" s="34" t="s">
        <v>3</v>
      </c>
      <c r="K314" s="35" t="s">
        <v>7</v>
      </c>
      <c r="L314" s="36" t="e">
        <f>VLOOKUP(G314,#REF!,4,0)</f>
        <v>#REF!</v>
      </c>
      <c r="M314" s="37" t="e">
        <f>_xlfn.IFNA(VLOOKUP(G314,#REF!,2,0),"")</f>
        <v>#REF!</v>
      </c>
      <c r="N314" s="38" t="e">
        <f>_xlfn.IFNA(VLOOKUP(G314,#REF!,3,0),"")</f>
        <v>#REF!</v>
      </c>
      <c r="O314" s="39">
        <v>12</v>
      </c>
      <c r="P314" s="79">
        <v>175.99924528301887</v>
      </c>
      <c r="Q314" s="39" t="s">
        <v>10</v>
      </c>
      <c r="R314" s="34">
        <v>3.9</v>
      </c>
      <c r="S314" s="38">
        <v>200</v>
      </c>
      <c r="T314" s="40">
        <v>38.095238095238095</v>
      </c>
      <c r="U314" s="41">
        <f t="shared" si="41"/>
        <v>724.49229469901161</v>
      </c>
      <c r="V314" s="42">
        <f t="shared" si="37"/>
        <v>3.7733973682240189</v>
      </c>
      <c r="W314" s="43">
        <f t="shared" si="42"/>
        <v>0.56319363704836101</v>
      </c>
      <c r="X314" s="38"/>
      <c r="Y314" s="38"/>
      <c r="Z314" s="44"/>
      <c r="AA314" s="45">
        <v>46108</v>
      </c>
      <c r="AB314" s="45">
        <v>46125</v>
      </c>
      <c r="AC314" s="45"/>
      <c r="AD314" s="46" t="e">
        <f>IF(ISNA(VLOOKUP(D314,#REF!,5,0)),0,VLOOKUP(D314,#REF!,5,0))</f>
        <v>#REF!</v>
      </c>
      <c r="AE314" s="46" t="e">
        <f t="shared" si="40"/>
        <v>#REF!</v>
      </c>
      <c r="AF314" s="45">
        <v>46138</v>
      </c>
      <c r="AG314" s="33">
        <f t="shared" si="38"/>
        <v>30</v>
      </c>
      <c r="AH314" s="45">
        <v>46168</v>
      </c>
      <c r="AI314" s="39"/>
      <c r="AJ314" s="56">
        <f t="shared" si="39"/>
        <v>30</v>
      </c>
      <c r="AK314" s="39"/>
      <c r="AL314" s="35"/>
      <c r="AM314" s="34"/>
      <c r="AN314" s="34"/>
      <c r="AO314" s="39"/>
      <c r="AP314" s="47"/>
      <c r="AQ314" s="47"/>
      <c r="AR314" s="47"/>
      <c r="AS314" s="47"/>
    </row>
    <row r="315" spans="1:45" ht="12" customHeight="1" x14ac:dyDescent="0.25">
      <c r="A315" s="33">
        <v>314</v>
      </c>
      <c r="B315" s="34"/>
      <c r="C315" s="34" t="s">
        <v>136</v>
      </c>
      <c r="D315" s="35" t="s">
        <v>531</v>
      </c>
      <c r="E315" s="34" t="s">
        <v>172</v>
      </c>
      <c r="F315" s="34" t="s">
        <v>0</v>
      </c>
      <c r="G315" s="16" t="s">
        <v>79</v>
      </c>
      <c r="H315" s="34">
        <v>64</v>
      </c>
      <c r="I315" s="34" t="s">
        <v>62</v>
      </c>
      <c r="J315" s="34" t="s">
        <v>3</v>
      </c>
      <c r="K315" s="35" t="s">
        <v>7</v>
      </c>
      <c r="L315" s="36" t="e">
        <f>VLOOKUP(G315,#REF!,4,0)</f>
        <v>#REF!</v>
      </c>
      <c r="M315" s="37" t="e">
        <f>_xlfn.IFNA(VLOOKUP(G315,#REF!,2,0),"")</f>
        <v>#REF!</v>
      </c>
      <c r="N315" s="38" t="e">
        <f>_xlfn.IFNA(VLOOKUP(G315,#REF!,3,0),"")</f>
        <v>#REF!</v>
      </c>
      <c r="O315" s="39">
        <v>4</v>
      </c>
      <c r="P315" s="79">
        <v>58.666415094339627</v>
      </c>
      <c r="Q315" s="39" t="s">
        <v>10</v>
      </c>
      <c r="R315" s="34">
        <v>3.9</v>
      </c>
      <c r="S315" s="48">
        <v>200</v>
      </c>
      <c r="T315" s="40">
        <v>12.698412698412698</v>
      </c>
      <c r="U315" s="41">
        <f t="shared" si="41"/>
        <v>241.49743156633724</v>
      </c>
      <c r="V315" s="42">
        <f t="shared" si="37"/>
        <v>3.7733973682240194</v>
      </c>
      <c r="W315" s="43">
        <f t="shared" si="42"/>
        <v>0.56319363704836112</v>
      </c>
      <c r="X315" s="38"/>
      <c r="Y315" s="38"/>
      <c r="Z315" s="44"/>
      <c r="AA315" s="45">
        <v>46108</v>
      </c>
      <c r="AB315" s="45">
        <v>46125</v>
      </c>
      <c r="AC315" s="45"/>
      <c r="AD315" s="46" t="e">
        <f>IF(ISNA(VLOOKUP(D315,#REF!,5,0)),0,VLOOKUP(D315,#REF!,5,0))</f>
        <v>#REF!</v>
      </c>
      <c r="AE315" s="46" t="e">
        <f t="shared" si="40"/>
        <v>#REF!</v>
      </c>
      <c r="AF315" s="45">
        <v>46138</v>
      </c>
      <c r="AG315" s="33">
        <f t="shared" si="38"/>
        <v>30</v>
      </c>
      <c r="AH315" s="45">
        <v>46168</v>
      </c>
      <c r="AI315" s="39"/>
      <c r="AJ315" s="56">
        <f t="shared" si="39"/>
        <v>30</v>
      </c>
      <c r="AK315" s="39"/>
      <c r="AL315" s="35"/>
      <c r="AM315" s="34"/>
      <c r="AN315" s="34"/>
      <c r="AO315" s="39"/>
      <c r="AP315" s="47"/>
      <c r="AQ315" s="47"/>
      <c r="AR315" s="47"/>
      <c r="AS315" s="47"/>
    </row>
    <row r="316" spans="1:45" ht="12" customHeight="1" x14ac:dyDescent="0.25">
      <c r="A316" s="33">
        <v>315</v>
      </c>
      <c r="B316" s="34"/>
      <c r="C316" s="34" t="s">
        <v>136</v>
      </c>
      <c r="D316" s="35" t="s">
        <v>531</v>
      </c>
      <c r="E316" s="34" t="s">
        <v>172</v>
      </c>
      <c r="F316" s="34" t="s">
        <v>0</v>
      </c>
      <c r="G316" s="16" t="s">
        <v>82</v>
      </c>
      <c r="H316" s="34">
        <v>528</v>
      </c>
      <c r="I316" s="34" t="s">
        <v>62</v>
      </c>
      <c r="J316" s="34" t="s">
        <v>3</v>
      </c>
      <c r="K316" s="35" t="s">
        <v>7</v>
      </c>
      <c r="L316" s="36" t="e">
        <f>VLOOKUP(G316,#REF!,4,0)</f>
        <v>#REF!</v>
      </c>
      <c r="M316" s="37" t="e">
        <f>_xlfn.IFNA(VLOOKUP(G316,#REF!,2,0),"")</f>
        <v>#REF!</v>
      </c>
      <c r="N316" s="38" t="e">
        <f>_xlfn.IFNA(VLOOKUP(G316,#REF!,3,0),"")</f>
        <v>#REF!</v>
      </c>
      <c r="O316" s="39">
        <v>33</v>
      </c>
      <c r="P316" s="79">
        <v>483.99792452830189</v>
      </c>
      <c r="Q316" s="39" t="s">
        <v>10</v>
      </c>
      <c r="R316" s="34">
        <v>3.9</v>
      </c>
      <c r="S316" s="38"/>
      <c r="T316" s="40">
        <v>104.76190476190476</v>
      </c>
      <c r="U316" s="41">
        <f t="shared" si="41"/>
        <v>1992.3538104222821</v>
      </c>
      <c r="V316" s="42">
        <f t="shared" si="37"/>
        <v>3.7733973682240189</v>
      </c>
      <c r="W316" s="43">
        <f t="shared" si="42"/>
        <v>0.56319363704836101</v>
      </c>
      <c r="X316" s="38"/>
      <c r="Y316" s="38"/>
      <c r="Z316" s="44"/>
      <c r="AA316" s="45">
        <v>46108</v>
      </c>
      <c r="AB316" s="45">
        <v>46125</v>
      </c>
      <c r="AC316" s="45"/>
      <c r="AD316" s="46" t="e">
        <f>IF(ISNA(VLOOKUP(D316,#REF!,5,0)),0,VLOOKUP(D316,#REF!,5,0))</f>
        <v>#REF!</v>
      </c>
      <c r="AE316" s="46" t="e">
        <f t="shared" si="40"/>
        <v>#REF!</v>
      </c>
      <c r="AF316" s="45">
        <v>46138</v>
      </c>
      <c r="AG316" s="33">
        <f t="shared" si="38"/>
        <v>30</v>
      </c>
      <c r="AH316" s="45">
        <v>46168</v>
      </c>
      <c r="AI316" s="39"/>
      <c r="AJ316" s="56">
        <f t="shared" si="39"/>
        <v>30</v>
      </c>
      <c r="AK316" s="39"/>
      <c r="AL316" s="35"/>
      <c r="AM316" s="34"/>
      <c r="AN316" s="34"/>
      <c r="AO316" s="39"/>
      <c r="AP316" s="47"/>
      <c r="AQ316" s="47"/>
      <c r="AR316" s="47"/>
      <c r="AS316" s="47"/>
    </row>
    <row r="317" spans="1:45" ht="12" customHeight="1" x14ac:dyDescent="0.25">
      <c r="A317" s="33">
        <v>316</v>
      </c>
      <c r="B317" s="34"/>
      <c r="C317" s="34" t="s">
        <v>136</v>
      </c>
      <c r="D317" s="35" t="s">
        <v>531</v>
      </c>
      <c r="E317" s="34" t="s">
        <v>172</v>
      </c>
      <c r="F317" s="34" t="s">
        <v>0</v>
      </c>
      <c r="G317" s="16" t="s">
        <v>115</v>
      </c>
      <c r="H317" s="34">
        <v>16</v>
      </c>
      <c r="I317" s="34" t="s">
        <v>62</v>
      </c>
      <c r="J317" s="34" t="s">
        <v>3</v>
      </c>
      <c r="K317" s="35" t="s">
        <v>7</v>
      </c>
      <c r="L317" s="36" t="e">
        <f>VLOOKUP(G317,#REF!,4,0)</f>
        <v>#REF!</v>
      </c>
      <c r="M317" s="37" t="e">
        <f>_xlfn.IFNA(VLOOKUP(G317,#REF!,2,0),"")</f>
        <v>#REF!</v>
      </c>
      <c r="N317" s="38" t="e">
        <f>_xlfn.IFNA(VLOOKUP(G317,#REF!,3,0),"")</f>
        <v>#REF!</v>
      </c>
      <c r="O317" s="39">
        <v>1</v>
      </c>
      <c r="P317" s="79">
        <v>14.666603773584907</v>
      </c>
      <c r="Q317" s="39" t="s">
        <v>10</v>
      </c>
      <c r="R317" s="34">
        <v>3.9</v>
      </c>
      <c r="S317" s="38"/>
      <c r="T317" s="40">
        <v>3.1746031746031744</v>
      </c>
      <c r="U317" s="41">
        <f t="shared" si="41"/>
        <v>60.37435789158431</v>
      </c>
      <c r="V317" s="42">
        <f t="shared" si="37"/>
        <v>3.7733973682240194</v>
      </c>
      <c r="W317" s="43">
        <f t="shared" si="42"/>
        <v>0.56319363704836112</v>
      </c>
      <c r="X317" s="38"/>
      <c r="Y317" s="38"/>
      <c r="Z317" s="44"/>
      <c r="AA317" s="45">
        <v>46108</v>
      </c>
      <c r="AB317" s="45">
        <v>46125</v>
      </c>
      <c r="AC317" s="45"/>
      <c r="AD317" s="46" t="e">
        <f>IF(ISNA(VLOOKUP(D317,#REF!,5,0)),0,VLOOKUP(D317,#REF!,5,0))</f>
        <v>#REF!</v>
      </c>
      <c r="AE317" s="46" t="e">
        <f t="shared" si="40"/>
        <v>#REF!</v>
      </c>
      <c r="AF317" s="45">
        <v>46138</v>
      </c>
      <c r="AG317" s="33">
        <f t="shared" si="38"/>
        <v>30</v>
      </c>
      <c r="AH317" s="45">
        <v>46168</v>
      </c>
      <c r="AI317" s="39"/>
      <c r="AJ317" s="56">
        <f t="shared" si="39"/>
        <v>30</v>
      </c>
      <c r="AK317" s="39"/>
      <c r="AL317" s="35"/>
      <c r="AM317" s="34"/>
      <c r="AN317" s="34"/>
      <c r="AO317" s="39"/>
      <c r="AP317" s="47"/>
      <c r="AQ317" s="47"/>
      <c r="AR317" s="47"/>
      <c r="AS317" s="47"/>
    </row>
    <row r="318" spans="1:45" ht="12" customHeight="1" x14ac:dyDescent="0.25">
      <c r="A318" s="33">
        <v>317</v>
      </c>
      <c r="B318" s="34"/>
      <c r="C318" s="34" t="s">
        <v>136</v>
      </c>
      <c r="D318" s="35" t="s">
        <v>531</v>
      </c>
      <c r="E318" s="34" t="s">
        <v>172</v>
      </c>
      <c r="F318" s="34" t="s">
        <v>0</v>
      </c>
      <c r="G318" s="16" t="s">
        <v>133</v>
      </c>
      <c r="H318" s="34">
        <v>32</v>
      </c>
      <c r="I318" s="34" t="s">
        <v>62</v>
      </c>
      <c r="J318" s="34" t="s">
        <v>3</v>
      </c>
      <c r="K318" s="35" t="s">
        <v>7</v>
      </c>
      <c r="L318" s="36" t="e">
        <f>VLOOKUP(G318,#REF!,4,0)</f>
        <v>#REF!</v>
      </c>
      <c r="M318" s="37" t="e">
        <f>_xlfn.IFNA(VLOOKUP(G318,#REF!,2,0),"")</f>
        <v>#REF!</v>
      </c>
      <c r="N318" s="38" t="e">
        <f>_xlfn.IFNA(VLOOKUP(G318,#REF!,3,0),"")</f>
        <v>#REF!</v>
      </c>
      <c r="O318" s="39">
        <v>2</v>
      </c>
      <c r="P318" s="79">
        <v>29.333207547169813</v>
      </c>
      <c r="Q318" s="39" t="s">
        <v>10</v>
      </c>
      <c r="R318" s="34">
        <v>3.9</v>
      </c>
      <c r="S318" s="38"/>
      <c r="T318" s="40">
        <v>6.3492063492063489</v>
      </c>
      <c r="U318" s="41">
        <f t="shared" si="41"/>
        <v>120.74871578316862</v>
      </c>
      <c r="V318" s="42">
        <f t="shared" si="37"/>
        <v>3.7733973682240194</v>
      </c>
      <c r="W318" s="43">
        <f t="shared" si="42"/>
        <v>0.56319363704836112</v>
      </c>
      <c r="X318" s="38"/>
      <c r="Y318" s="38"/>
      <c r="Z318" s="44"/>
      <c r="AA318" s="45">
        <v>46108</v>
      </c>
      <c r="AB318" s="45">
        <v>46125</v>
      </c>
      <c r="AC318" s="45"/>
      <c r="AD318" s="46" t="e">
        <f>IF(ISNA(VLOOKUP(D318,#REF!,5,0)),0,VLOOKUP(D318,#REF!,5,0))</f>
        <v>#REF!</v>
      </c>
      <c r="AE318" s="46" t="e">
        <f t="shared" si="40"/>
        <v>#REF!</v>
      </c>
      <c r="AF318" s="45">
        <v>46138</v>
      </c>
      <c r="AG318" s="33">
        <f t="shared" si="38"/>
        <v>30</v>
      </c>
      <c r="AH318" s="45">
        <v>46168</v>
      </c>
      <c r="AI318" s="39"/>
      <c r="AJ318" s="56">
        <f t="shared" si="39"/>
        <v>30</v>
      </c>
      <c r="AK318" s="39"/>
      <c r="AL318" s="35"/>
      <c r="AM318" s="34"/>
      <c r="AN318" s="34"/>
      <c r="AO318" s="39"/>
      <c r="AP318" s="47"/>
      <c r="AQ318" s="47"/>
      <c r="AR318" s="47"/>
      <c r="AS318" s="47"/>
    </row>
    <row r="319" spans="1:45" ht="12" customHeight="1" x14ac:dyDescent="0.25">
      <c r="A319" s="33">
        <v>318</v>
      </c>
      <c r="B319" s="34"/>
      <c r="C319" s="34" t="s">
        <v>136</v>
      </c>
      <c r="D319" s="35" t="s">
        <v>531</v>
      </c>
      <c r="E319" s="34" t="s">
        <v>172</v>
      </c>
      <c r="F319" s="34" t="s">
        <v>0</v>
      </c>
      <c r="G319" s="16" t="s">
        <v>114</v>
      </c>
      <c r="H319" s="34">
        <v>16</v>
      </c>
      <c r="I319" s="34" t="s">
        <v>62</v>
      </c>
      <c r="J319" s="34" t="s">
        <v>3</v>
      </c>
      <c r="K319" s="35" t="s">
        <v>7</v>
      </c>
      <c r="L319" s="36" t="e">
        <f>VLOOKUP(G319,#REF!,4,0)</f>
        <v>#REF!</v>
      </c>
      <c r="M319" s="37" t="e">
        <f>_xlfn.IFNA(VLOOKUP(G319,#REF!,2,0),"")</f>
        <v>#REF!</v>
      </c>
      <c r="N319" s="38" t="e">
        <f>_xlfn.IFNA(VLOOKUP(G319,#REF!,3,0),"")</f>
        <v>#REF!</v>
      </c>
      <c r="O319" s="39">
        <v>1</v>
      </c>
      <c r="P319" s="79">
        <v>14.666603773584907</v>
      </c>
      <c r="Q319" s="39" t="s">
        <v>10</v>
      </c>
      <c r="R319" s="34">
        <v>3.9</v>
      </c>
      <c r="S319" s="38"/>
      <c r="T319" s="40">
        <v>3.1746031746031744</v>
      </c>
      <c r="U319" s="41">
        <f t="shared" si="41"/>
        <v>60.37435789158431</v>
      </c>
      <c r="V319" s="42">
        <f t="shared" si="37"/>
        <v>3.7733973682240194</v>
      </c>
      <c r="W319" s="43">
        <f t="shared" si="42"/>
        <v>0.56319363704836112</v>
      </c>
      <c r="X319" s="38"/>
      <c r="Y319" s="38"/>
      <c r="Z319" s="44"/>
      <c r="AA319" s="45">
        <v>46108</v>
      </c>
      <c r="AB319" s="45">
        <v>46125</v>
      </c>
      <c r="AC319" s="45"/>
      <c r="AD319" s="46" t="e">
        <f>IF(ISNA(VLOOKUP(D319,#REF!,5,0)),0,VLOOKUP(D319,#REF!,5,0))</f>
        <v>#REF!</v>
      </c>
      <c r="AE319" s="46" t="e">
        <f t="shared" si="40"/>
        <v>#REF!</v>
      </c>
      <c r="AF319" s="45">
        <v>46138</v>
      </c>
      <c r="AG319" s="33">
        <f t="shared" si="38"/>
        <v>30</v>
      </c>
      <c r="AH319" s="45">
        <v>46168</v>
      </c>
      <c r="AI319" s="39"/>
      <c r="AJ319" s="56">
        <f t="shared" si="39"/>
        <v>30</v>
      </c>
      <c r="AK319" s="39"/>
      <c r="AL319" s="35"/>
      <c r="AM319" s="34"/>
      <c r="AN319" s="34"/>
      <c r="AO319" s="39"/>
      <c r="AP319" s="47"/>
      <c r="AQ319" s="47"/>
      <c r="AR319" s="47"/>
      <c r="AS319" s="47"/>
    </row>
    <row r="320" spans="1:45" ht="12" customHeight="1" x14ac:dyDescent="0.25">
      <c r="A320" s="33">
        <v>319</v>
      </c>
      <c r="B320" s="34"/>
      <c r="C320" s="34" t="s">
        <v>138</v>
      </c>
      <c r="D320" s="35" t="s">
        <v>532</v>
      </c>
      <c r="E320" s="34" t="s">
        <v>172</v>
      </c>
      <c r="F320" s="34" t="s">
        <v>0</v>
      </c>
      <c r="G320" s="16" t="s">
        <v>81</v>
      </c>
      <c r="H320" s="34">
        <v>176</v>
      </c>
      <c r="I320" s="34" t="s">
        <v>62</v>
      </c>
      <c r="J320" s="34" t="s">
        <v>261</v>
      </c>
      <c r="K320" s="35" t="s">
        <v>19</v>
      </c>
      <c r="L320" s="36" t="e">
        <f>VLOOKUP(G320,#REF!,4,0)</f>
        <v>#REF!</v>
      </c>
      <c r="M320" s="37" t="e">
        <f>_xlfn.IFNA(VLOOKUP(G320,#REF!,2,0),"")</f>
        <v>#REF!</v>
      </c>
      <c r="N320" s="38" t="e">
        <f>_xlfn.IFNA(VLOOKUP(G320,#REF!,3,0),"")</f>
        <v>#REF!</v>
      </c>
      <c r="O320" s="39">
        <v>11</v>
      </c>
      <c r="P320" s="79">
        <v>159</v>
      </c>
      <c r="Q320" s="39" t="s">
        <v>10</v>
      </c>
      <c r="R320" s="34">
        <v>4.3</v>
      </c>
      <c r="S320" s="38">
        <v>200</v>
      </c>
      <c r="T320" s="40">
        <v>200</v>
      </c>
      <c r="U320" s="41">
        <f t="shared" si="41"/>
        <v>883.69999999999993</v>
      </c>
      <c r="V320" s="42">
        <f t="shared" si="37"/>
        <v>5.0210227272727268</v>
      </c>
      <c r="W320" s="43">
        <f t="shared" si="42"/>
        <v>0.74940637720488457</v>
      </c>
      <c r="X320" s="38"/>
      <c r="Y320" s="38"/>
      <c r="Z320" s="44"/>
      <c r="AA320" s="45">
        <v>46108</v>
      </c>
      <c r="AB320" s="45">
        <v>46126</v>
      </c>
      <c r="AC320" s="45"/>
      <c r="AD320" s="46" t="e">
        <f>IF(ISNA(VLOOKUP(D320,#REF!,5,0)),0,VLOOKUP(D320,#REF!,5,0))</f>
        <v>#REF!</v>
      </c>
      <c r="AE320" s="46" t="e">
        <f t="shared" si="40"/>
        <v>#REF!</v>
      </c>
      <c r="AF320" s="45">
        <v>46138</v>
      </c>
      <c r="AG320" s="33">
        <f t="shared" si="38"/>
        <v>30</v>
      </c>
      <c r="AH320" s="45">
        <v>46173</v>
      </c>
      <c r="AI320" s="39"/>
      <c r="AJ320" s="56">
        <f t="shared" si="39"/>
        <v>35</v>
      </c>
      <c r="AK320" s="39"/>
      <c r="AL320" s="35"/>
      <c r="AM320" s="34"/>
      <c r="AN320" s="34"/>
      <c r="AO320" s="39"/>
      <c r="AP320" s="47"/>
      <c r="AQ320" s="47"/>
      <c r="AR320" s="47"/>
      <c r="AS320" s="47"/>
    </row>
    <row r="321" spans="1:45" ht="12" customHeight="1" x14ac:dyDescent="0.25">
      <c r="A321" s="33">
        <v>320</v>
      </c>
      <c r="B321" s="34"/>
      <c r="C321" s="34" t="s">
        <v>136</v>
      </c>
      <c r="D321" s="35" t="s">
        <v>533</v>
      </c>
      <c r="E321" s="34" t="s">
        <v>172</v>
      </c>
      <c r="F321" s="34" t="s">
        <v>0</v>
      </c>
      <c r="G321" s="16" t="s">
        <v>264</v>
      </c>
      <c r="H321" s="34">
        <v>160</v>
      </c>
      <c r="I321" s="34" t="s">
        <v>62</v>
      </c>
      <c r="J321" s="34" t="s">
        <v>3</v>
      </c>
      <c r="K321" s="35" t="s">
        <v>7</v>
      </c>
      <c r="L321" s="36" t="e">
        <f>VLOOKUP(G321,#REF!,4,0)</f>
        <v>#REF!</v>
      </c>
      <c r="M321" s="37" t="e">
        <f>_xlfn.IFNA(VLOOKUP(G321,#REF!,2,0),"")</f>
        <v>#REF!</v>
      </c>
      <c r="N321" s="38" t="e">
        <f>_xlfn.IFNA(VLOOKUP(G321,#REF!,3,0),"")</f>
        <v>#REF!</v>
      </c>
      <c r="O321" s="39">
        <v>10</v>
      </c>
      <c r="P321" s="79">
        <v>146.66999999999999</v>
      </c>
      <c r="Q321" s="39" t="s">
        <v>10</v>
      </c>
      <c r="R321" s="34">
        <v>3.9</v>
      </c>
      <c r="S321" s="48">
        <v>200</v>
      </c>
      <c r="T321" s="40">
        <v>31.746031746031747</v>
      </c>
      <c r="U321" s="41">
        <f t="shared" si="41"/>
        <v>603.75903174603172</v>
      </c>
      <c r="V321" s="42">
        <f t="shared" si="37"/>
        <v>3.7734939484126984</v>
      </c>
      <c r="W321" s="43">
        <f t="shared" si="42"/>
        <v>0.56320805200189528</v>
      </c>
      <c r="X321" s="38"/>
      <c r="Y321" s="38"/>
      <c r="Z321" s="44"/>
      <c r="AA321" s="45">
        <v>46108</v>
      </c>
      <c r="AB321" s="45">
        <v>46125</v>
      </c>
      <c r="AC321" s="45"/>
      <c r="AD321" s="46" t="e">
        <f>IF(ISNA(VLOOKUP(D321,#REF!,5,0)),0,VLOOKUP(D321,#REF!,5,0))</f>
        <v>#REF!</v>
      </c>
      <c r="AE321" s="46" t="e">
        <f t="shared" si="40"/>
        <v>#REF!</v>
      </c>
      <c r="AF321" s="45">
        <v>46138</v>
      </c>
      <c r="AG321" s="33">
        <f t="shared" si="38"/>
        <v>30</v>
      </c>
      <c r="AH321" s="45">
        <v>46159</v>
      </c>
      <c r="AI321" s="39"/>
      <c r="AJ321" s="56">
        <f t="shared" si="39"/>
        <v>21</v>
      </c>
      <c r="AK321" s="39"/>
      <c r="AL321" s="35"/>
      <c r="AM321" s="34"/>
      <c r="AN321" s="34"/>
      <c r="AO321" s="39"/>
      <c r="AP321" s="47"/>
      <c r="AQ321" s="47"/>
      <c r="AR321" s="47"/>
      <c r="AS321" s="47"/>
    </row>
    <row r="322" spans="1:45" ht="12" customHeight="1" x14ac:dyDescent="0.25">
      <c r="A322" s="33">
        <v>321</v>
      </c>
      <c r="B322" s="34"/>
      <c r="C322" s="34" t="s">
        <v>137</v>
      </c>
      <c r="D322" s="35" t="s">
        <v>534</v>
      </c>
      <c r="E322" s="34" t="s">
        <v>271</v>
      </c>
      <c r="F322" s="34" t="s">
        <v>52</v>
      </c>
      <c r="G322" s="16" t="s">
        <v>81</v>
      </c>
      <c r="H322" s="34">
        <v>32</v>
      </c>
      <c r="I322" s="34" t="s">
        <v>62</v>
      </c>
      <c r="J322" s="34" t="s">
        <v>55</v>
      </c>
      <c r="K322" s="35" t="s">
        <v>139</v>
      </c>
      <c r="L322" s="36" t="e">
        <f>VLOOKUP(G322,#REF!,4,0)</f>
        <v>#REF!</v>
      </c>
      <c r="M322" s="37" t="e">
        <f>_xlfn.IFNA(VLOOKUP(G322,#REF!,2,0),"")</f>
        <v>#REF!</v>
      </c>
      <c r="N322" s="38" t="e">
        <f>_xlfn.IFNA(VLOOKUP(G322,#REF!,3,0),"")</f>
        <v>#REF!</v>
      </c>
      <c r="O322" s="39">
        <v>2</v>
      </c>
      <c r="P322" s="79">
        <v>29.666666666666668</v>
      </c>
      <c r="Q322" s="39" t="s">
        <v>10</v>
      </c>
      <c r="R322" s="34">
        <v>5</v>
      </c>
      <c r="S322" s="38">
        <v>350</v>
      </c>
      <c r="T322" s="40">
        <v>116.66666666666667</v>
      </c>
      <c r="U322" s="41">
        <f t="shared" si="41"/>
        <v>265</v>
      </c>
      <c r="V322" s="42">
        <f t="shared" ref="V322:V385" si="43">U322/H322</f>
        <v>8.28125</v>
      </c>
      <c r="W322" s="43">
        <f t="shared" si="42"/>
        <v>1.2360074626865671</v>
      </c>
      <c r="X322" s="38"/>
      <c r="Y322" s="38"/>
      <c r="Z322" s="44"/>
      <c r="AA322" s="45">
        <v>46108</v>
      </c>
      <c r="AB322" s="45">
        <v>46132</v>
      </c>
      <c r="AC322" s="45"/>
      <c r="AD322" s="46" t="e">
        <f>IF(ISNA(VLOOKUP(D322,#REF!,5,0)),0,VLOOKUP(D322,#REF!,5,0))</f>
        <v>#REF!</v>
      </c>
      <c r="AE322" s="46" t="e">
        <f t="shared" si="40"/>
        <v>#REF!</v>
      </c>
      <c r="AF322" s="45">
        <v>46151</v>
      </c>
      <c r="AG322" s="33">
        <f t="shared" ref="AG322:AG385" si="44">AF322-AA322</f>
        <v>43</v>
      </c>
      <c r="AH322" s="45">
        <v>46175</v>
      </c>
      <c r="AI322" s="39"/>
      <c r="AJ322" s="56">
        <f t="shared" si="39"/>
        <v>24</v>
      </c>
      <c r="AK322" s="39"/>
      <c r="AL322" s="35"/>
      <c r="AM322" s="34"/>
      <c r="AN322" s="34"/>
      <c r="AO322" s="39"/>
      <c r="AP322" s="47"/>
      <c r="AQ322" s="47"/>
      <c r="AR322" s="47"/>
      <c r="AS322" s="47"/>
    </row>
    <row r="323" spans="1:45" ht="12" customHeight="1" x14ac:dyDescent="0.25">
      <c r="A323" s="33">
        <v>322</v>
      </c>
      <c r="B323" s="34"/>
      <c r="C323" s="34" t="s">
        <v>137</v>
      </c>
      <c r="D323" s="35" t="s">
        <v>534</v>
      </c>
      <c r="E323" s="34" t="s">
        <v>271</v>
      </c>
      <c r="F323" s="34" t="s">
        <v>52</v>
      </c>
      <c r="G323" s="16" t="s">
        <v>82</v>
      </c>
      <c r="H323" s="34">
        <v>48</v>
      </c>
      <c r="I323" s="34" t="s">
        <v>62</v>
      </c>
      <c r="J323" s="34" t="s">
        <v>55</v>
      </c>
      <c r="K323" s="35" t="s">
        <v>139</v>
      </c>
      <c r="L323" s="36" t="e">
        <f>VLOOKUP(G323,#REF!,4,0)</f>
        <v>#REF!</v>
      </c>
      <c r="M323" s="37" t="e">
        <f>_xlfn.IFNA(VLOOKUP(G323,#REF!,2,0),"")</f>
        <v>#REF!</v>
      </c>
      <c r="N323" s="38" t="e">
        <f>_xlfn.IFNA(VLOOKUP(G323,#REF!,3,0),"")</f>
        <v>#REF!</v>
      </c>
      <c r="O323" s="39">
        <v>3</v>
      </c>
      <c r="P323" s="79">
        <v>44.5</v>
      </c>
      <c r="Q323" s="39" t="s">
        <v>10</v>
      </c>
      <c r="R323" s="34">
        <v>5</v>
      </c>
      <c r="S323" s="48">
        <v>200</v>
      </c>
      <c r="T323" s="40">
        <v>175</v>
      </c>
      <c r="U323" s="41">
        <f t="shared" si="41"/>
        <v>397.5</v>
      </c>
      <c r="V323" s="42">
        <f t="shared" si="43"/>
        <v>8.28125</v>
      </c>
      <c r="W323" s="43">
        <f t="shared" si="42"/>
        <v>1.2360074626865671</v>
      </c>
      <c r="X323" s="38"/>
      <c r="Y323" s="38"/>
      <c r="Z323" s="44"/>
      <c r="AA323" s="45">
        <v>46108</v>
      </c>
      <c r="AB323" s="45">
        <v>46132</v>
      </c>
      <c r="AC323" s="45"/>
      <c r="AD323" s="46" t="e">
        <f>IF(ISNA(VLOOKUP(D323,#REF!,5,0)),0,VLOOKUP(D323,#REF!,5,0))</f>
        <v>#REF!</v>
      </c>
      <c r="AE323" s="46" t="e">
        <f t="shared" si="40"/>
        <v>#REF!</v>
      </c>
      <c r="AF323" s="45">
        <v>46151</v>
      </c>
      <c r="AG323" s="33">
        <f t="shared" si="44"/>
        <v>43</v>
      </c>
      <c r="AH323" s="45">
        <v>46175</v>
      </c>
      <c r="AI323" s="39"/>
      <c r="AJ323" s="56">
        <f t="shared" ref="AJ323:AJ339" si="45">AH323-AF323</f>
        <v>24</v>
      </c>
      <c r="AK323" s="39"/>
      <c r="AL323" s="35"/>
      <c r="AM323" s="34"/>
      <c r="AN323" s="34"/>
      <c r="AO323" s="39"/>
      <c r="AP323" s="47"/>
      <c r="AQ323" s="47"/>
      <c r="AR323" s="47"/>
      <c r="AS323" s="47"/>
    </row>
    <row r="324" spans="1:45" ht="12" customHeight="1" x14ac:dyDescent="0.25">
      <c r="A324" s="33">
        <v>323</v>
      </c>
      <c r="B324" s="34"/>
      <c r="C324" s="34" t="s">
        <v>137</v>
      </c>
      <c r="D324" s="35" t="s">
        <v>534</v>
      </c>
      <c r="E324" s="34" t="s">
        <v>271</v>
      </c>
      <c r="F324" s="34" t="s">
        <v>52</v>
      </c>
      <c r="G324" s="16" t="s">
        <v>133</v>
      </c>
      <c r="H324" s="34">
        <v>16</v>
      </c>
      <c r="I324" s="34" t="s">
        <v>62</v>
      </c>
      <c r="J324" s="34" t="s">
        <v>55</v>
      </c>
      <c r="K324" s="35" t="s">
        <v>139</v>
      </c>
      <c r="L324" s="36" t="e">
        <f>VLOOKUP(G324,#REF!,4,0)</f>
        <v>#REF!</v>
      </c>
      <c r="M324" s="37" t="e">
        <f>_xlfn.IFNA(VLOOKUP(G324,#REF!,2,0),"")</f>
        <v>#REF!</v>
      </c>
      <c r="N324" s="38" t="e">
        <f>_xlfn.IFNA(VLOOKUP(G324,#REF!,3,0),"")</f>
        <v>#REF!</v>
      </c>
      <c r="O324" s="39">
        <v>1</v>
      </c>
      <c r="P324" s="79">
        <v>14.833333333333334</v>
      </c>
      <c r="Q324" s="39" t="s">
        <v>10</v>
      </c>
      <c r="R324" s="34">
        <v>5</v>
      </c>
      <c r="S324" s="38"/>
      <c r="T324" s="40">
        <v>58.333333333333336</v>
      </c>
      <c r="U324" s="41">
        <f t="shared" si="41"/>
        <v>132.5</v>
      </c>
      <c r="V324" s="42">
        <f t="shared" si="43"/>
        <v>8.28125</v>
      </c>
      <c r="W324" s="43">
        <f t="shared" si="42"/>
        <v>1.2360074626865671</v>
      </c>
      <c r="X324" s="38"/>
      <c r="Y324" s="38"/>
      <c r="Z324" s="44"/>
      <c r="AA324" s="45">
        <v>46108</v>
      </c>
      <c r="AB324" s="45">
        <v>46132</v>
      </c>
      <c r="AC324" s="45"/>
      <c r="AD324" s="46" t="e">
        <f>IF(ISNA(VLOOKUP(D324,#REF!,5,0)),0,VLOOKUP(D324,#REF!,5,0))</f>
        <v>#REF!</v>
      </c>
      <c r="AE324" s="46" t="e">
        <f t="shared" si="40"/>
        <v>#REF!</v>
      </c>
      <c r="AF324" s="45">
        <v>46151</v>
      </c>
      <c r="AG324" s="33">
        <f t="shared" si="44"/>
        <v>43</v>
      </c>
      <c r="AH324" s="45">
        <v>46175</v>
      </c>
      <c r="AI324" s="39"/>
      <c r="AJ324" s="56">
        <f t="shared" si="45"/>
        <v>24</v>
      </c>
      <c r="AK324" s="39"/>
      <c r="AL324" s="35"/>
      <c r="AM324" s="34"/>
      <c r="AN324" s="34"/>
      <c r="AO324" s="39"/>
      <c r="AP324" s="47"/>
      <c r="AQ324" s="47"/>
      <c r="AR324" s="47"/>
      <c r="AS324" s="47"/>
    </row>
    <row r="325" spans="1:45" ht="12" customHeight="1" x14ac:dyDescent="0.25">
      <c r="A325" s="33">
        <v>324</v>
      </c>
      <c r="B325" s="34"/>
      <c r="C325" s="34" t="s">
        <v>515</v>
      </c>
      <c r="D325" s="35" t="s">
        <v>535</v>
      </c>
      <c r="E325" s="34" t="s">
        <v>58</v>
      </c>
      <c r="F325" s="34" t="s">
        <v>0</v>
      </c>
      <c r="G325" s="16" t="s">
        <v>240</v>
      </c>
      <c r="H325" s="34">
        <v>360</v>
      </c>
      <c r="I325" s="34" t="s">
        <v>66</v>
      </c>
      <c r="J325" s="34" t="s">
        <v>3</v>
      </c>
      <c r="K325" s="35" t="s">
        <v>7</v>
      </c>
      <c r="L325" s="36" t="e">
        <f>VLOOKUP(G325,#REF!,4,0)</f>
        <v>#REF!</v>
      </c>
      <c r="M325" s="37" t="e">
        <f>_xlfn.IFNA(VLOOKUP(G325,#REF!,2,0),"")</f>
        <v>#REF!</v>
      </c>
      <c r="N325" s="38" t="e">
        <f>_xlfn.IFNA(VLOOKUP(G325,#REF!,3,0),"")</f>
        <v>#REF!</v>
      </c>
      <c r="O325" s="39">
        <v>30</v>
      </c>
      <c r="P325" s="79">
        <v>522.45283018867917</v>
      </c>
      <c r="Q325" s="39" t="s">
        <v>10</v>
      </c>
      <c r="R325" s="34">
        <v>4.2</v>
      </c>
      <c r="S325" s="38">
        <v>200</v>
      </c>
      <c r="T325" s="40">
        <v>41.095890410958901</v>
      </c>
      <c r="U325" s="41">
        <f t="shared" si="41"/>
        <v>2235.3977772034114</v>
      </c>
      <c r="V325" s="42">
        <f t="shared" si="43"/>
        <v>6.2094382700094757</v>
      </c>
      <c r="W325" s="43">
        <f t="shared" si="42"/>
        <v>0.92678183134469783</v>
      </c>
      <c r="X325" s="38"/>
      <c r="Y325" s="38"/>
      <c r="Z325" s="44"/>
      <c r="AA325" s="45">
        <v>46109</v>
      </c>
      <c r="AB325" s="45">
        <v>46129</v>
      </c>
      <c r="AC325" s="45"/>
      <c r="AD325" s="46" t="e">
        <f>IF(ISNA(VLOOKUP(D325,#REF!,5,0)),0,VLOOKUP(D325,#REF!,5,0))</f>
        <v>#REF!</v>
      </c>
      <c r="AE325" s="46" t="e">
        <f t="shared" si="40"/>
        <v>#REF!</v>
      </c>
      <c r="AF325" s="45">
        <v>46147</v>
      </c>
      <c r="AG325" s="33">
        <f t="shared" si="44"/>
        <v>38</v>
      </c>
      <c r="AH325" s="45"/>
      <c r="AI325" s="39"/>
      <c r="AJ325" s="56">
        <f t="shared" si="45"/>
        <v>-46147</v>
      </c>
      <c r="AK325" s="39"/>
      <c r="AL325" s="35"/>
      <c r="AM325" s="34"/>
      <c r="AN325" s="34"/>
      <c r="AO325" s="39"/>
      <c r="AP325" s="47"/>
      <c r="AQ325" s="47"/>
      <c r="AR325" s="47"/>
      <c r="AS325" s="47"/>
    </row>
    <row r="326" spans="1:45" ht="12" customHeight="1" x14ac:dyDescent="0.25">
      <c r="A326" s="33">
        <v>325</v>
      </c>
      <c r="B326" s="34"/>
      <c r="C326" s="34" t="s">
        <v>515</v>
      </c>
      <c r="D326" s="35" t="s">
        <v>535</v>
      </c>
      <c r="E326" s="34" t="s">
        <v>58</v>
      </c>
      <c r="F326" s="34" t="s">
        <v>0</v>
      </c>
      <c r="G326" s="16" t="s">
        <v>241</v>
      </c>
      <c r="H326" s="34">
        <v>276</v>
      </c>
      <c r="I326" s="34" t="s">
        <v>66</v>
      </c>
      <c r="J326" s="34" t="s">
        <v>3</v>
      </c>
      <c r="K326" s="35" t="s">
        <v>7</v>
      </c>
      <c r="L326" s="36" t="e">
        <f>VLOOKUP(G326,#REF!,4,0)</f>
        <v>#REF!</v>
      </c>
      <c r="M326" s="37" t="e">
        <f>_xlfn.IFNA(VLOOKUP(G326,#REF!,2,0),"")</f>
        <v>#REF!</v>
      </c>
      <c r="N326" s="38" t="e">
        <f>_xlfn.IFNA(VLOOKUP(G326,#REF!,3,0),"")</f>
        <v>#REF!</v>
      </c>
      <c r="O326" s="39">
        <v>23</v>
      </c>
      <c r="P326" s="79">
        <v>400.54716981132071</v>
      </c>
      <c r="Q326" s="39" t="s">
        <v>10</v>
      </c>
      <c r="R326" s="34">
        <v>4.2</v>
      </c>
      <c r="S326" s="38"/>
      <c r="T326" s="40">
        <v>31.506849315068493</v>
      </c>
      <c r="U326" s="41">
        <f t="shared" si="41"/>
        <v>1713.8049625226154</v>
      </c>
      <c r="V326" s="42">
        <f t="shared" si="43"/>
        <v>6.2094382700094757</v>
      </c>
      <c r="W326" s="43">
        <f t="shared" si="42"/>
        <v>0.92678183134469783</v>
      </c>
      <c r="X326" s="38"/>
      <c r="Y326" s="38"/>
      <c r="Z326" s="44"/>
      <c r="AA326" s="45">
        <v>46109</v>
      </c>
      <c r="AB326" s="45">
        <v>46129</v>
      </c>
      <c r="AC326" s="45"/>
      <c r="AD326" s="46" t="e">
        <f>IF(ISNA(VLOOKUP(D326,#REF!,5,0)),0,VLOOKUP(D326,#REF!,5,0))</f>
        <v>#REF!</v>
      </c>
      <c r="AE326" s="46" t="e">
        <f t="shared" si="40"/>
        <v>#REF!</v>
      </c>
      <c r="AF326" s="45">
        <v>46147</v>
      </c>
      <c r="AG326" s="33">
        <f t="shared" si="44"/>
        <v>38</v>
      </c>
      <c r="AH326" s="45"/>
      <c r="AI326" s="39"/>
      <c r="AJ326" s="56">
        <f t="shared" si="45"/>
        <v>-46147</v>
      </c>
      <c r="AK326" s="39"/>
      <c r="AL326" s="35"/>
      <c r="AM326" s="34"/>
      <c r="AN326" s="34"/>
      <c r="AO326" s="39"/>
      <c r="AP326" s="47"/>
      <c r="AQ326" s="47"/>
      <c r="AR326" s="47"/>
      <c r="AS326" s="47"/>
    </row>
    <row r="327" spans="1:45" ht="12" customHeight="1" x14ac:dyDescent="0.25">
      <c r="A327" s="33">
        <v>326</v>
      </c>
      <c r="B327" s="34"/>
      <c r="C327" s="34" t="s">
        <v>536</v>
      </c>
      <c r="D327" s="35" t="s">
        <v>537</v>
      </c>
      <c r="E327" s="34" t="s">
        <v>470</v>
      </c>
      <c r="F327" s="34" t="s">
        <v>0</v>
      </c>
      <c r="G327" s="16" t="s">
        <v>332</v>
      </c>
      <c r="H327" s="34">
        <v>192</v>
      </c>
      <c r="I327" s="34" t="s">
        <v>66</v>
      </c>
      <c r="J327" s="34" t="s">
        <v>3</v>
      </c>
      <c r="K327" s="35" t="s">
        <v>15</v>
      </c>
      <c r="L327" s="36" t="e">
        <f>VLOOKUP(G327,#REF!,4,0)</f>
        <v>#REF!</v>
      </c>
      <c r="M327" s="37" t="e">
        <f>_xlfn.IFNA(VLOOKUP(G327,#REF!,2,0),"")</f>
        <v>#REF!</v>
      </c>
      <c r="N327" s="38" t="e">
        <f>_xlfn.IFNA(VLOOKUP(G327,#REF!,3,0),"")</f>
        <v>#REF!</v>
      </c>
      <c r="O327" s="39">
        <v>6</v>
      </c>
      <c r="P327" s="79">
        <v>120.89999999999999</v>
      </c>
      <c r="Q327" s="39" t="s">
        <v>10</v>
      </c>
      <c r="R327" s="34">
        <v>4.2</v>
      </c>
      <c r="S327" s="38">
        <v>200</v>
      </c>
      <c r="T327" s="40">
        <v>60</v>
      </c>
      <c r="U327" s="41">
        <f t="shared" si="41"/>
        <v>567.78</v>
      </c>
      <c r="V327" s="42">
        <f t="shared" si="43"/>
        <v>2.9571874999999999</v>
      </c>
      <c r="W327" s="43">
        <f t="shared" si="42"/>
        <v>0.44137126865671639</v>
      </c>
      <c r="X327" s="38"/>
      <c r="Y327" s="38"/>
      <c r="Z327" s="44"/>
      <c r="AA327" s="45">
        <v>46109</v>
      </c>
      <c r="AB327" s="45">
        <v>46129</v>
      </c>
      <c r="AC327" s="45"/>
      <c r="AD327" s="46" t="e">
        <f>IF(ISNA(VLOOKUP(D327,#REF!,5,0)),0,VLOOKUP(D327,#REF!,5,0))</f>
        <v>#REF!</v>
      </c>
      <c r="AE327" s="46" t="e">
        <f t="shared" si="40"/>
        <v>#REF!</v>
      </c>
      <c r="AF327" s="45">
        <v>46141</v>
      </c>
      <c r="AG327" s="33">
        <f t="shared" si="44"/>
        <v>32</v>
      </c>
      <c r="AH327" s="45">
        <v>46170</v>
      </c>
      <c r="AI327" s="39"/>
      <c r="AJ327" s="56">
        <f t="shared" si="45"/>
        <v>29</v>
      </c>
      <c r="AK327" s="39"/>
      <c r="AL327" s="35"/>
      <c r="AM327" s="34"/>
      <c r="AN327" s="34"/>
      <c r="AO327" s="39"/>
      <c r="AP327" s="47"/>
      <c r="AQ327" s="47"/>
      <c r="AR327" s="47"/>
      <c r="AS327" s="47"/>
    </row>
    <row r="328" spans="1:45" ht="12" customHeight="1" x14ac:dyDescent="0.25">
      <c r="A328" s="33">
        <v>327</v>
      </c>
      <c r="B328" s="34"/>
      <c r="C328" s="34" t="s">
        <v>536</v>
      </c>
      <c r="D328" s="35" t="s">
        <v>537</v>
      </c>
      <c r="E328" s="34" t="s">
        <v>470</v>
      </c>
      <c r="F328" s="34" t="s">
        <v>0</v>
      </c>
      <c r="G328" s="16" t="s">
        <v>333</v>
      </c>
      <c r="H328" s="34">
        <v>416</v>
      </c>
      <c r="I328" s="34" t="s">
        <v>66</v>
      </c>
      <c r="J328" s="34" t="s">
        <v>3</v>
      </c>
      <c r="K328" s="35" t="s">
        <v>15</v>
      </c>
      <c r="L328" s="36" t="e">
        <f>VLOOKUP(G328,#REF!,4,0)</f>
        <v>#REF!</v>
      </c>
      <c r="M328" s="37" t="e">
        <f>_xlfn.IFNA(VLOOKUP(G328,#REF!,2,0),"")</f>
        <v>#REF!</v>
      </c>
      <c r="N328" s="38" t="e">
        <f>_xlfn.IFNA(VLOOKUP(G328,#REF!,3,0),"")</f>
        <v>#REF!</v>
      </c>
      <c r="O328" s="39">
        <v>13</v>
      </c>
      <c r="P328" s="79">
        <v>261.95</v>
      </c>
      <c r="Q328" s="39" t="s">
        <v>10</v>
      </c>
      <c r="R328" s="34">
        <v>4.2</v>
      </c>
      <c r="S328" s="48">
        <v>200</v>
      </c>
      <c r="T328" s="40">
        <v>130</v>
      </c>
      <c r="U328" s="41">
        <f t="shared" si="41"/>
        <v>1230.19</v>
      </c>
      <c r="V328" s="42">
        <f t="shared" si="43"/>
        <v>2.9571875000000003</v>
      </c>
      <c r="W328" s="43">
        <f t="shared" si="42"/>
        <v>0.44137126865671644</v>
      </c>
      <c r="X328" s="38"/>
      <c r="Y328" s="38"/>
      <c r="Z328" s="44"/>
      <c r="AA328" s="45">
        <v>46109</v>
      </c>
      <c r="AB328" s="45">
        <v>46129</v>
      </c>
      <c r="AC328" s="45"/>
      <c r="AD328" s="46" t="e">
        <f>IF(ISNA(VLOOKUP(D328,#REF!,5,0)),0,VLOOKUP(D328,#REF!,5,0))</f>
        <v>#REF!</v>
      </c>
      <c r="AE328" s="46" t="e">
        <f t="shared" si="40"/>
        <v>#REF!</v>
      </c>
      <c r="AF328" s="45">
        <v>46141</v>
      </c>
      <c r="AG328" s="33">
        <f t="shared" si="44"/>
        <v>32</v>
      </c>
      <c r="AH328" s="45">
        <v>46170</v>
      </c>
      <c r="AI328" s="39"/>
      <c r="AJ328" s="56">
        <f t="shared" si="45"/>
        <v>29</v>
      </c>
      <c r="AK328" s="39"/>
      <c r="AL328" s="35"/>
      <c r="AM328" s="34"/>
      <c r="AN328" s="34"/>
      <c r="AO328" s="39"/>
      <c r="AP328" s="47"/>
      <c r="AQ328" s="47"/>
      <c r="AR328" s="47"/>
      <c r="AS328" s="47"/>
    </row>
    <row r="329" spans="1:45" ht="12" customHeight="1" x14ac:dyDescent="0.25">
      <c r="A329" s="33">
        <v>328</v>
      </c>
      <c r="B329" s="34"/>
      <c r="C329" s="34" t="s">
        <v>536</v>
      </c>
      <c r="D329" s="35" t="s">
        <v>537</v>
      </c>
      <c r="E329" s="34" t="s">
        <v>470</v>
      </c>
      <c r="F329" s="34" t="s">
        <v>0</v>
      </c>
      <c r="G329" s="16" t="s">
        <v>316</v>
      </c>
      <c r="H329" s="34">
        <v>100</v>
      </c>
      <c r="I329" s="34" t="s">
        <v>66</v>
      </c>
      <c r="J329" s="34" t="s">
        <v>3</v>
      </c>
      <c r="K329" s="35" t="s">
        <v>15</v>
      </c>
      <c r="L329" s="36" t="e">
        <f>VLOOKUP(G329,#REF!,4,0)</f>
        <v>#REF!</v>
      </c>
      <c r="M329" s="37" t="e">
        <f>_xlfn.IFNA(VLOOKUP(G329,#REF!,2,0),"")</f>
        <v>#REF!</v>
      </c>
      <c r="N329" s="38" t="e">
        <f>_xlfn.IFNA(VLOOKUP(G329,#REF!,3,0),"")</f>
        <v>#REF!</v>
      </c>
      <c r="O329" s="39">
        <v>1</v>
      </c>
      <c r="P329" s="79">
        <v>20.149999999999999</v>
      </c>
      <c r="Q329" s="39" t="s">
        <v>10</v>
      </c>
      <c r="R329" s="34">
        <v>4.2</v>
      </c>
      <c r="S329" s="38"/>
      <c r="T329" s="40">
        <v>10</v>
      </c>
      <c r="U329" s="41">
        <f t="shared" si="41"/>
        <v>94.63</v>
      </c>
      <c r="V329" s="42">
        <f t="shared" si="43"/>
        <v>0.94629999999999992</v>
      </c>
      <c r="W329" s="43">
        <f t="shared" si="42"/>
        <v>0.14123880597014923</v>
      </c>
      <c r="X329" s="38"/>
      <c r="Y329" s="38"/>
      <c r="Z329" s="44"/>
      <c r="AA329" s="45">
        <v>46109</v>
      </c>
      <c r="AB329" s="45">
        <v>46129</v>
      </c>
      <c r="AC329" s="45"/>
      <c r="AD329" s="46" t="e">
        <f>IF(ISNA(VLOOKUP(D329,#REF!,5,0)),0,VLOOKUP(D329,#REF!,5,0))</f>
        <v>#REF!</v>
      </c>
      <c r="AE329" s="46" t="e">
        <f t="shared" si="40"/>
        <v>#REF!</v>
      </c>
      <c r="AF329" s="45">
        <v>46141</v>
      </c>
      <c r="AG329" s="33">
        <f t="shared" si="44"/>
        <v>32</v>
      </c>
      <c r="AH329" s="45">
        <v>46170</v>
      </c>
      <c r="AI329" s="39"/>
      <c r="AJ329" s="56">
        <f t="shared" si="45"/>
        <v>29</v>
      </c>
      <c r="AK329" s="39"/>
      <c r="AL329" s="35"/>
      <c r="AM329" s="34"/>
      <c r="AN329" s="34"/>
      <c r="AO329" s="39"/>
      <c r="AP329" s="47"/>
      <c r="AQ329" s="47"/>
      <c r="AR329" s="47"/>
      <c r="AS329" s="47"/>
    </row>
    <row r="330" spans="1:45" ht="12" customHeight="1" x14ac:dyDescent="0.25">
      <c r="A330" s="33">
        <v>329</v>
      </c>
      <c r="B330" s="34"/>
      <c r="C330" s="34" t="s">
        <v>524</v>
      </c>
      <c r="D330" s="35" t="s">
        <v>538</v>
      </c>
      <c r="E330" s="34" t="s">
        <v>58</v>
      </c>
      <c r="F330" s="34" t="s">
        <v>0</v>
      </c>
      <c r="G330" s="16" t="s">
        <v>53</v>
      </c>
      <c r="H330" s="34">
        <v>180</v>
      </c>
      <c r="I330" s="34" t="s">
        <v>62</v>
      </c>
      <c r="J330" s="34" t="s">
        <v>3</v>
      </c>
      <c r="K330" s="35" t="s">
        <v>22</v>
      </c>
      <c r="L330" s="36" t="e">
        <f>VLOOKUP(G330,#REF!,4,0)</f>
        <v>#REF!</v>
      </c>
      <c r="M330" s="37" t="e">
        <f>_xlfn.IFNA(VLOOKUP(G330,#REF!,2,0),"")</f>
        <v>#REF!</v>
      </c>
      <c r="N330" s="38" t="e">
        <f>_xlfn.IFNA(VLOOKUP(G330,#REF!,3,0),"")</f>
        <v>#REF!</v>
      </c>
      <c r="O330" s="39">
        <v>15</v>
      </c>
      <c r="P330" s="79">
        <v>213.62903225806451</v>
      </c>
      <c r="Q330" s="39" t="s">
        <v>10</v>
      </c>
      <c r="R330" s="34">
        <v>4</v>
      </c>
      <c r="S330" s="38">
        <v>200</v>
      </c>
      <c r="T330" s="40">
        <v>30</v>
      </c>
      <c r="U330" s="41">
        <f t="shared" si="41"/>
        <v>884.51612903225805</v>
      </c>
      <c r="V330" s="42">
        <f t="shared" si="43"/>
        <v>4.913978494623656</v>
      </c>
      <c r="W330" s="43">
        <f t="shared" si="42"/>
        <v>0.73342962606323225</v>
      </c>
      <c r="X330" s="38"/>
      <c r="Y330" s="38"/>
      <c r="Z330" s="44"/>
      <c r="AA330" s="45">
        <v>46108</v>
      </c>
      <c r="AB330" s="45">
        <v>46130</v>
      </c>
      <c r="AC330" s="45"/>
      <c r="AD330" s="46" t="e">
        <f>IF(ISNA(VLOOKUP(D330,#REF!,5,0)),0,VLOOKUP(D330,#REF!,5,0))</f>
        <v>#REF!</v>
      </c>
      <c r="AE330" s="46" t="e">
        <f t="shared" si="40"/>
        <v>#REF!</v>
      </c>
      <c r="AF330" s="45">
        <v>46142</v>
      </c>
      <c r="AG330" s="33">
        <f t="shared" si="44"/>
        <v>34</v>
      </c>
      <c r="AH330" s="45">
        <v>46179</v>
      </c>
      <c r="AI330" s="39"/>
      <c r="AJ330" s="56">
        <f t="shared" si="45"/>
        <v>37</v>
      </c>
      <c r="AK330" s="39"/>
      <c r="AL330" s="35"/>
      <c r="AM330" s="34"/>
      <c r="AN330" s="34"/>
      <c r="AO330" s="39"/>
      <c r="AP330" s="47"/>
      <c r="AQ330" s="47"/>
      <c r="AR330" s="47"/>
      <c r="AS330" s="47"/>
    </row>
    <row r="331" spans="1:45" ht="12" customHeight="1" x14ac:dyDescent="0.25">
      <c r="A331" s="33">
        <v>330</v>
      </c>
      <c r="B331" s="34"/>
      <c r="C331" s="34" t="s">
        <v>524</v>
      </c>
      <c r="D331" s="35" t="s">
        <v>538</v>
      </c>
      <c r="E331" s="34" t="s">
        <v>58</v>
      </c>
      <c r="F331" s="34" t="s">
        <v>0</v>
      </c>
      <c r="G331" s="16" t="s">
        <v>57</v>
      </c>
      <c r="H331" s="34">
        <v>420</v>
      </c>
      <c r="I331" s="34" t="s">
        <v>62</v>
      </c>
      <c r="J331" s="34" t="s">
        <v>3</v>
      </c>
      <c r="K331" s="35" t="s">
        <v>22</v>
      </c>
      <c r="L331" s="36" t="e">
        <f>VLOOKUP(G331,#REF!,4,0)</f>
        <v>#REF!</v>
      </c>
      <c r="M331" s="37" t="e">
        <f>_xlfn.IFNA(VLOOKUP(G331,#REF!,2,0),"")</f>
        <v>#REF!</v>
      </c>
      <c r="N331" s="38" t="e">
        <f>_xlfn.IFNA(VLOOKUP(G331,#REF!,3,0),"")</f>
        <v>#REF!</v>
      </c>
      <c r="O331" s="39">
        <v>35</v>
      </c>
      <c r="P331" s="79">
        <v>498.4677419354839</v>
      </c>
      <c r="Q331" s="39" t="s">
        <v>10</v>
      </c>
      <c r="R331" s="34">
        <v>4</v>
      </c>
      <c r="S331" s="48">
        <v>200</v>
      </c>
      <c r="T331" s="40">
        <v>70</v>
      </c>
      <c r="U331" s="41">
        <f t="shared" si="41"/>
        <v>2063.8709677419356</v>
      </c>
      <c r="V331" s="42">
        <f t="shared" si="43"/>
        <v>4.913978494623656</v>
      </c>
      <c r="W331" s="43">
        <f t="shared" si="42"/>
        <v>0.73342962606323225</v>
      </c>
      <c r="X331" s="38"/>
      <c r="Y331" s="38"/>
      <c r="Z331" s="44"/>
      <c r="AA331" s="45">
        <v>46108</v>
      </c>
      <c r="AB331" s="45">
        <v>46130</v>
      </c>
      <c r="AC331" s="45"/>
      <c r="AD331" s="46" t="e">
        <f>IF(ISNA(VLOOKUP(D331,#REF!,5,0)),0,VLOOKUP(D331,#REF!,5,0))</f>
        <v>#REF!</v>
      </c>
      <c r="AE331" s="46" t="e">
        <f t="shared" si="40"/>
        <v>#REF!</v>
      </c>
      <c r="AF331" s="45">
        <v>46142</v>
      </c>
      <c r="AG331" s="33">
        <f t="shared" si="44"/>
        <v>34</v>
      </c>
      <c r="AH331" s="45">
        <v>46179</v>
      </c>
      <c r="AI331" s="39"/>
      <c r="AJ331" s="56">
        <f t="shared" si="45"/>
        <v>37</v>
      </c>
      <c r="AK331" s="39"/>
      <c r="AL331" s="35"/>
      <c r="AM331" s="34"/>
      <c r="AN331" s="34"/>
      <c r="AO331" s="39"/>
      <c r="AP331" s="47"/>
      <c r="AQ331" s="47"/>
      <c r="AR331" s="47"/>
      <c r="AS331" s="47"/>
    </row>
    <row r="332" spans="1:45" ht="12" customHeight="1" x14ac:dyDescent="0.25">
      <c r="A332" s="33">
        <v>331</v>
      </c>
      <c r="B332" s="34"/>
      <c r="C332" s="34" t="s">
        <v>524</v>
      </c>
      <c r="D332" s="35" t="s">
        <v>538</v>
      </c>
      <c r="E332" s="34" t="s">
        <v>58</v>
      </c>
      <c r="F332" s="34" t="s">
        <v>0</v>
      </c>
      <c r="G332" s="16" t="s">
        <v>239</v>
      </c>
      <c r="H332" s="34">
        <v>352</v>
      </c>
      <c r="I332" s="34" t="s">
        <v>62</v>
      </c>
      <c r="J332" s="34" t="s">
        <v>3</v>
      </c>
      <c r="K332" s="35" t="s">
        <v>22</v>
      </c>
      <c r="L332" s="36" t="e">
        <f>VLOOKUP(G332,#REF!,4,0)</f>
        <v>#REF!</v>
      </c>
      <c r="M332" s="37" t="e">
        <f>_xlfn.IFNA(VLOOKUP(G332,#REF!,2,0),"")</f>
        <v>#REF!</v>
      </c>
      <c r="N332" s="38" t="e">
        <f>_xlfn.IFNA(VLOOKUP(G332,#REF!,3,0),"")</f>
        <v>#REF!</v>
      </c>
      <c r="O332" s="39">
        <v>11</v>
      </c>
      <c r="P332" s="79">
        <v>156.66129032258064</v>
      </c>
      <c r="Q332" s="39" t="s">
        <v>10</v>
      </c>
      <c r="R332" s="34">
        <v>4</v>
      </c>
      <c r="S332" s="38"/>
      <c r="T332" s="40">
        <v>22</v>
      </c>
      <c r="U332" s="41">
        <f t="shared" si="41"/>
        <v>648.64516129032256</v>
      </c>
      <c r="V332" s="42">
        <f t="shared" si="43"/>
        <v>1.842741935483871</v>
      </c>
      <c r="W332" s="43">
        <f t="shared" si="42"/>
        <v>0.27503610977371207</v>
      </c>
      <c r="X332" s="38"/>
      <c r="Y332" s="38"/>
      <c r="Z332" s="44"/>
      <c r="AA332" s="45">
        <v>46108</v>
      </c>
      <c r="AB332" s="45">
        <v>46130</v>
      </c>
      <c r="AC332" s="45"/>
      <c r="AD332" s="46" t="e">
        <f>IF(ISNA(VLOOKUP(D332,#REF!,5,0)),0,VLOOKUP(D332,#REF!,5,0))</f>
        <v>#REF!</v>
      </c>
      <c r="AE332" s="46" t="e">
        <f t="shared" si="40"/>
        <v>#REF!</v>
      </c>
      <c r="AF332" s="45">
        <v>46142</v>
      </c>
      <c r="AG332" s="33">
        <f t="shared" si="44"/>
        <v>34</v>
      </c>
      <c r="AH332" s="45">
        <v>46179</v>
      </c>
      <c r="AI332" s="39"/>
      <c r="AJ332" s="56">
        <f t="shared" si="45"/>
        <v>37</v>
      </c>
      <c r="AK332" s="39"/>
      <c r="AL332" s="35"/>
      <c r="AM332" s="34"/>
      <c r="AN332" s="34"/>
      <c r="AO332" s="39"/>
      <c r="AP332" s="47"/>
      <c r="AQ332" s="47"/>
      <c r="AR332" s="47"/>
      <c r="AS332" s="47"/>
    </row>
    <row r="333" spans="1:45" ht="12" customHeight="1" x14ac:dyDescent="0.25">
      <c r="A333" s="33">
        <v>332</v>
      </c>
      <c r="B333" s="34"/>
      <c r="C333" s="34" t="s">
        <v>524</v>
      </c>
      <c r="D333" s="35" t="s">
        <v>538</v>
      </c>
      <c r="E333" s="34" t="s">
        <v>58</v>
      </c>
      <c r="F333" s="34" t="s">
        <v>0</v>
      </c>
      <c r="G333" s="16" t="s">
        <v>59</v>
      </c>
      <c r="H333" s="34">
        <v>90</v>
      </c>
      <c r="I333" s="34" t="s">
        <v>62</v>
      </c>
      <c r="J333" s="34" t="s">
        <v>3</v>
      </c>
      <c r="K333" s="35" t="s">
        <v>22</v>
      </c>
      <c r="L333" s="36" t="e">
        <f>VLOOKUP(G333,#REF!,4,0)</f>
        <v>#REF!</v>
      </c>
      <c r="M333" s="37" t="e">
        <f>_xlfn.IFNA(VLOOKUP(G333,#REF!,2,0),"")</f>
        <v>#REF!</v>
      </c>
      <c r="N333" s="38" t="e">
        <f>_xlfn.IFNA(VLOOKUP(G333,#REF!,3,0),"")</f>
        <v>#REF!</v>
      </c>
      <c r="O333" s="39">
        <v>1</v>
      </c>
      <c r="P333" s="79">
        <v>14.241935483870968</v>
      </c>
      <c r="Q333" s="39" t="s">
        <v>10</v>
      </c>
      <c r="R333" s="34">
        <v>4</v>
      </c>
      <c r="S333" s="38"/>
      <c r="T333" s="40">
        <v>2</v>
      </c>
      <c r="U333" s="41">
        <f t="shared" si="41"/>
        <v>58.967741935483872</v>
      </c>
      <c r="V333" s="42">
        <f t="shared" si="43"/>
        <v>0.65519713261648749</v>
      </c>
      <c r="W333" s="43">
        <f t="shared" si="42"/>
        <v>9.7790616808430972E-2</v>
      </c>
      <c r="X333" s="38"/>
      <c r="Y333" s="38"/>
      <c r="Z333" s="44"/>
      <c r="AA333" s="45">
        <v>46108</v>
      </c>
      <c r="AB333" s="45">
        <v>46130</v>
      </c>
      <c r="AC333" s="45"/>
      <c r="AD333" s="46" t="e">
        <f>IF(ISNA(VLOOKUP(D333,#REF!,5,0)),0,VLOOKUP(D333,#REF!,5,0))</f>
        <v>#REF!</v>
      </c>
      <c r="AE333" s="46" t="e">
        <f t="shared" si="40"/>
        <v>#REF!</v>
      </c>
      <c r="AF333" s="45">
        <v>46142</v>
      </c>
      <c r="AG333" s="33">
        <f t="shared" si="44"/>
        <v>34</v>
      </c>
      <c r="AH333" s="45">
        <v>46179</v>
      </c>
      <c r="AI333" s="39"/>
      <c r="AJ333" s="56">
        <f t="shared" si="45"/>
        <v>37</v>
      </c>
      <c r="AK333" s="39"/>
      <c r="AL333" s="35"/>
      <c r="AM333" s="34"/>
      <c r="AN333" s="34"/>
      <c r="AO333" s="39"/>
      <c r="AP333" s="47"/>
      <c r="AQ333" s="47"/>
      <c r="AR333" s="47"/>
      <c r="AS333" s="47"/>
    </row>
    <row r="334" spans="1:45" ht="12" customHeight="1" x14ac:dyDescent="0.25">
      <c r="A334" s="33">
        <v>333</v>
      </c>
      <c r="B334" s="34"/>
      <c r="C334" s="34" t="s">
        <v>134</v>
      </c>
      <c r="D334" s="35" t="s">
        <v>539</v>
      </c>
      <c r="E334" s="34" t="s">
        <v>58</v>
      </c>
      <c r="F334" s="34" t="s">
        <v>0</v>
      </c>
      <c r="G334" s="16" t="s">
        <v>88</v>
      </c>
      <c r="H334" s="34">
        <v>1350</v>
      </c>
      <c r="I334" s="34" t="s">
        <v>218</v>
      </c>
      <c r="J334" s="34" t="s">
        <v>3</v>
      </c>
      <c r="K334" s="35" t="s">
        <v>9</v>
      </c>
      <c r="L334" s="36" t="e">
        <f>VLOOKUP(G334,#REF!,4,0)</f>
        <v>#REF!</v>
      </c>
      <c r="M334" s="37" t="e">
        <f>_xlfn.IFNA(VLOOKUP(G334,#REF!,2,0),"")</f>
        <v>#REF!</v>
      </c>
      <c r="N334" s="38" t="e">
        <f>_xlfn.IFNA(VLOOKUP(G334,#REF!,3,0),"")</f>
        <v>#REF!</v>
      </c>
      <c r="O334" s="39">
        <v>15</v>
      </c>
      <c r="P334" s="79">
        <v>1</v>
      </c>
      <c r="Q334" s="39" t="s">
        <v>420</v>
      </c>
      <c r="R334" s="34">
        <v>1180</v>
      </c>
      <c r="S334" s="38">
        <v>180</v>
      </c>
      <c r="T334" s="40">
        <v>72.972972972972968</v>
      </c>
      <c r="U334" s="41">
        <f t="shared" si="41"/>
        <v>1252.9729729729729</v>
      </c>
      <c r="V334" s="42">
        <f t="shared" si="43"/>
        <v>0.92812812812812806</v>
      </c>
      <c r="W334" s="43">
        <f t="shared" si="42"/>
        <v>0.13852658628778031</v>
      </c>
      <c r="X334" s="38"/>
      <c r="Y334" s="38"/>
      <c r="Z334" s="44"/>
      <c r="AA334" s="45">
        <v>46108</v>
      </c>
      <c r="AB334" s="45">
        <v>46130</v>
      </c>
      <c r="AC334" s="45"/>
      <c r="AD334" s="46" t="e">
        <f>IF(ISNA(VLOOKUP(D334,#REF!,5,0)),0,VLOOKUP(D334,#REF!,5,0))</f>
        <v>#REF!</v>
      </c>
      <c r="AE334" s="46" t="e">
        <f t="shared" si="40"/>
        <v>#REF!</v>
      </c>
      <c r="AF334" s="45">
        <v>46139</v>
      </c>
      <c r="AG334" s="33">
        <f t="shared" si="44"/>
        <v>31</v>
      </c>
      <c r="AH334" s="45">
        <v>46167</v>
      </c>
      <c r="AI334" s="39"/>
      <c r="AJ334" s="56">
        <f t="shared" si="45"/>
        <v>28</v>
      </c>
      <c r="AK334" s="39"/>
      <c r="AL334" s="35"/>
      <c r="AM334" s="34"/>
      <c r="AN334" s="34"/>
      <c r="AO334" s="39"/>
      <c r="AP334" s="47"/>
      <c r="AQ334" s="47"/>
      <c r="AR334" s="47"/>
      <c r="AS334" s="47"/>
    </row>
    <row r="335" spans="1:45" ht="12" customHeight="1" x14ac:dyDescent="0.25">
      <c r="A335" s="33">
        <v>334</v>
      </c>
      <c r="B335" s="34" t="s">
        <v>543</v>
      </c>
      <c r="C335" s="34" t="s">
        <v>134</v>
      </c>
      <c r="D335" s="35" t="s">
        <v>540</v>
      </c>
      <c r="E335" s="34" t="s">
        <v>61</v>
      </c>
      <c r="F335" s="34" t="s">
        <v>0</v>
      </c>
      <c r="G335" s="16" t="s">
        <v>329</v>
      </c>
      <c r="H335" s="34">
        <v>760</v>
      </c>
      <c r="I335" s="34" t="s">
        <v>218</v>
      </c>
      <c r="J335" s="34" t="s">
        <v>3</v>
      </c>
      <c r="K335" s="35" t="s">
        <v>19</v>
      </c>
      <c r="L335" s="36" t="e">
        <f>VLOOKUP(G335,#REF!,4,0)</f>
        <v>#REF!</v>
      </c>
      <c r="M335" s="37" t="e">
        <f>_xlfn.IFNA(VLOOKUP(G335,#REF!,2,0),"")</f>
        <v>#REF!</v>
      </c>
      <c r="N335" s="38" t="e">
        <f>_xlfn.IFNA(VLOOKUP(G335,#REF!,3,0),"")</f>
        <v>#REF!</v>
      </c>
      <c r="O335" s="39">
        <v>10</v>
      </c>
      <c r="P335" s="79">
        <v>0.49</v>
      </c>
      <c r="Q335" s="39" t="s">
        <v>420</v>
      </c>
      <c r="R335" s="34">
        <v>1030</v>
      </c>
      <c r="S335" s="48">
        <v>180</v>
      </c>
      <c r="T335" s="40">
        <v>48.648648648648646</v>
      </c>
      <c r="U335" s="41">
        <f t="shared" si="41"/>
        <v>553.34864864864858</v>
      </c>
      <c r="V335" s="42">
        <f t="shared" si="43"/>
        <v>0.72809032716927446</v>
      </c>
      <c r="W335" s="43">
        <f t="shared" si="42"/>
        <v>0.10867019808496634</v>
      </c>
      <c r="X335" s="38"/>
      <c r="Y335" s="38"/>
      <c r="Z335" s="44"/>
      <c r="AA335" s="45">
        <v>46108</v>
      </c>
      <c r="AB335" s="45">
        <v>46130</v>
      </c>
      <c r="AC335" s="45"/>
      <c r="AD335" s="46" t="e">
        <f>IF(ISNA(VLOOKUP(D335,#REF!,5,0)),0,VLOOKUP(D335,#REF!,5,0))</f>
        <v>#REF!</v>
      </c>
      <c r="AE335" s="46" t="e">
        <f t="shared" si="40"/>
        <v>#REF!</v>
      </c>
      <c r="AF335" s="45">
        <v>46144</v>
      </c>
      <c r="AG335" s="33">
        <f t="shared" si="44"/>
        <v>36</v>
      </c>
      <c r="AH335" s="45">
        <v>46174</v>
      </c>
      <c r="AI335" s="39"/>
      <c r="AJ335" s="56">
        <f t="shared" si="45"/>
        <v>30</v>
      </c>
      <c r="AK335" s="39"/>
      <c r="AL335" s="35"/>
      <c r="AM335" s="34"/>
      <c r="AN335" s="34"/>
      <c r="AO335" s="39"/>
      <c r="AP335" s="47"/>
      <c r="AQ335" s="47"/>
      <c r="AR335" s="47"/>
      <c r="AS335" s="47"/>
    </row>
    <row r="336" spans="1:45" ht="12" customHeight="1" x14ac:dyDescent="0.25">
      <c r="A336" s="33">
        <v>335</v>
      </c>
      <c r="B336" s="34" t="s">
        <v>544</v>
      </c>
      <c r="C336" s="34" t="s">
        <v>134</v>
      </c>
      <c r="D336" s="35" t="s">
        <v>541</v>
      </c>
      <c r="E336" s="34" t="s">
        <v>61</v>
      </c>
      <c r="F336" s="34" t="s">
        <v>0</v>
      </c>
      <c r="G336" s="16" t="s">
        <v>293</v>
      </c>
      <c r="H336" s="34">
        <v>256</v>
      </c>
      <c r="I336" s="34" t="s">
        <v>218</v>
      </c>
      <c r="J336" s="34" t="s">
        <v>3</v>
      </c>
      <c r="K336" s="35" t="s">
        <v>19</v>
      </c>
      <c r="L336" s="36" t="e">
        <f>VLOOKUP(G336,#REF!,4,0)</f>
        <v>#REF!</v>
      </c>
      <c r="M336" s="37" t="e">
        <f>_xlfn.IFNA(VLOOKUP(G336,#REF!,2,0),"")</f>
        <v>#REF!</v>
      </c>
      <c r="N336" s="38" t="e">
        <f>_xlfn.IFNA(VLOOKUP(G336,#REF!,3,0),"")</f>
        <v>#REF!</v>
      </c>
      <c r="O336" s="39">
        <v>4</v>
      </c>
      <c r="P336" s="79">
        <v>0.19666666666666666</v>
      </c>
      <c r="Q336" s="39" t="s">
        <v>420</v>
      </c>
      <c r="R336" s="34">
        <v>1030</v>
      </c>
      <c r="S336" s="48"/>
      <c r="T336" s="40">
        <v>19.45945945945946</v>
      </c>
      <c r="U336" s="41">
        <f t="shared" si="41"/>
        <v>222.02612612612612</v>
      </c>
      <c r="V336" s="42">
        <f t="shared" si="43"/>
        <v>0.86728955518018014</v>
      </c>
      <c r="W336" s="43">
        <f t="shared" si="42"/>
        <v>0.12944620226569853</v>
      </c>
      <c r="X336" s="38"/>
      <c r="Y336" s="38"/>
      <c r="Z336" s="44"/>
      <c r="AA336" s="45">
        <v>46108</v>
      </c>
      <c r="AB336" s="45">
        <v>46130</v>
      </c>
      <c r="AC336" s="45"/>
      <c r="AD336" s="46" t="e">
        <f>IF(ISNA(VLOOKUP(D336,#REF!,5,0)),0,VLOOKUP(D336,#REF!,5,0))</f>
        <v>#REF!</v>
      </c>
      <c r="AE336" s="46" t="e">
        <f t="shared" si="40"/>
        <v>#REF!</v>
      </c>
      <c r="AF336" s="45">
        <v>46144</v>
      </c>
      <c r="AG336" s="33">
        <f t="shared" si="44"/>
        <v>36</v>
      </c>
      <c r="AH336" s="45">
        <v>46175</v>
      </c>
      <c r="AI336" s="39"/>
      <c r="AJ336" s="56">
        <f t="shared" si="45"/>
        <v>31</v>
      </c>
      <c r="AK336" s="39"/>
      <c r="AL336" s="35"/>
      <c r="AM336" s="34"/>
      <c r="AN336" s="34"/>
      <c r="AO336" s="39"/>
      <c r="AP336" s="47"/>
      <c r="AQ336" s="47"/>
      <c r="AR336" s="47"/>
      <c r="AS336" s="47"/>
    </row>
    <row r="337" spans="1:45" ht="12" customHeight="1" x14ac:dyDescent="0.25">
      <c r="A337" s="33">
        <v>336</v>
      </c>
      <c r="B337" s="34"/>
      <c r="C337" s="34" t="s">
        <v>134</v>
      </c>
      <c r="D337" s="35" t="s">
        <v>541</v>
      </c>
      <c r="E337" s="34" t="s">
        <v>61</v>
      </c>
      <c r="F337" s="34" t="s">
        <v>0</v>
      </c>
      <c r="G337" s="16" t="s">
        <v>276</v>
      </c>
      <c r="H337" s="34">
        <v>128</v>
      </c>
      <c r="I337" s="34" t="s">
        <v>218</v>
      </c>
      <c r="J337" s="34" t="s">
        <v>3</v>
      </c>
      <c r="K337" s="35" t="s">
        <v>19</v>
      </c>
      <c r="L337" s="36" t="e">
        <f>VLOOKUP(G337,#REF!,4,0)</f>
        <v>#REF!</v>
      </c>
      <c r="M337" s="37" t="e">
        <f>_xlfn.IFNA(VLOOKUP(G337,#REF!,2,0),"")</f>
        <v>#REF!</v>
      </c>
      <c r="N337" s="38" t="e">
        <f>_xlfn.IFNA(VLOOKUP(G337,#REF!,3,0),"")</f>
        <v>#REF!</v>
      </c>
      <c r="O337" s="39">
        <v>2</v>
      </c>
      <c r="P337" s="79">
        <v>9.8333333333333328E-2</v>
      </c>
      <c r="Q337" s="39" t="s">
        <v>420</v>
      </c>
      <c r="R337" s="34">
        <v>1030</v>
      </c>
      <c r="S337" s="38"/>
      <c r="T337" s="40">
        <v>9.7297297297297298</v>
      </c>
      <c r="U337" s="41">
        <f t="shared" si="41"/>
        <v>111.01306306306306</v>
      </c>
      <c r="V337" s="42">
        <f t="shared" si="43"/>
        <v>0.86728955518018014</v>
      </c>
      <c r="W337" s="43">
        <f t="shared" si="42"/>
        <v>0.12944620226569853</v>
      </c>
      <c r="X337" s="38"/>
      <c r="Y337" s="38"/>
      <c r="Z337" s="44"/>
      <c r="AA337" s="45">
        <v>46108</v>
      </c>
      <c r="AB337" s="45">
        <v>46130</v>
      </c>
      <c r="AC337" s="45"/>
      <c r="AD337" s="46" t="e">
        <f>IF(ISNA(VLOOKUP(D337,#REF!,5,0)),0,VLOOKUP(D337,#REF!,5,0))</f>
        <v>#REF!</v>
      </c>
      <c r="AE337" s="46" t="e">
        <f t="shared" ref="AE337:AE374" si="46">AD337*H337</f>
        <v>#REF!</v>
      </c>
      <c r="AF337" s="45">
        <v>46144</v>
      </c>
      <c r="AG337" s="33">
        <f t="shared" si="44"/>
        <v>36</v>
      </c>
      <c r="AH337" s="45">
        <v>46175</v>
      </c>
      <c r="AI337" s="39"/>
      <c r="AJ337" s="56">
        <f t="shared" si="45"/>
        <v>31</v>
      </c>
      <c r="AK337" s="39"/>
      <c r="AL337" s="35"/>
      <c r="AM337" s="34"/>
      <c r="AN337" s="34"/>
      <c r="AO337" s="39"/>
      <c r="AP337" s="47"/>
      <c r="AQ337" s="47"/>
      <c r="AR337" s="47"/>
      <c r="AS337" s="47"/>
    </row>
    <row r="338" spans="1:45" ht="12" customHeight="1" x14ac:dyDescent="0.25">
      <c r="A338" s="33">
        <v>337</v>
      </c>
      <c r="B338" s="34"/>
      <c r="C338" s="34" t="s">
        <v>134</v>
      </c>
      <c r="D338" s="35" t="s">
        <v>541</v>
      </c>
      <c r="E338" s="34" t="s">
        <v>61</v>
      </c>
      <c r="F338" s="34" t="s">
        <v>0</v>
      </c>
      <c r="G338" s="16" t="s">
        <v>253</v>
      </c>
      <c r="H338" s="34">
        <v>384</v>
      </c>
      <c r="I338" s="34" t="s">
        <v>218</v>
      </c>
      <c r="J338" s="34" t="s">
        <v>3</v>
      </c>
      <c r="K338" s="35" t="s">
        <v>19</v>
      </c>
      <c r="L338" s="36" t="e">
        <f>VLOOKUP(G338,#REF!,4,0)</f>
        <v>#REF!</v>
      </c>
      <c r="M338" s="37" t="e">
        <f>_xlfn.IFNA(VLOOKUP(G338,#REF!,2,0),"")</f>
        <v>#REF!</v>
      </c>
      <c r="N338" s="38" t="e">
        <f>_xlfn.IFNA(VLOOKUP(G338,#REF!,3,0),"")</f>
        <v>#REF!</v>
      </c>
      <c r="O338" s="39">
        <v>6</v>
      </c>
      <c r="P338" s="79">
        <v>0.29499999999999998</v>
      </c>
      <c r="Q338" s="39" t="s">
        <v>420</v>
      </c>
      <c r="R338" s="34">
        <v>1030</v>
      </c>
      <c r="S338" s="38"/>
      <c r="T338" s="40">
        <v>29.189189189189189</v>
      </c>
      <c r="U338" s="41">
        <f t="shared" si="41"/>
        <v>333.03918918918913</v>
      </c>
      <c r="V338" s="42">
        <f t="shared" si="43"/>
        <v>0.86728955518018003</v>
      </c>
      <c r="W338" s="43">
        <f t="shared" si="42"/>
        <v>0.1294462022656985</v>
      </c>
      <c r="X338" s="38"/>
      <c r="Y338" s="38"/>
      <c r="Z338" s="44"/>
      <c r="AA338" s="45">
        <v>46108</v>
      </c>
      <c r="AB338" s="45">
        <v>46130</v>
      </c>
      <c r="AC338" s="45"/>
      <c r="AD338" s="46" t="e">
        <f>IF(ISNA(VLOOKUP(D338,#REF!,5,0)),0,VLOOKUP(D338,#REF!,5,0))</f>
        <v>#REF!</v>
      </c>
      <c r="AE338" s="46" t="e">
        <f t="shared" si="46"/>
        <v>#REF!</v>
      </c>
      <c r="AF338" s="45">
        <v>46144</v>
      </c>
      <c r="AG338" s="33">
        <f t="shared" si="44"/>
        <v>36</v>
      </c>
      <c r="AH338" s="45">
        <v>46175</v>
      </c>
      <c r="AI338" s="39"/>
      <c r="AJ338" s="56">
        <f t="shared" si="45"/>
        <v>31</v>
      </c>
      <c r="AK338" s="39"/>
      <c r="AL338" s="35"/>
      <c r="AM338" s="34"/>
      <c r="AN338" s="34"/>
      <c r="AO338" s="39"/>
      <c r="AP338" s="47"/>
      <c r="AQ338" s="47"/>
      <c r="AR338" s="47"/>
      <c r="AS338" s="47"/>
    </row>
    <row r="339" spans="1:45" ht="12" customHeight="1" x14ac:dyDescent="0.25">
      <c r="A339" s="33">
        <v>338</v>
      </c>
      <c r="B339" s="34"/>
      <c r="C339" s="34" t="s">
        <v>528</v>
      </c>
      <c r="D339" s="35" t="s">
        <v>542</v>
      </c>
      <c r="E339" s="34" t="s">
        <v>194</v>
      </c>
      <c r="F339" s="34" t="s">
        <v>195</v>
      </c>
      <c r="G339" s="16" t="s">
        <v>120</v>
      </c>
      <c r="H339" s="34">
        <v>72</v>
      </c>
      <c r="I339" s="34" t="s">
        <v>66</v>
      </c>
      <c r="J339" s="34" t="s">
        <v>234</v>
      </c>
      <c r="K339" s="35" t="s">
        <v>454</v>
      </c>
      <c r="L339" s="36" t="e">
        <f>VLOOKUP(G339,#REF!,4,0)</f>
        <v>#REF!</v>
      </c>
      <c r="M339" s="37" t="e">
        <f>_xlfn.IFNA(VLOOKUP(G339,#REF!,2,0),"")</f>
        <v>#REF!</v>
      </c>
      <c r="N339" s="38" t="e">
        <f>_xlfn.IFNA(VLOOKUP(G339,#REF!,3,0),"")</f>
        <v>#REF!</v>
      </c>
      <c r="O339" s="39">
        <v>2</v>
      </c>
      <c r="P339" s="79">
        <v>31.8</v>
      </c>
      <c r="Q339" s="39" t="s">
        <v>10</v>
      </c>
      <c r="R339" s="34">
        <v>9.6</v>
      </c>
      <c r="S339" s="48">
        <v>250</v>
      </c>
      <c r="T339" s="40">
        <v>50</v>
      </c>
      <c r="U339" s="41">
        <f t="shared" si="41"/>
        <v>355.28</v>
      </c>
      <c r="V339" s="42">
        <f t="shared" si="43"/>
        <v>4.934444444444444</v>
      </c>
      <c r="W339" s="43">
        <f t="shared" si="42"/>
        <v>0.73648424543946922</v>
      </c>
      <c r="X339" s="38"/>
      <c r="Y339" s="38"/>
      <c r="Z339" s="44"/>
      <c r="AA339" s="45">
        <v>46107</v>
      </c>
      <c r="AB339" s="45">
        <v>46151</v>
      </c>
      <c r="AC339" s="45"/>
      <c r="AD339" s="46" t="e">
        <f>IF(ISNA(VLOOKUP(D339,#REF!,5,0)),0,VLOOKUP(D339,#REF!,5,0))</f>
        <v>#REF!</v>
      </c>
      <c r="AE339" s="46" t="e">
        <f t="shared" si="46"/>
        <v>#REF!</v>
      </c>
      <c r="AF339" s="45">
        <v>46181</v>
      </c>
      <c r="AG339" s="76">
        <f t="shared" si="44"/>
        <v>74</v>
      </c>
      <c r="AH339" s="45"/>
      <c r="AI339" s="39"/>
      <c r="AJ339" s="56">
        <f t="shared" si="45"/>
        <v>-46181</v>
      </c>
      <c r="AK339" s="39"/>
      <c r="AL339" s="35"/>
      <c r="AM339" s="34"/>
      <c r="AN339" s="34"/>
      <c r="AO339" s="39"/>
      <c r="AP339" s="47"/>
      <c r="AQ339" s="47"/>
      <c r="AR339" s="47"/>
      <c r="AS339" s="47"/>
    </row>
    <row r="340" spans="1:45" ht="12" customHeight="1" x14ac:dyDescent="0.25">
      <c r="A340" s="33">
        <v>339</v>
      </c>
      <c r="B340" s="34"/>
      <c r="C340" s="34" t="s">
        <v>545</v>
      </c>
      <c r="D340" s="35" t="s">
        <v>546</v>
      </c>
      <c r="E340" s="34" t="s">
        <v>61</v>
      </c>
      <c r="F340" s="34" t="s">
        <v>0</v>
      </c>
      <c r="G340" s="16" t="s">
        <v>282</v>
      </c>
      <c r="H340" s="34">
        <v>810</v>
      </c>
      <c r="I340" s="34" t="s">
        <v>54</v>
      </c>
      <c r="J340" s="34" t="s">
        <v>3</v>
      </c>
      <c r="K340" s="35" t="s">
        <v>4</v>
      </c>
      <c r="L340" s="36" t="e">
        <f>VLOOKUP(G340,#REF!,4,0)</f>
        <v>#REF!</v>
      </c>
      <c r="M340" s="37" t="e">
        <f>_xlfn.IFNA(VLOOKUP(G340,#REF!,2,0),"")</f>
        <v>#REF!</v>
      </c>
      <c r="N340" s="38" t="e">
        <f>_xlfn.IFNA(VLOOKUP(G340,#REF!,3,0),"")</f>
        <v>#REF!</v>
      </c>
      <c r="O340" s="39">
        <v>27</v>
      </c>
      <c r="P340" s="79">
        <v>431.49648648648645</v>
      </c>
      <c r="Q340" s="39" t="s">
        <v>10</v>
      </c>
      <c r="R340" s="34">
        <v>3.7</v>
      </c>
      <c r="S340" s="38">
        <v>200</v>
      </c>
      <c r="T340" s="40">
        <v>24.107142857142858</v>
      </c>
      <c r="U340" s="41">
        <f t="shared" ref="U340:U374" si="47">R340*P340+T340</f>
        <v>1620.6441428571429</v>
      </c>
      <c r="V340" s="42">
        <f t="shared" si="43"/>
        <v>2.0007952380952383</v>
      </c>
      <c r="W340" s="43">
        <f t="shared" ref="W340:W374" si="48">V340/6.7</f>
        <v>0.29862615493958777</v>
      </c>
      <c r="X340" s="38"/>
      <c r="Y340" s="38"/>
      <c r="Z340" s="44"/>
      <c r="AA340" s="45">
        <v>46116</v>
      </c>
      <c r="AB340" s="45">
        <v>46139</v>
      </c>
      <c r="AC340" s="45"/>
      <c r="AD340" s="46" t="e">
        <f>IF(ISNA(VLOOKUP(D340,#REF!,5,0)),0,VLOOKUP(D340,#REF!,5,0))</f>
        <v>#REF!</v>
      </c>
      <c r="AE340" s="46" t="e">
        <f t="shared" si="46"/>
        <v>#REF!</v>
      </c>
      <c r="AF340" s="45">
        <v>46151</v>
      </c>
      <c r="AG340" s="33">
        <f t="shared" si="44"/>
        <v>35</v>
      </c>
      <c r="AH340" s="45"/>
      <c r="AI340" s="39"/>
      <c r="AJ340" s="39"/>
      <c r="AK340" s="39"/>
      <c r="AL340" s="35"/>
      <c r="AM340" s="34"/>
      <c r="AN340" s="34"/>
      <c r="AO340" s="39"/>
      <c r="AP340" s="47"/>
      <c r="AQ340" s="47"/>
      <c r="AR340" s="47"/>
      <c r="AS340" s="47"/>
    </row>
    <row r="341" spans="1:45" ht="12" customHeight="1" x14ac:dyDescent="0.25">
      <c r="A341" s="33">
        <v>340</v>
      </c>
      <c r="B341" s="34"/>
      <c r="C341" s="34" t="s">
        <v>545</v>
      </c>
      <c r="D341" s="35" t="s">
        <v>546</v>
      </c>
      <c r="E341" s="34" t="s">
        <v>61</v>
      </c>
      <c r="F341" s="34" t="s">
        <v>0</v>
      </c>
      <c r="G341" s="16" t="s">
        <v>436</v>
      </c>
      <c r="H341" s="34">
        <v>300</v>
      </c>
      <c r="I341" s="34" t="s">
        <v>54</v>
      </c>
      <c r="J341" s="34" t="s">
        <v>3</v>
      </c>
      <c r="K341" s="35" t="s">
        <v>4</v>
      </c>
      <c r="L341" s="36" t="e">
        <f>VLOOKUP(G341,#REF!,4,0)</f>
        <v>#REF!</v>
      </c>
      <c r="M341" s="37" t="e">
        <f>_xlfn.IFNA(VLOOKUP(G341,#REF!,2,0),"")</f>
        <v>#REF!</v>
      </c>
      <c r="N341" s="38" t="e">
        <f>_xlfn.IFNA(VLOOKUP(G341,#REF!,3,0),"")</f>
        <v>#REF!</v>
      </c>
      <c r="O341" s="39">
        <v>10</v>
      </c>
      <c r="P341" s="79">
        <v>159.8135135135135</v>
      </c>
      <c r="Q341" s="39" t="s">
        <v>10</v>
      </c>
      <c r="R341" s="34">
        <v>3.7</v>
      </c>
      <c r="S341" s="48">
        <v>200</v>
      </c>
      <c r="T341" s="40">
        <v>8.9285714285714288</v>
      </c>
      <c r="U341" s="41">
        <f t="shared" si="47"/>
        <v>600.23857142857139</v>
      </c>
      <c r="V341" s="42">
        <f t="shared" si="43"/>
        <v>2.0007952380952378</v>
      </c>
      <c r="W341" s="43">
        <f t="shared" si="48"/>
        <v>0.29862615493958772</v>
      </c>
      <c r="X341" s="38"/>
      <c r="Y341" s="38"/>
      <c r="Z341" s="44"/>
      <c r="AA341" s="45">
        <v>46116</v>
      </c>
      <c r="AB341" s="45">
        <v>46139</v>
      </c>
      <c r="AC341" s="45"/>
      <c r="AD341" s="46" t="e">
        <f>IF(ISNA(VLOOKUP(D341,#REF!,5,0)),0,VLOOKUP(D341,#REF!,5,0))</f>
        <v>#REF!</v>
      </c>
      <c r="AE341" s="46" t="e">
        <f t="shared" si="46"/>
        <v>#REF!</v>
      </c>
      <c r="AF341" s="45">
        <v>46151</v>
      </c>
      <c r="AG341" s="33">
        <f t="shared" si="44"/>
        <v>35</v>
      </c>
      <c r="AH341" s="45"/>
      <c r="AI341" s="39"/>
      <c r="AJ341" s="39"/>
      <c r="AK341" s="39"/>
      <c r="AL341" s="35"/>
      <c r="AM341" s="34"/>
      <c r="AN341" s="34"/>
      <c r="AO341" s="39"/>
      <c r="AP341" s="47"/>
      <c r="AQ341" s="47"/>
      <c r="AR341" s="47"/>
      <c r="AS341" s="47"/>
    </row>
    <row r="342" spans="1:45" ht="12" customHeight="1" x14ac:dyDescent="0.25">
      <c r="A342" s="33">
        <v>341</v>
      </c>
      <c r="B342" s="34" t="s">
        <v>761</v>
      </c>
      <c r="C342" s="34" t="s">
        <v>547</v>
      </c>
      <c r="D342" s="35" t="s">
        <v>548</v>
      </c>
      <c r="E342" s="34" t="s">
        <v>61</v>
      </c>
      <c r="F342" s="34" t="s">
        <v>0</v>
      </c>
      <c r="G342" s="16" t="s">
        <v>68</v>
      </c>
      <c r="H342" s="34">
        <v>450</v>
      </c>
      <c r="I342" s="34" t="s">
        <v>66</v>
      </c>
      <c r="J342" s="34" t="s">
        <v>3</v>
      </c>
      <c r="K342" s="35" t="s">
        <v>4</v>
      </c>
      <c r="L342" s="36" t="e">
        <f>VLOOKUP(G342,#REF!,4,0)</f>
        <v>#REF!</v>
      </c>
      <c r="M342" s="37" t="e">
        <f>_xlfn.IFNA(VLOOKUP(G342,#REF!,2,0),"")</f>
        <v>#REF!</v>
      </c>
      <c r="N342" s="38" t="e">
        <f>_xlfn.IFNA(VLOOKUP(G342,#REF!,3,0),"")</f>
        <v>#REF!</v>
      </c>
      <c r="O342" s="39">
        <v>15</v>
      </c>
      <c r="P342" s="79">
        <v>202.02073170731708</v>
      </c>
      <c r="Q342" s="39" t="s">
        <v>10</v>
      </c>
      <c r="R342" s="34">
        <v>3.6</v>
      </c>
      <c r="S342" s="38">
        <v>250</v>
      </c>
      <c r="T342" s="40">
        <v>26.595744680851062</v>
      </c>
      <c r="U342" s="41">
        <f t="shared" si="47"/>
        <v>753.87037882719267</v>
      </c>
      <c r="V342" s="42">
        <f t="shared" si="43"/>
        <v>1.6752675085048725</v>
      </c>
      <c r="W342" s="43">
        <f t="shared" si="48"/>
        <v>0.25003992664251828</v>
      </c>
      <c r="X342" s="38"/>
      <c r="Y342" s="38"/>
      <c r="Z342" s="44"/>
      <c r="AA342" s="45">
        <v>46116</v>
      </c>
      <c r="AB342" s="45">
        <v>46137</v>
      </c>
      <c r="AC342" s="45"/>
      <c r="AD342" s="46" t="e">
        <f>IF(ISNA(VLOOKUP(D342,#REF!,5,0)),0,VLOOKUP(D342,#REF!,5,0))</f>
        <v>#REF!</v>
      </c>
      <c r="AE342" s="46" t="e">
        <f t="shared" si="46"/>
        <v>#REF!</v>
      </c>
      <c r="AF342" s="45">
        <v>46144</v>
      </c>
      <c r="AG342" s="33">
        <f t="shared" si="44"/>
        <v>28</v>
      </c>
      <c r="AH342" s="45">
        <v>46180</v>
      </c>
      <c r="AI342" s="39"/>
      <c r="AJ342" s="39"/>
      <c r="AK342" s="39"/>
      <c r="AL342" s="35"/>
      <c r="AM342" s="34"/>
      <c r="AN342" s="34"/>
      <c r="AO342" s="39"/>
      <c r="AP342" s="47"/>
      <c r="AQ342" s="47"/>
      <c r="AR342" s="47"/>
      <c r="AS342" s="47"/>
    </row>
    <row r="343" spans="1:45" ht="12" customHeight="1" x14ac:dyDescent="0.25">
      <c r="A343" s="33">
        <v>342</v>
      </c>
      <c r="B343" s="34"/>
      <c r="C343" s="34" t="s">
        <v>547</v>
      </c>
      <c r="D343" s="35" t="s">
        <v>548</v>
      </c>
      <c r="E343" s="34" t="s">
        <v>61</v>
      </c>
      <c r="F343" s="34" t="s">
        <v>0</v>
      </c>
      <c r="G343" s="16" t="s">
        <v>119</v>
      </c>
      <c r="H343" s="34">
        <v>150</v>
      </c>
      <c r="I343" s="34" t="s">
        <v>66</v>
      </c>
      <c r="J343" s="34" t="s">
        <v>3</v>
      </c>
      <c r="K343" s="35" t="s">
        <v>4</v>
      </c>
      <c r="L343" s="36" t="e">
        <f>VLOOKUP(G343,#REF!,4,0)</f>
        <v>#REF!</v>
      </c>
      <c r="M343" s="37" t="e">
        <f>_xlfn.IFNA(VLOOKUP(G343,#REF!,2,0),"")</f>
        <v>#REF!</v>
      </c>
      <c r="N343" s="38" t="e">
        <f>_xlfn.IFNA(VLOOKUP(G343,#REF!,3,0),"")</f>
        <v>#REF!</v>
      </c>
      <c r="O343" s="39">
        <v>5</v>
      </c>
      <c r="P343" s="79">
        <v>67.340243902439028</v>
      </c>
      <c r="Q343" s="39" t="s">
        <v>10</v>
      </c>
      <c r="R343" s="34">
        <v>3.6</v>
      </c>
      <c r="S343" s="48">
        <v>250</v>
      </c>
      <c r="T343" s="40">
        <v>8.8652482269503547</v>
      </c>
      <c r="U343" s="41">
        <f t="shared" si="47"/>
        <v>251.29012627573084</v>
      </c>
      <c r="V343" s="42">
        <f t="shared" si="43"/>
        <v>1.6752675085048723</v>
      </c>
      <c r="W343" s="43">
        <f t="shared" si="48"/>
        <v>0.25003992664251823</v>
      </c>
      <c r="X343" s="38"/>
      <c r="Y343" s="38"/>
      <c r="Z343" s="44"/>
      <c r="AA343" s="45">
        <v>46116</v>
      </c>
      <c r="AB343" s="45">
        <v>46137</v>
      </c>
      <c r="AC343" s="45"/>
      <c r="AD343" s="46" t="e">
        <f>IF(ISNA(VLOOKUP(D343,#REF!,5,0)),0,VLOOKUP(D343,#REF!,5,0))</f>
        <v>#REF!</v>
      </c>
      <c r="AE343" s="46" t="e">
        <f t="shared" si="46"/>
        <v>#REF!</v>
      </c>
      <c r="AF343" s="45">
        <v>46144</v>
      </c>
      <c r="AG343" s="33">
        <f t="shared" si="44"/>
        <v>28</v>
      </c>
      <c r="AH343" s="45">
        <v>46180</v>
      </c>
      <c r="AI343" s="39"/>
      <c r="AJ343" s="39"/>
      <c r="AK343" s="39"/>
      <c r="AL343" s="35"/>
      <c r="AM343" s="34"/>
      <c r="AN343" s="34"/>
      <c r="AO343" s="39"/>
      <c r="AP343" s="47"/>
      <c r="AQ343" s="47"/>
      <c r="AR343" s="47"/>
      <c r="AS343" s="47"/>
    </row>
    <row r="344" spans="1:45" ht="12" customHeight="1" x14ac:dyDescent="0.25">
      <c r="A344" s="33">
        <v>343</v>
      </c>
      <c r="B344" s="34"/>
      <c r="C344" s="34" t="s">
        <v>547</v>
      </c>
      <c r="D344" s="35" t="s">
        <v>548</v>
      </c>
      <c r="E344" s="34" t="s">
        <v>61</v>
      </c>
      <c r="F344" s="34" t="s">
        <v>0</v>
      </c>
      <c r="G344" s="16" t="s">
        <v>242</v>
      </c>
      <c r="H344" s="34">
        <v>2000</v>
      </c>
      <c r="I344" s="34" t="s">
        <v>66</v>
      </c>
      <c r="J344" s="34" t="s">
        <v>3</v>
      </c>
      <c r="K344" s="35" t="s">
        <v>4</v>
      </c>
      <c r="L344" s="36" t="e">
        <f>VLOOKUP(G344,#REF!,4,0)</f>
        <v>#REF!</v>
      </c>
      <c r="M344" s="37" t="e">
        <f>_xlfn.IFNA(VLOOKUP(G344,#REF!,2,0),"")</f>
        <v>#REF!</v>
      </c>
      <c r="N344" s="38" t="e">
        <f>_xlfn.IFNA(VLOOKUP(G344,#REF!,3,0),"")</f>
        <v>#REF!</v>
      </c>
      <c r="O344" s="39">
        <v>50</v>
      </c>
      <c r="P344" s="79">
        <v>673.40243902439033</v>
      </c>
      <c r="Q344" s="39" t="s">
        <v>10</v>
      </c>
      <c r="R344" s="34">
        <v>3.6</v>
      </c>
      <c r="S344" s="38"/>
      <c r="T344" s="40">
        <v>88.652482269503551</v>
      </c>
      <c r="U344" s="41">
        <f t="shared" si="47"/>
        <v>2512.9012627573088</v>
      </c>
      <c r="V344" s="42">
        <f t="shared" si="43"/>
        <v>1.2564506313786543</v>
      </c>
      <c r="W344" s="43">
        <f t="shared" si="48"/>
        <v>0.18752994498188869</v>
      </c>
      <c r="X344" s="38"/>
      <c r="Y344" s="38"/>
      <c r="Z344" s="44"/>
      <c r="AA344" s="45">
        <v>46116</v>
      </c>
      <c r="AB344" s="45">
        <v>46137</v>
      </c>
      <c r="AC344" s="45"/>
      <c r="AD344" s="46" t="e">
        <f>IF(ISNA(VLOOKUP(D344,#REF!,5,0)),0,VLOOKUP(D344,#REF!,5,0))</f>
        <v>#REF!</v>
      </c>
      <c r="AE344" s="46" t="e">
        <f t="shared" si="46"/>
        <v>#REF!</v>
      </c>
      <c r="AF344" s="45">
        <v>46144</v>
      </c>
      <c r="AG344" s="33">
        <f t="shared" si="44"/>
        <v>28</v>
      </c>
      <c r="AH344" s="45">
        <v>46180</v>
      </c>
      <c r="AI344" s="39"/>
      <c r="AJ344" s="39"/>
      <c r="AK344" s="39"/>
      <c r="AL344" s="35"/>
      <c r="AM344" s="34"/>
      <c r="AN344" s="34"/>
      <c r="AO344" s="39"/>
      <c r="AP344" s="47"/>
      <c r="AQ344" s="47"/>
      <c r="AR344" s="47"/>
      <c r="AS344" s="47"/>
    </row>
    <row r="345" spans="1:45" ht="12" customHeight="1" x14ac:dyDescent="0.25">
      <c r="A345" s="33">
        <v>344</v>
      </c>
      <c r="B345" s="34"/>
      <c r="C345" s="34" t="s">
        <v>547</v>
      </c>
      <c r="D345" s="35" t="s">
        <v>548</v>
      </c>
      <c r="E345" s="34" t="s">
        <v>61</v>
      </c>
      <c r="F345" s="34" t="s">
        <v>0</v>
      </c>
      <c r="G345" s="16" t="s">
        <v>243</v>
      </c>
      <c r="H345" s="34">
        <v>480</v>
      </c>
      <c r="I345" s="34" t="s">
        <v>66</v>
      </c>
      <c r="J345" s="34" t="s">
        <v>3</v>
      </c>
      <c r="K345" s="35" t="s">
        <v>4</v>
      </c>
      <c r="L345" s="36" t="e">
        <f>VLOOKUP(G345,#REF!,4,0)</f>
        <v>#REF!</v>
      </c>
      <c r="M345" s="37" t="e">
        <f>_xlfn.IFNA(VLOOKUP(G345,#REF!,2,0),"")</f>
        <v>#REF!</v>
      </c>
      <c r="N345" s="38" t="e">
        <f>_xlfn.IFNA(VLOOKUP(G345,#REF!,3,0),"")</f>
        <v>#REF!</v>
      </c>
      <c r="O345" s="39">
        <v>12</v>
      </c>
      <c r="P345" s="79">
        <v>161.61658536585367</v>
      </c>
      <c r="Q345" s="39" t="s">
        <v>10</v>
      </c>
      <c r="R345" s="34">
        <v>3.6</v>
      </c>
      <c r="S345" s="38"/>
      <c r="T345" s="40">
        <v>21.276595744680851</v>
      </c>
      <c r="U345" s="41">
        <f t="shared" si="47"/>
        <v>603.09630306175416</v>
      </c>
      <c r="V345" s="42">
        <f t="shared" si="43"/>
        <v>1.2564506313786545</v>
      </c>
      <c r="W345" s="43">
        <f t="shared" si="48"/>
        <v>0.18752994498188874</v>
      </c>
      <c r="X345" s="38"/>
      <c r="Y345" s="38"/>
      <c r="Z345" s="44"/>
      <c r="AA345" s="45">
        <v>46116</v>
      </c>
      <c r="AB345" s="45">
        <v>46137</v>
      </c>
      <c r="AC345" s="45"/>
      <c r="AD345" s="46" t="e">
        <f>IF(ISNA(VLOOKUP(D345,#REF!,5,0)),0,VLOOKUP(D345,#REF!,5,0))</f>
        <v>#REF!</v>
      </c>
      <c r="AE345" s="46" t="e">
        <f t="shared" si="46"/>
        <v>#REF!</v>
      </c>
      <c r="AF345" s="45">
        <v>46144</v>
      </c>
      <c r="AG345" s="33">
        <f t="shared" si="44"/>
        <v>28</v>
      </c>
      <c r="AH345" s="45">
        <v>46180</v>
      </c>
      <c r="AI345" s="39"/>
      <c r="AJ345" s="39"/>
      <c r="AK345" s="39"/>
      <c r="AL345" s="35"/>
      <c r="AM345" s="34"/>
      <c r="AN345" s="34"/>
      <c r="AO345" s="39"/>
      <c r="AP345" s="47"/>
      <c r="AQ345" s="47"/>
      <c r="AR345" s="47"/>
      <c r="AS345" s="47"/>
    </row>
    <row r="346" spans="1:45" ht="12" customHeight="1" x14ac:dyDescent="0.25">
      <c r="A346" s="33">
        <v>345</v>
      </c>
      <c r="B346" s="34"/>
      <c r="C346" s="34" t="s">
        <v>547</v>
      </c>
      <c r="D346" s="35" t="s">
        <v>549</v>
      </c>
      <c r="E346" s="34" t="s">
        <v>260</v>
      </c>
      <c r="F346" s="34" t="s">
        <v>0</v>
      </c>
      <c r="G346" s="16" t="s">
        <v>279</v>
      </c>
      <c r="H346" s="34">
        <v>100</v>
      </c>
      <c r="I346" s="34" t="s">
        <v>66</v>
      </c>
      <c r="J346" s="34" t="s">
        <v>3</v>
      </c>
      <c r="K346" s="35" t="s">
        <v>4</v>
      </c>
      <c r="L346" s="36" t="e">
        <f>VLOOKUP(G346,#REF!,4,0)</f>
        <v>#REF!</v>
      </c>
      <c r="M346" s="37" t="e">
        <f>_xlfn.IFNA(VLOOKUP(G346,#REF!,2,0),"")</f>
        <v>#REF!</v>
      </c>
      <c r="N346" s="38" t="e">
        <f>_xlfn.IFNA(VLOOKUP(G346,#REF!,3,0),"")</f>
        <v>#REF!</v>
      </c>
      <c r="O346" s="39">
        <v>5</v>
      </c>
      <c r="P346" s="79">
        <v>67.34</v>
      </c>
      <c r="Q346" s="39" t="s">
        <v>10</v>
      </c>
      <c r="R346" s="34">
        <v>3.6</v>
      </c>
      <c r="S346" s="38"/>
      <c r="T346" s="40">
        <v>8.8652482269503547</v>
      </c>
      <c r="U346" s="41">
        <f t="shared" si="47"/>
        <v>251.28924822695035</v>
      </c>
      <c r="V346" s="42">
        <f t="shared" si="43"/>
        <v>2.5128924822695033</v>
      </c>
      <c r="W346" s="43">
        <f t="shared" si="48"/>
        <v>0.37505857944320947</v>
      </c>
      <c r="X346" s="38"/>
      <c r="Y346" s="38"/>
      <c r="Z346" s="44"/>
      <c r="AA346" s="45">
        <v>46116</v>
      </c>
      <c r="AB346" s="45">
        <v>46137</v>
      </c>
      <c r="AC346" s="45"/>
      <c r="AD346" s="46" t="e">
        <f>IF(ISNA(VLOOKUP(D346,#REF!,5,0)),0,VLOOKUP(D346,#REF!,5,0))</f>
        <v>#REF!</v>
      </c>
      <c r="AE346" s="46" t="e">
        <f t="shared" si="46"/>
        <v>#REF!</v>
      </c>
      <c r="AF346" s="45">
        <v>46144</v>
      </c>
      <c r="AG346" s="33">
        <f t="shared" si="44"/>
        <v>28</v>
      </c>
      <c r="AH346" s="45">
        <v>46176</v>
      </c>
      <c r="AI346" s="39"/>
      <c r="AJ346" s="39"/>
      <c r="AK346" s="39"/>
      <c r="AL346" s="35"/>
      <c r="AM346" s="34"/>
      <c r="AN346" s="34"/>
      <c r="AO346" s="39"/>
      <c r="AP346" s="47"/>
      <c r="AQ346" s="47"/>
      <c r="AR346" s="47"/>
      <c r="AS346" s="47"/>
    </row>
    <row r="347" spans="1:45" ht="12" customHeight="1" x14ac:dyDescent="0.25">
      <c r="A347" s="33">
        <v>346</v>
      </c>
      <c r="B347" s="34"/>
      <c r="C347" s="34" t="s">
        <v>545</v>
      </c>
      <c r="D347" s="35" t="s">
        <v>550</v>
      </c>
      <c r="E347" s="34" t="s">
        <v>58</v>
      </c>
      <c r="F347" s="34" t="s">
        <v>0</v>
      </c>
      <c r="G347" s="16" t="s">
        <v>313</v>
      </c>
      <c r="H347" s="34">
        <v>420</v>
      </c>
      <c r="I347" s="34" t="s">
        <v>54</v>
      </c>
      <c r="J347" s="34" t="s">
        <v>3</v>
      </c>
      <c r="K347" s="35" t="s">
        <v>4</v>
      </c>
      <c r="L347" s="36" t="e">
        <f>VLOOKUP(G347,#REF!,4,0)</f>
        <v>#REF!</v>
      </c>
      <c r="M347" s="37" t="e">
        <f>_xlfn.IFNA(VLOOKUP(G347,#REF!,2,0),"")</f>
        <v>#REF!</v>
      </c>
      <c r="N347" s="38" t="e">
        <f>_xlfn.IFNA(VLOOKUP(G347,#REF!,3,0),"")</f>
        <v>#REF!</v>
      </c>
      <c r="O347" s="39">
        <v>14</v>
      </c>
      <c r="P347" s="79">
        <v>223.73919354838711</v>
      </c>
      <c r="Q347" s="39" t="s">
        <v>10</v>
      </c>
      <c r="R347" s="34">
        <v>3.7</v>
      </c>
      <c r="S347" s="38">
        <v>200</v>
      </c>
      <c r="T347" s="40">
        <v>12.5</v>
      </c>
      <c r="U347" s="41">
        <f t="shared" si="47"/>
        <v>840.33501612903228</v>
      </c>
      <c r="V347" s="42">
        <f t="shared" si="43"/>
        <v>2.000797657450077</v>
      </c>
      <c r="W347" s="43">
        <f t="shared" si="48"/>
        <v>0.29862651603732493</v>
      </c>
      <c r="X347" s="38"/>
      <c r="Y347" s="38"/>
      <c r="Z347" s="44"/>
      <c r="AA347" s="45">
        <v>46116</v>
      </c>
      <c r="AB347" s="45">
        <v>46139</v>
      </c>
      <c r="AC347" s="45"/>
      <c r="AD347" s="46" t="e">
        <f>IF(ISNA(VLOOKUP(D347,#REF!,5,0)),0,VLOOKUP(D347,#REF!,5,0))</f>
        <v>#REF!</v>
      </c>
      <c r="AE347" s="46" t="e">
        <f t="shared" si="46"/>
        <v>#REF!</v>
      </c>
      <c r="AF347" s="45">
        <v>46151</v>
      </c>
      <c r="AG347" s="33">
        <f t="shared" si="44"/>
        <v>35</v>
      </c>
      <c r="AH347" s="45"/>
      <c r="AI347" s="39"/>
      <c r="AJ347" s="39"/>
      <c r="AK347" s="39"/>
      <c r="AL347" s="35"/>
      <c r="AM347" s="34"/>
      <c r="AN347" s="34"/>
      <c r="AO347" s="39"/>
      <c r="AP347" s="47"/>
      <c r="AQ347" s="47"/>
      <c r="AR347" s="47"/>
      <c r="AS347" s="47"/>
    </row>
    <row r="348" spans="1:45" ht="12" customHeight="1" x14ac:dyDescent="0.25">
      <c r="A348" s="33">
        <v>347</v>
      </c>
      <c r="B348" s="34"/>
      <c r="C348" s="34" t="s">
        <v>545</v>
      </c>
      <c r="D348" s="35" t="s">
        <v>550</v>
      </c>
      <c r="E348" s="34" t="s">
        <v>58</v>
      </c>
      <c r="F348" s="34" t="s">
        <v>0</v>
      </c>
      <c r="G348" s="16" t="s">
        <v>514</v>
      </c>
      <c r="H348" s="34">
        <v>3300</v>
      </c>
      <c r="I348" s="34" t="s">
        <v>54</v>
      </c>
      <c r="J348" s="34" t="s">
        <v>3</v>
      </c>
      <c r="K348" s="35" t="s">
        <v>4</v>
      </c>
      <c r="L348" s="36" t="e">
        <f>VLOOKUP(G348,#REF!,4,0)</f>
        <v>#REF!</v>
      </c>
      <c r="M348" s="37" t="e">
        <f>_xlfn.IFNA(VLOOKUP(G348,#REF!,2,0),"")</f>
        <v>#REF!</v>
      </c>
      <c r="N348" s="38" t="e">
        <f>_xlfn.IFNA(VLOOKUP(G348,#REF!,3,0),"")</f>
        <v>#REF!</v>
      </c>
      <c r="O348" s="39">
        <v>110</v>
      </c>
      <c r="P348" s="79">
        <v>1757.9508064516131</v>
      </c>
      <c r="Q348" s="39" t="s">
        <v>10</v>
      </c>
      <c r="R348" s="34">
        <v>3.7</v>
      </c>
      <c r="S348" s="48">
        <v>200</v>
      </c>
      <c r="T348" s="40">
        <v>98.214285714285708</v>
      </c>
      <c r="U348" s="41">
        <f t="shared" si="47"/>
        <v>6602.6322695852541</v>
      </c>
      <c r="V348" s="42">
        <f t="shared" si="43"/>
        <v>2.000797657450077</v>
      </c>
      <c r="W348" s="43">
        <f t="shared" si="48"/>
        <v>0.29862651603732493</v>
      </c>
      <c r="X348" s="38"/>
      <c r="Y348" s="38"/>
      <c r="Z348" s="44"/>
      <c r="AA348" s="45">
        <v>46116</v>
      </c>
      <c r="AB348" s="45">
        <v>46139</v>
      </c>
      <c r="AC348" s="45"/>
      <c r="AD348" s="46" t="e">
        <f>IF(ISNA(VLOOKUP(D348,#REF!,5,0)),0,VLOOKUP(D348,#REF!,5,0))</f>
        <v>#REF!</v>
      </c>
      <c r="AE348" s="46" t="e">
        <f t="shared" si="46"/>
        <v>#REF!</v>
      </c>
      <c r="AF348" s="45">
        <v>46151</v>
      </c>
      <c r="AG348" s="33">
        <f t="shared" si="44"/>
        <v>35</v>
      </c>
      <c r="AH348" s="45"/>
      <c r="AI348" s="39"/>
      <c r="AJ348" s="39"/>
      <c r="AK348" s="39"/>
      <c r="AL348" s="35"/>
      <c r="AM348" s="34"/>
      <c r="AN348" s="34"/>
      <c r="AO348" s="39"/>
      <c r="AP348" s="47"/>
      <c r="AQ348" s="47"/>
      <c r="AR348" s="47"/>
      <c r="AS348" s="47"/>
    </row>
    <row r="349" spans="1:45" ht="12" customHeight="1" x14ac:dyDescent="0.25">
      <c r="A349" s="33">
        <v>348</v>
      </c>
      <c r="B349" s="34"/>
      <c r="C349" s="34" t="s">
        <v>547</v>
      </c>
      <c r="D349" s="35" t="s">
        <v>551</v>
      </c>
      <c r="E349" s="34" t="s">
        <v>58</v>
      </c>
      <c r="F349" s="34" t="s">
        <v>0</v>
      </c>
      <c r="G349" s="16" t="s">
        <v>64</v>
      </c>
      <c r="H349" s="34">
        <v>1000</v>
      </c>
      <c r="I349" s="34" t="s">
        <v>66</v>
      </c>
      <c r="J349" s="34" t="s">
        <v>3</v>
      </c>
      <c r="K349" s="35" t="s">
        <v>4</v>
      </c>
      <c r="L349" s="36" t="e">
        <f>VLOOKUP(G349,#REF!,4,0)</f>
        <v>#REF!</v>
      </c>
      <c r="M349" s="37" t="e">
        <f>_xlfn.IFNA(VLOOKUP(G349,#REF!,2,0),"")</f>
        <v>#REF!</v>
      </c>
      <c r="N349" s="38" t="e">
        <f>_xlfn.IFNA(VLOOKUP(G349,#REF!,3,0),"")</f>
        <v>#REF!</v>
      </c>
      <c r="O349" s="39">
        <v>25</v>
      </c>
      <c r="P349" s="79">
        <v>336.7037037037037</v>
      </c>
      <c r="Q349" s="39" t="s">
        <v>10</v>
      </c>
      <c r="R349" s="34">
        <v>3.6</v>
      </c>
      <c r="S349" s="38">
        <v>250</v>
      </c>
      <c r="T349" s="40">
        <v>44.326241134751776</v>
      </c>
      <c r="U349" s="41">
        <f t="shared" si="47"/>
        <v>1256.4595744680853</v>
      </c>
      <c r="V349" s="42">
        <f t="shared" si="43"/>
        <v>1.2564595744680853</v>
      </c>
      <c r="W349" s="43">
        <f t="shared" si="48"/>
        <v>0.187531279771356</v>
      </c>
      <c r="X349" s="38"/>
      <c r="Y349" s="38"/>
      <c r="Z349" s="44"/>
      <c r="AA349" s="45">
        <v>46116</v>
      </c>
      <c r="AB349" s="45">
        <v>46137</v>
      </c>
      <c r="AC349" s="45"/>
      <c r="AD349" s="46" t="e">
        <f>IF(ISNA(VLOOKUP(D349,#REF!,5,0)),0,VLOOKUP(D349,#REF!,5,0))</f>
        <v>#REF!</v>
      </c>
      <c r="AE349" s="46" t="e">
        <f t="shared" si="46"/>
        <v>#REF!</v>
      </c>
      <c r="AF349" s="45">
        <v>46144</v>
      </c>
      <c r="AG349" s="33">
        <f t="shared" si="44"/>
        <v>28</v>
      </c>
      <c r="AH349" s="45">
        <v>46179</v>
      </c>
      <c r="AI349" s="39"/>
      <c r="AJ349" s="39"/>
      <c r="AK349" s="39"/>
      <c r="AL349" s="35"/>
      <c r="AM349" s="34"/>
      <c r="AN349" s="34"/>
      <c r="AO349" s="39"/>
      <c r="AP349" s="47"/>
      <c r="AQ349" s="47"/>
      <c r="AR349" s="47"/>
      <c r="AS349" s="47"/>
    </row>
    <row r="350" spans="1:45" ht="12" customHeight="1" x14ac:dyDescent="0.25">
      <c r="A350" s="33">
        <v>349</v>
      </c>
      <c r="B350" s="34"/>
      <c r="C350" s="34" t="s">
        <v>547</v>
      </c>
      <c r="D350" s="35" t="s">
        <v>551</v>
      </c>
      <c r="E350" s="34" t="s">
        <v>58</v>
      </c>
      <c r="F350" s="34" t="s">
        <v>0</v>
      </c>
      <c r="G350" s="16" t="s">
        <v>97</v>
      </c>
      <c r="H350" s="34">
        <v>240</v>
      </c>
      <c r="I350" s="34" t="s">
        <v>66</v>
      </c>
      <c r="J350" s="34" t="s">
        <v>3</v>
      </c>
      <c r="K350" s="35" t="s">
        <v>4</v>
      </c>
      <c r="L350" s="36" t="e">
        <f>VLOOKUP(G350,#REF!,4,0)</f>
        <v>#REF!</v>
      </c>
      <c r="M350" s="37" t="e">
        <f>_xlfn.IFNA(VLOOKUP(G350,#REF!,2,0),"")</f>
        <v>#REF!</v>
      </c>
      <c r="N350" s="38" t="e">
        <f>_xlfn.IFNA(VLOOKUP(G350,#REF!,3,0),"")</f>
        <v>#REF!</v>
      </c>
      <c r="O350" s="39">
        <v>6</v>
      </c>
      <c r="P350" s="79">
        <v>80.808888888888887</v>
      </c>
      <c r="Q350" s="39" t="s">
        <v>10</v>
      </c>
      <c r="R350" s="34">
        <v>3.6</v>
      </c>
      <c r="S350" s="48">
        <v>250</v>
      </c>
      <c r="T350" s="40">
        <v>10.638297872340425</v>
      </c>
      <c r="U350" s="41">
        <f t="shared" si="47"/>
        <v>301.55029787234042</v>
      </c>
      <c r="V350" s="42">
        <f t="shared" si="43"/>
        <v>1.2564595744680851</v>
      </c>
      <c r="W350" s="43">
        <f t="shared" si="48"/>
        <v>0.18753127977135597</v>
      </c>
      <c r="X350" s="38"/>
      <c r="Y350" s="38"/>
      <c r="Z350" s="44"/>
      <c r="AA350" s="45">
        <v>46116</v>
      </c>
      <c r="AB350" s="45">
        <v>46137</v>
      </c>
      <c r="AC350" s="45"/>
      <c r="AD350" s="46" t="e">
        <f>IF(ISNA(VLOOKUP(D350,#REF!,5,0)),0,VLOOKUP(D350,#REF!,5,0))</f>
        <v>#REF!</v>
      </c>
      <c r="AE350" s="46" t="e">
        <f t="shared" si="46"/>
        <v>#REF!</v>
      </c>
      <c r="AF350" s="45">
        <v>46144</v>
      </c>
      <c r="AG350" s="33">
        <f t="shared" si="44"/>
        <v>28</v>
      </c>
      <c r="AH350" s="45">
        <v>46179</v>
      </c>
      <c r="AI350" s="39"/>
      <c r="AJ350" s="39"/>
      <c r="AK350" s="39"/>
      <c r="AL350" s="35"/>
      <c r="AM350" s="34"/>
      <c r="AN350" s="34"/>
      <c r="AO350" s="39"/>
      <c r="AP350" s="47"/>
      <c r="AQ350" s="47"/>
      <c r="AR350" s="47"/>
      <c r="AS350" s="47"/>
    </row>
    <row r="351" spans="1:45" ht="12" customHeight="1" x14ac:dyDescent="0.25">
      <c r="A351" s="33">
        <v>350</v>
      </c>
      <c r="B351" s="34"/>
      <c r="C351" s="34" t="s">
        <v>547</v>
      </c>
      <c r="D351" s="35" t="s">
        <v>551</v>
      </c>
      <c r="E351" s="34" t="s">
        <v>58</v>
      </c>
      <c r="F351" s="34" t="s">
        <v>0</v>
      </c>
      <c r="G351" s="16" t="s">
        <v>204</v>
      </c>
      <c r="H351" s="34">
        <v>320</v>
      </c>
      <c r="I351" s="34" t="s">
        <v>66</v>
      </c>
      <c r="J351" s="34" t="s">
        <v>3</v>
      </c>
      <c r="K351" s="35" t="s">
        <v>4</v>
      </c>
      <c r="L351" s="36" t="e">
        <f>VLOOKUP(G351,#REF!,4,0)</f>
        <v>#REF!</v>
      </c>
      <c r="M351" s="37" t="e">
        <f>_xlfn.IFNA(VLOOKUP(G351,#REF!,2,0),"")</f>
        <v>#REF!</v>
      </c>
      <c r="N351" s="38" t="e">
        <f>_xlfn.IFNA(VLOOKUP(G351,#REF!,3,0),"")</f>
        <v>#REF!</v>
      </c>
      <c r="O351" s="39">
        <v>8</v>
      </c>
      <c r="P351" s="79">
        <v>107.74518518518518</v>
      </c>
      <c r="Q351" s="39" t="s">
        <v>10</v>
      </c>
      <c r="R351" s="34">
        <v>3.6</v>
      </c>
      <c r="S351" s="38"/>
      <c r="T351" s="40">
        <v>14.184397163120567</v>
      </c>
      <c r="U351" s="41">
        <f t="shared" si="47"/>
        <v>402.06706382978723</v>
      </c>
      <c r="V351" s="42">
        <f t="shared" si="43"/>
        <v>1.2564595744680851</v>
      </c>
      <c r="W351" s="43">
        <f t="shared" si="48"/>
        <v>0.18753127977135597</v>
      </c>
      <c r="X351" s="38"/>
      <c r="Y351" s="38"/>
      <c r="Z351" s="44"/>
      <c r="AA351" s="45">
        <v>46116</v>
      </c>
      <c r="AB351" s="45">
        <v>46137</v>
      </c>
      <c r="AC351" s="45"/>
      <c r="AD351" s="46" t="e">
        <f>IF(ISNA(VLOOKUP(D351,#REF!,5,0)),0,VLOOKUP(D351,#REF!,5,0))</f>
        <v>#REF!</v>
      </c>
      <c r="AE351" s="46" t="e">
        <f t="shared" si="46"/>
        <v>#REF!</v>
      </c>
      <c r="AF351" s="45">
        <v>46144</v>
      </c>
      <c r="AG351" s="33">
        <f t="shared" si="44"/>
        <v>28</v>
      </c>
      <c r="AH351" s="45">
        <v>46179</v>
      </c>
      <c r="AI351" s="39"/>
      <c r="AJ351" s="39"/>
      <c r="AK351" s="39"/>
      <c r="AL351" s="35"/>
      <c r="AM351" s="34"/>
      <c r="AN351" s="34"/>
      <c r="AO351" s="39"/>
      <c r="AP351" s="47"/>
      <c r="AQ351" s="47"/>
      <c r="AR351" s="47"/>
      <c r="AS351" s="47"/>
    </row>
    <row r="352" spans="1:45" ht="12" customHeight="1" x14ac:dyDescent="0.25">
      <c r="A352" s="33">
        <v>351</v>
      </c>
      <c r="B352" s="34"/>
      <c r="C352" s="34" t="s">
        <v>547</v>
      </c>
      <c r="D352" s="35" t="s">
        <v>551</v>
      </c>
      <c r="E352" s="34" t="s">
        <v>58</v>
      </c>
      <c r="F352" s="34" t="s">
        <v>0</v>
      </c>
      <c r="G352" s="16" t="s">
        <v>206</v>
      </c>
      <c r="H352" s="34">
        <v>180</v>
      </c>
      <c r="I352" s="34" t="s">
        <v>66</v>
      </c>
      <c r="J352" s="34" t="s">
        <v>3</v>
      </c>
      <c r="K352" s="35" t="s">
        <v>4</v>
      </c>
      <c r="L352" s="36" t="e">
        <f>VLOOKUP(G352,#REF!,4,0)</f>
        <v>#REF!</v>
      </c>
      <c r="M352" s="37" t="e">
        <f>_xlfn.IFNA(VLOOKUP(G352,#REF!,2,0),"")</f>
        <v>#REF!</v>
      </c>
      <c r="N352" s="38" t="e">
        <f>_xlfn.IFNA(VLOOKUP(G352,#REF!,3,0),"")</f>
        <v>#REF!</v>
      </c>
      <c r="O352" s="39">
        <v>9</v>
      </c>
      <c r="P352" s="79">
        <v>121.21333333333332</v>
      </c>
      <c r="Q352" s="39" t="s">
        <v>10</v>
      </c>
      <c r="R352" s="34">
        <v>3.6</v>
      </c>
      <c r="S352" s="38"/>
      <c r="T352" s="40">
        <v>15.957446808510639</v>
      </c>
      <c r="U352" s="41">
        <f t="shared" si="47"/>
        <v>452.32544680851061</v>
      </c>
      <c r="V352" s="42">
        <f t="shared" si="43"/>
        <v>2.5129191489361702</v>
      </c>
      <c r="W352" s="43">
        <f t="shared" si="48"/>
        <v>0.37506255954271195</v>
      </c>
      <c r="X352" s="38"/>
      <c r="Y352" s="38"/>
      <c r="Z352" s="44"/>
      <c r="AA352" s="45">
        <v>46116</v>
      </c>
      <c r="AB352" s="45">
        <v>46137</v>
      </c>
      <c r="AC352" s="45"/>
      <c r="AD352" s="46" t="e">
        <f>IF(ISNA(VLOOKUP(D352,#REF!,5,0)),0,VLOOKUP(D352,#REF!,5,0))</f>
        <v>#REF!</v>
      </c>
      <c r="AE352" s="46" t="e">
        <f t="shared" si="46"/>
        <v>#REF!</v>
      </c>
      <c r="AF352" s="45">
        <v>46144</v>
      </c>
      <c r="AG352" s="33">
        <f t="shared" si="44"/>
        <v>28</v>
      </c>
      <c r="AH352" s="45">
        <v>46179</v>
      </c>
      <c r="AI352" s="39"/>
      <c r="AJ352" s="39"/>
      <c r="AK352" s="39"/>
      <c r="AL352" s="35"/>
      <c r="AM352" s="34"/>
      <c r="AN352" s="34"/>
      <c r="AO352" s="39"/>
      <c r="AP352" s="47"/>
      <c r="AQ352" s="47"/>
      <c r="AR352" s="47"/>
      <c r="AS352" s="47"/>
    </row>
    <row r="353" spans="1:45" ht="12" customHeight="1" x14ac:dyDescent="0.25">
      <c r="A353" s="33">
        <v>352</v>
      </c>
      <c r="B353" s="34"/>
      <c r="C353" s="34" t="s">
        <v>547</v>
      </c>
      <c r="D353" s="35" t="s">
        <v>551</v>
      </c>
      <c r="E353" s="34" t="s">
        <v>58</v>
      </c>
      <c r="F353" s="34" t="s">
        <v>0</v>
      </c>
      <c r="G353" s="16" t="s">
        <v>237</v>
      </c>
      <c r="H353" s="34">
        <v>200</v>
      </c>
      <c r="I353" s="34" t="s">
        <v>66</v>
      </c>
      <c r="J353" s="34" t="s">
        <v>3</v>
      </c>
      <c r="K353" s="35" t="s">
        <v>4</v>
      </c>
      <c r="L353" s="36" t="e">
        <f>VLOOKUP(G353,#REF!,4,0)</f>
        <v>#REF!</v>
      </c>
      <c r="M353" s="37" t="e">
        <f>_xlfn.IFNA(VLOOKUP(G353,#REF!,2,0),"")</f>
        <v>#REF!</v>
      </c>
      <c r="N353" s="38" t="e">
        <f>_xlfn.IFNA(VLOOKUP(G353,#REF!,3,0),"")</f>
        <v>#REF!</v>
      </c>
      <c r="O353" s="39">
        <v>5</v>
      </c>
      <c r="P353" s="79">
        <v>67.340740740740742</v>
      </c>
      <c r="Q353" s="39" t="s">
        <v>10</v>
      </c>
      <c r="R353" s="34">
        <v>3.6</v>
      </c>
      <c r="S353" s="38"/>
      <c r="T353" s="40">
        <v>8.8652482269503547</v>
      </c>
      <c r="U353" s="41">
        <f t="shared" si="47"/>
        <v>251.29191489361702</v>
      </c>
      <c r="V353" s="42">
        <f t="shared" si="43"/>
        <v>1.2564595744680851</v>
      </c>
      <c r="W353" s="43">
        <f t="shared" si="48"/>
        <v>0.18753127977135597</v>
      </c>
      <c r="X353" s="38"/>
      <c r="Y353" s="38"/>
      <c r="Z353" s="44"/>
      <c r="AA353" s="45">
        <v>46116</v>
      </c>
      <c r="AB353" s="45">
        <v>46137</v>
      </c>
      <c r="AC353" s="45"/>
      <c r="AD353" s="46" t="e">
        <f>IF(ISNA(VLOOKUP(D353,#REF!,5,0)),0,VLOOKUP(D353,#REF!,5,0))</f>
        <v>#REF!</v>
      </c>
      <c r="AE353" s="46" t="e">
        <f t="shared" si="46"/>
        <v>#REF!</v>
      </c>
      <c r="AF353" s="45">
        <v>46144</v>
      </c>
      <c r="AG353" s="33">
        <f t="shared" si="44"/>
        <v>28</v>
      </c>
      <c r="AH353" s="45">
        <v>46179</v>
      </c>
      <c r="AI353" s="39"/>
      <c r="AJ353" s="39"/>
      <c r="AK353" s="39"/>
      <c r="AL353" s="35"/>
      <c r="AM353" s="34"/>
      <c r="AN353" s="34"/>
      <c r="AO353" s="39"/>
      <c r="AP353" s="47"/>
      <c r="AQ353" s="47"/>
      <c r="AR353" s="47"/>
      <c r="AS353" s="47"/>
    </row>
    <row r="354" spans="1:45" ht="12" customHeight="1" x14ac:dyDescent="0.25">
      <c r="A354" s="33">
        <v>353</v>
      </c>
      <c r="B354" s="34"/>
      <c r="C354" s="34" t="s">
        <v>547</v>
      </c>
      <c r="D354" s="35" t="s">
        <v>551</v>
      </c>
      <c r="E354" s="34" t="s">
        <v>58</v>
      </c>
      <c r="F354" s="34" t="s">
        <v>0</v>
      </c>
      <c r="G354" s="16" t="s">
        <v>217</v>
      </c>
      <c r="H354" s="34">
        <v>200</v>
      </c>
      <c r="I354" s="34" t="s">
        <v>66</v>
      </c>
      <c r="J354" s="34" t="s">
        <v>3</v>
      </c>
      <c r="K354" s="35" t="s">
        <v>4</v>
      </c>
      <c r="L354" s="36" t="e">
        <f>VLOOKUP(G354,#REF!,4,0)</f>
        <v>#REF!</v>
      </c>
      <c r="M354" s="37" t="e">
        <f>_xlfn.IFNA(VLOOKUP(G354,#REF!,2,0),"")</f>
        <v>#REF!</v>
      </c>
      <c r="N354" s="38" t="e">
        <f>_xlfn.IFNA(VLOOKUP(G354,#REF!,3,0),"")</f>
        <v>#REF!</v>
      </c>
      <c r="O354" s="39">
        <v>1</v>
      </c>
      <c r="P354" s="79">
        <v>13.468148148148147</v>
      </c>
      <c r="Q354" s="39" t="s">
        <v>10</v>
      </c>
      <c r="R354" s="34">
        <v>3.6</v>
      </c>
      <c r="S354" s="38"/>
      <c r="T354" s="40">
        <v>1.7730496453900708</v>
      </c>
      <c r="U354" s="41">
        <f t="shared" si="47"/>
        <v>50.258382978723404</v>
      </c>
      <c r="V354" s="42">
        <f t="shared" si="43"/>
        <v>0.25129191489361702</v>
      </c>
      <c r="W354" s="43">
        <f t="shared" si="48"/>
        <v>3.7506255954271199E-2</v>
      </c>
      <c r="X354" s="38"/>
      <c r="Y354" s="38"/>
      <c r="Z354" s="44"/>
      <c r="AA354" s="45">
        <v>46116</v>
      </c>
      <c r="AB354" s="45">
        <v>46137</v>
      </c>
      <c r="AC354" s="45"/>
      <c r="AD354" s="46" t="e">
        <f>IF(ISNA(VLOOKUP(D354,#REF!,5,0)),0,VLOOKUP(D354,#REF!,5,0))</f>
        <v>#REF!</v>
      </c>
      <c r="AE354" s="46" t="e">
        <f t="shared" si="46"/>
        <v>#REF!</v>
      </c>
      <c r="AF354" s="45">
        <v>46144</v>
      </c>
      <c r="AG354" s="33">
        <f t="shared" si="44"/>
        <v>28</v>
      </c>
      <c r="AH354" s="45">
        <v>46179</v>
      </c>
      <c r="AI354" s="39"/>
      <c r="AJ354" s="39"/>
      <c r="AK354" s="39"/>
      <c r="AL354" s="35"/>
      <c r="AM354" s="34"/>
      <c r="AN354" s="34"/>
      <c r="AO354" s="39"/>
      <c r="AP354" s="47"/>
      <c r="AQ354" s="47"/>
      <c r="AR354" s="47"/>
      <c r="AS354" s="47"/>
    </row>
    <row r="355" spans="1:45" ht="12" customHeight="1" x14ac:dyDescent="0.25">
      <c r="A355" s="33">
        <v>354</v>
      </c>
      <c r="B355" s="34"/>
      <c r="C355" s="34" t="s">
        <v>141</v>
      </c>
      <c r="D355" s="35" t="s">
        <v>552</v>
      </c>
      <c r="E355" s="34" t="s">
        <v>470</v>
      </c>
      <c r="F355" s="34" t="s">
        <v>0</v>
      </c>
      <c r="G355" s="16" t="s">
        <v>292</v>
      </c>
      <c r="H355" s="34">
        <v>90</v>
      </c>
      <c r="I355" s="34" t="s">
        <v>54</v>
      </c>
      <c r="J355" s="34" t="s">
        <v>3</v>
      </c>
      <c r="K355" s="35" t="s">
        <v>22</v>
      </c>
      <c r="L355" s="36" t="e">
        <f>VLOOKUP(G355,#REF!,4,0)</f>
        <v>#REF!</v>
      </c>
      <c r="M355" s="37" t="e">
        <f>_xlfn.IFNA(VLOOKUP(G355,#REF!,2,0),"")</f>
        <v>#REF!</v>
      </c>
      <c r="N355" s="38" t="e">
        <f>_xlfn.IFNA(VLOOKUP(G355,#REF!,3,0),"")</f>
        <v>#REF!</v>
      </c>
      <c r="O355" s="39">
        <v>10</v>
      </c>
      <c r="P355" s="79">
        <v>151.80000000000001</v>
      </c>
      <c r="Q355" s="39" t="s">
        <v>10</v>
      </c>
      <c r="R355" s="34">
        <v>4.8</v>
      </c>
      <c r="S355" s="38">
        <v>200</v>
      </c>
      <c r="T355" s="40">
        <v>36.363636363636367</v>
      </c>
      <c r="U355" s="41">
        <f t="shared" si="47"/>
        <v>765.00363636363636</v>
      </c>
      <c r="V355" s="42">
        <f t="shared" si="43"/>
        <v>8.5000404040404032</v>
      </c>
      <c r="W355" s="43">
        <f t="shared" si="48"/>
        <v>1.268662746871702</v>
      </c>
      <c r="X355" s="38"/>
      <c r="Y355" s="38"/>
      <c r="Z355" s="44"/>
      <c r="AA355" s="45">
        <v>46116</v>
      </c>
      <c r="AB355" s="45">
        <v>46139</v>
      </c>
      <c r="AC355" s="45"/>
      <c r="AD355" s="46" t="e">
        <f>IF(ISNA(VLOOKUP(D355,#REF!,5,0)),0,VLOOKUP(D355,#REF!,5,0))</f>
        <v>#REF!</v>
      </c>
      <c r="AE355" s="46" t="e">
        <f t="shared" si="46"/>
        <v>#REF!</v>
      </c>
      <c r="AF355" s="45">
        <v>46151</v>
      </c>
      <c r="AG355" s="33">
        <f t="shared" si="44"/>
        <v>35</v>
      </c>
      <c r="AH355" s="45"/>
      <c r="AI355" s="39"/>
      <c r="AJ355" s="39"/>
      <c r="AK355" s="39"/>
      <c r="AL355" s="35"/>
      <c r="AM355" s="34"/>
      <c r="AN355" s="34"/>
      <c r="AO355" s="39"/>
      <c r="AP355" s="47"/>
      <c r="AQ355" s="47"/>
      <c r="AR355" s="47"/>
      <c r="AS355" s="47"/>
    </row>
    <row r="356" spans="1:45" ht="12" customHeight="1" x14ac:dyDescent="0.25">
      <c r="A356" s="33">
        <v>355</v>
      </c>
      <c r="B356" s="34"/>
      <c r="C356" s="34" t="s">
        <v>141</v>
      </c>
      <c r="D356" s="35" t="s">
        <v>552</v>
      </c>
      <c r="E356" s="34" t="s">
        <v>470</v>
      </c>
      <c r="F356" s="34" t="s">
        <v>0</v>
      </c>
      <c r="G356" s="16" t="s">
        <v>294</v>
      </c>
      <c r="H356" s="34">
        <v>360</v>
      </c>
      <c r="I356" s="34" t="s">
        <v>54</v>
      </c>
      <c r="J356" s="34" t="s">
        <v>3</v>
      </c>
      <c r="K356" s="35" t="s">
        <v>22</v>
      </c>
      <c r="L356" s="36" t="e">
        <f>VLOOKUP(G356,#REF!,4,0)</f>
        <v>#REF!</v>
      </c>
      <c r="M356" s="37" t="e">
        <f>_xlfn.IFNA(VLOOKUP(G356,#REF!,2,0),"")</f>
        <v>#REF!</v>
      </c>
      <c r="N356" s="38" t="e">
        <f>_xlfn.IFNA(VLOOKUP(G356,#REF!,3,0),"")</f>
        <v>#REF!</v>
      </c>
      <c r="O356" s="39">
        <v>40</v>
      </c>
      <c r="P356" s="79">
        <v>607.20000000000005</v>
      </c>
      <c r="Q356" s="39" t="s">
        <v>10</v>
      </c>
      <c r="R356" s="34">
        <v>4.8</v>
      </c>
      <c r="S356" s="48">
        <v>200</v>
      </c>
      <c r="T356" s="40">
        <v>145.45454545454547</v>
      </c>
      <c r="U356" s="41">
        <f t="shared" si="47"/>
        <v>3060.0145454545454</v>
      </c>
      <c r="V356" s="42">
        <f t="shared" si="43"/>
        <v>8.5000404040404032</v>
      </c>
      <c r="W356" s="43">
        <f t="shared" si="48"/>
        <v>1.268662746871702</v>
      </c>
      <c r="X356" s="38"/>
      <c r="Y356" s="38"/>
      <c r="Z356" s="44"/>
      <c r="AA356" s="45">
        <v>46116</v>
      </c>
      <c r="AB356" s="45">
        <v>46139</v>
      </c>
      <c r="AC356" s="45"/>
      <c r="AD356" s="46" t="e">
        <f>IF(ISNA(VLOOKUP(D356,#REF!,5,0)),0,VLOOKUP(D356,#REF!,5,0))</f>
        <v>#REF!</v>
      </c>
      <c r="AE356" s="46" t="e">
        <f t="shared" si="46"/>
        <v>#REF!</v>
      </c>
      <c r="AF356" s="45">
        <v>46151</v>
      </c>
      <c r="AG356" s="33">
        <f t="shared" si="44"/>
        <v>35</v>
      </c>
      <c r="AH356" s="45"/>
      <c r="AI356" s="39"/>
      <c r="AJ356" s="39"/>
      <c r="AK356" s="39"/>
      <c r="AL356" s="35"/>
      <c r="AM356" s="34"/>
      <c r="AN356" s="34"/>
      <c r="AO356" s="39"/>
      <c r="AP356" s="47"/>
      <c r="AQ356" s="47"/>
      <c r="AR356" s="47"/>
      <c r="AS356" s="47"/>
    </row>
    <row r="357" spans="1:45" ht="12" customHeight="1" x14ac:dyDescent="0.25">
      <c r="A357" s="33">
        <v>356</v>
      </c>
      <c r="B357" s="34"/>
      <c r="C357" s="34" t="s">
        <v>140</v>
      </c>
      <c r="D357" s="35" t="s">
        <v>553</v>
      </c>
      <c r="E357" s="34" t="s">
        <v>172</v>
      </c>
      <c r="F357" s="34" t="s">
        <v>0</v>
      </c>
      <c r="G357" s="16" t="s">
        <v>264</v>
      </c>
      <c r="H357" s="34">
        <v>592</v>
      </c>
      <c r="I357" s="34" t="s">
        <v>218</v>
      </c>
      <c r="J357" s="34" t="s">
        <v>2</v>
      </c>
      <c r="K357" s="35" t="s">
        <v>17</v>
      </c>
      <c r="L357" s="36" t="e">
        <f>VLOOKUP(G357,#REF!,4,0)</f>
        <v>#REF!</v>
      </c>
      <c r="M357" s="37" t="e">
        <f>_xlfn.IFNA(VLOOKUP(G357,#REF!,2,0),"")</f>
        <v>#REF!</v>
      </c>
      <c r="N357" s="38" t="e">
        <f>_xlfn.IFNA(VLOOKUP(G357,#REF!,3,0),"")</f>
        <v>#REF!</v>
      </c>
      <c r="O357" s="39">
        <v>37</v>
      </c>
      <c r="P357" s="79">
        <v>1.6217021276595744</v>
      </c>
      <c r="Q357" s="39" t="s">
        <v>420</v>
      </c>
      <c r="R357" s="34">
        <v>1890</v>
      </c>
      <c r="S357" s="38">
        <v>180</v>
      </c>
      <c r="T357" s="40">
        <v>141.70212765957447</v>
      </c>
      <c r="U357" s="41">
        <f t="shared" si="47"/>
        <v>3206.7191489361703</v>
      </c>
      <c r="V357" s="42">
        <f t="shared" si="43"/>
        <v>5.4167553191489359</v>
      </c>
      <c r="W357" s="43">
        <f t="shared" si="48"/>
        <v>0.80847094315655754</v>
      </c>
      <c r="X357" s="38"/>
      <c r="Y357" s="38"/>
      <c r="Z357" s="44"/>
      <c r="AA357" s="45">
        <v>46115</v>
      </c>
      <c r="AB357" s="45">
        <v>46131</v>
      </c>
      <c r="AC357" s="45"/>
      <c r="AD357" s="46" t="e">
        <f>IF(ISNA(VLOOKUP(D357,#REF!,5,0)),0,VLOOKUP(D357,#REF!,5,0))</f>
        <v>#REF!</v>
      </c>
      <c r="AE357" s="46" t="e">
        <f t="shared" si="46"/>
        <v>#REF!</v>
      </c>
      <c r="AF357" s="45">
        <v>46136</v>
      </c>
      <c r="AG357" s="33">
        <f t="shared" si="44"/>
        <v>21</v>
      </c>
      <c r="AH357" s="45">
        <v>46170</v>
      </c>
      <c r="AI357" s="39"/>
      <c r="AJ357" s="39"/>
      <c r="AK357" s="39"/>
      <c r="AL357" s="35"/>
      <c r="AM357" s="34"/>
      <c r="AN357" s="34"/>
      <c r="AO357" s="39"/>
      <c r="AP357" s="47"/>
      <c r="AQ357" s="47"/>
      <c r="AR357" s="47"/>
      <c r="AS357" s="47"/>
    </row>
    <row r="358" spans="1:45" ht="12" customHeight="1" x14ac:dyDescent="0.25">
      <c r="A358" s="33">
        <v>357</v>
      </c>
      <c r="B358" s="34"/>
      <c r="C358" s="34" t="s">
        <v>140</v>
      </c>
      <c r="D358" s="35" t="s">
        <v>553</v>
      </c>
      <c r="E358" s="34" t="s">
        <v>172</v>
      </c>
      <c r="F358" s="34" t="s">
        <v>0</v>
      </c>
      <c r="G358" s="16" t="s">
        <v>266</v>
      </c>
      <c r="H358" s="34">
        <v>160</v>
      </c>
      <c r="I358" s="34" t="s">
        <v>218</v>
      </c>
      <c r="J358" s="34" t="s">
        <v>2</v>
      </c>
      <c r="K358" s="35" t="s">
        <v>17</v>
      </c>
      <c r="L358" s="36" t="e">
        <f>VLOOKUP(G358,#REF!,4,0)</f>
        <v>#REF!</v>
      </c>
      <c r="M358" s="37" t="e">
        <f>_xlfn.IFNA(VLOOKUP(G358,#REF!,2,0),"")</f>
        <v>#REF!</v>
      </c>
      <c r="N358" s="38" t="e">
        <f>_xlfn.IFNA(VLOOKUP(G358,#REF!,3,0),"")</f>
        <v>#REF!</v>
      </c>
      <c r="O358" s="39">
        <v>10</v>
      </c>
      <c r="P358" s="79">
        <v>0.4382978723404255</v>
      </c>
      <c r="Q358" s="39" t="s">
        <v>420</v>
      </c>
      <c r="R358" s="34">
        <v>1890</v>
      </c>
      <c r="S358" s="48">
        <v>180</v>
      </c>
      <c r="T358" s="40">
        <v>38.297872340425535</v>
      </c>
      <c r="U358" s="41">
        <f t="shared" si="47"/>
        <v>866.68085106382978</v>
      </c>
      <c r="V358" s="42">
        <f t="shared" si="43"/>
        <v>5.4167553191489359</v>
      </c>
      <c r="W358" s="43">
        <f t="shared" si="48"/>
        <v>0.80847094315655754</v>
      </c>
      <c r="X358" s="38"/>
      <c r="Y358" s="38"/>
      <c r="Z358" s="44"/>
      <c r="AA358" s="45">
        <v>46115</v>
      </c>
      <c r="AB358" s="45">
        <v>46131</v>
      </c>
      <c r="AC358" s="45"/>
      <c r="AD358" s="46" t="e">
        <f>IF(ISNA(VLOOKUP(D358,#REF!,5,0)),0,VLOOKUP(D358,#REF!,5,0))</f>
        <v>#REF!</v>
      </c>
      <c r="AE358" s="46" t="e">
        <f t="shared" si="46"/>
        <v>#REF!</v>
      </c>
      <c r="AF358" s="45">
        <v>46136</v>
      </c>
      <c r="AG358" s="33">
        <f t="shared" si="44"/>
        <v>21</v>
      </c>
      <c r="AH358" s="45">
        <v>46170</v>
      </c>
      <c r="AI358" s="39"/>
      <c r="AJ358" s="39"/>
      <c r="AK358" s="39"/>
      <c r="AL358" s="35"/>
      <c r="AM358" s="34"/>
      <c r="AN358" s="34"/>
      <c r="AO358" s="39"/>
      <c r="AP358" s="47"/>
      <c r="AQ358" s="47"/>
      <c r="AR358" s="47"/>
      <c r="AS358" s="47"/>
    </row>
    <row r="359" spans="1:45" ht="12" customHeight="1" x14ac:dyDescent="0.25">
      <c r="A359" s="33">
        <v>358</v>
      </c>
      <c r="B359" s="34"/>
      <c r="C359" s="34" t="s">
        <v>554</v>
      </c>
      <c r="D359" s="35" t="s">
        <v>555</v>
      </c>
      <c r="E359" s="34" t="s">
        <v>172</v>
      </c>
      <c r="F359" s="34" t="s">
        <v>0</v>
      </c>
      <c r="G359" s="16" t="s">
        <v>264</v>
      </c>
      <c r="H359" s="34">
        <v>304</v>
      </c>
      <c r="I359" s="34" t="s">
        <v>62</v>
      </c>
      <c r="J359" s="34" t="s">
        <v>3</v>
      </c>
      <c r="K359" s="35" t="s">
        <v>17</v>
      </c>
      <c r="L359" s="36" t="e">
        <f>VLOOKUP(G359,#REF!,4,0)</f>
        <v>#REF!</v>
      </c>
      <c r="M359" s="37" t="e">
        <f>_xlfn.IFNA(VLOOKUP(G359,#REF!,2,0),"")</f>
        <v>#REF!</v>
      </c>
      <c r="N359" s="38" t="e">
        <f>_xlfn.IFNA(VLOOKUP(G359,#REF!,3,0),"")</f>
        <v>#REF!</v>
      </c>
      <c r="O359" s="39">
        <v>19</v>
      </c>
      <c r="P359" s="79">
        <v>256</v>
      </c>
      <c r="Q359" s="39" t="s">
        <v>10</v>
      </c>
      <c r="R359" s="34">
        <v>3.2</v>
      </c>
      <c r="S359" s="38">
        <v>200</v>
      </c>
      <c r="T359" s="40">
        <v>200</v>
      </c>
      <c r="U359" s="41">
        <f t="shared" si="47"/>
        <v>1019.2</v>
      </c>
      <c r="V359" s="42">
        <f t="shared" si="43"/>
        <v>3.3526315789473684</v>
      </c>
      <c r="W359" s="43">
        <f t="shared" si="48"/>
        <v>0.50039277297721918</v>
      </c>
      <c r="X359" s="38"/>
      <c r="Y359" s="38"/>
      <c r="Z359" s="44"/>
      <c r="AA359" s="45">
        <v>46115</v>
      </c>
      <c r="AB359" s="45">
        <v>46137</v>
      </c>
      <c r="AC359" s="45"/>
      <c r="AD359" s="46" t="e">
        <f>IF(ISNA(VLOOKUP(D359,#REF!,5,0)),0,VLOOKUP(D359,#REF!,5,0))</f>
        <v>#REF!</v>
      </c>
      <c r="AE359" s="46" t="e">
        <f t="shared" si="46"/>
        <v>#REF!</v>
      </c>
      <c r="AF359" s="45">
        <v>46153</v>
      </c>
      <c r="AG359" s="33">
        <f t="shared" si="44"/>
        <v>38</v>
      </c>
      <c r="AH359" s="45"/>
      <c r="AI359" s="39"/>
      <c r="AJ359" s="39"/>
      <c r="AK359" s="39"/>
      <c r="AL359" s="35"/>
      <c r="AM359" s="34"/>
      <c r="AN359" s="34"/>
      <c r="AO359" s="39"/>
      <c r="AP359" s="47"/>
      <c r="AQ359" s="47"/>
      <c r="AR359" s="47"/>
      <c r="AS359" s="47"/>
    </row>
    <row r="360" spans="1:45" ht="12" customHeight="1" x14ac:dyDescent="0.25">
      <c r="A360" s="33">
        <v>359</v>
      </c>
      <c r="B360" s="34"/>
      <c r="C360" s="34" t="s">
        <v>545</v>
      </c>
      <c r="D360" s="35" t="s">
        <v>556</v>
      </c>
      <c r="E360" s="34" t="s">
        <v>58</v>
      </c>
      <c r="F360" s="34" t="s">
        <v>0</v>
      </c>
      <c r="G360" s="16" t="s">
        <v>53</v>
      </c>
      <c r="H360" s="34">
        <v>240</v>
      </c>
      <c r="I360" s="34" t="s">
        <v>54</v>
      </c>
      <c r="J360" s="34" t="s">
        <v>3</v>
      </c>
      <c r="K360" s="35" t="s">
        <v>4</v>
      </c>
      <c r="L360" s="36" t="e">
        <f>VLOOKUP(G360,#REF!,4,0)</f>
        <v>#REF!</v>
      </c>
      <c r="M360" s="37" t="e">
        <f>_xlfn.IFNA(VLOOKUP(G360,#REF!,2,0),"")</f>
        <v>#REF!</v>
      </c>
      <c r="N360" s="38" t="e">
        <f>_xlfn.IFNA(VLOOKUP(G360,#REF!,3,0),"")</f>
        <v>#REF!</v>
      </c>
      <c r="O360" s="39">
        <v>20</v>
      </c>
      <c r="P360" s="79">
        <v>286.34827586206893</v>
      </c>
      <c r="Q360" s="39" t="s">
        <v>10</v>
      </c>
      <c r="R360" s="34">
        <v>4.5</v>
      </c>
      <c r="S360" s="38">
        <v>200</v>
      </c>
      <c r="T360" s="40">
        <v>17.857142857142858</v>
      </c>
      <c r="U360" s="41">
        <f t="shared" si="47"/>
        <v>1306.4243842364531</v>
      </c>
      <c r="V360" s="42">
        <f t="shared" si="43"/>
        <v>5.4434349343185549</v>
      </c>
      <c r="W360" s="43">
        <f t="shared" si="48"/>
        <v>0.81245297527142613</v>
      </c>
      <c r="X360" s="38"/>
      <c r="Y360" s="38"/>
      <c r="Z360" s="44"/>
      <c r="AA360" s="45">
        <v>46115</v>
      </c>
      <c r="AB360" s="45">
        <v>46139</v>
      </c>
      <c r="AC360" s="45"/>
      <c r="AD360" s="46" t="e">
        <f>IF(ISNA(VLOOKUP(D360,#REF!,5,0)),0,VLOOKUP(D360,#REF!,5,0))</f>
        <v>#REF!</v>
      </c>
      <c r="AE360" s="46" t="e">
        <f t="shared" si="46"/>
        <v>#REF!</v>
      </c>
      <c r="AF360" s="45">
        <v>46156</v>
      </c>
      <c r="AG360" s="33">
        <f t="shared" si="44"/>
        <v>41</v>
      </c>
      <c r="AH360" s="45"/>
      <c r="AI360" s="39"/>
      <c r="AJ360" s="39"/>
      <c r="AK360" s="39"/>
      <c r="AL360" s="35"/>
      <c r="AM360" s="34"/>
      <c r="AN360" s="34"/>
      <c r="AO360" s="39"/>
      <c r="AP360" s="47"/>
      <c r="AQ360" s="47"/>
      <c r="AR360" s="47"/>
      <c r="AS360" s="47"/>
    </row>
    <row r="361" spans="1:45" ht="12" customHeight="1" x14ac:dyDescent="0.25">
      <c r="A361" s="33">
        <v>360</v>
      </c>
      <c r="B361" s="34"/>
      <c r="C361" s="34" t="s">
        <v>545</v>
      </c>
      <c r="D361" s="35" t="s">
        <v>556</v>
      </c>
      <c r="E361" s="34" t="s">
        <v>58</v>
      </c>
      <c r="F361" s="34" t="s">
        <v>0</v>
      </c>
      <c r="G361" s="16" t="s">
        <v>57</v>
      </c>
      <c r="H361" s="34">
        <v>456</v>
      </c>
      <c r="I361" s="34" t="s">
        <v>54</v>
      </c>
      <c r="J361" s="34" t="s">
        <v>3</v>
      </c>
      <c r="K361" s="35" t="s">
        <v>4</v>
      </c>
      <c r="L361" s="36" t="e">
        <f>VLOOKUP(G361,#REF!,4,0)</f>
        <v>#REF!</v>
      </c>
      <c r="M361" s="37" t="e">
        <f>_xlfn.IFNA(VLOOKUP(G361,#REF!,2,0),"")</f>
        <v>#REF!</v>
      </c>
      <c r="N361" s="38" t="e">
        <f>_xlfn.IFNA(VLOOKUP(G361,#REF!,3,0),"")</f>
        <v>#REF!</v>
      </c>
      <c r="O361" s="39">
        <v>38</v>
      </c>
      <c r="P361" s="79">
        <v>544.06172413793104</v>
      </c>
      <c r="Q361" s="39" t="s">
        <v>10</v>
      </c>
      <c r="R361" s="34">
        <v>4.5</v>
      </c>
      <c r="S361" s="48">
        <v>200</v>
      </c>
      <c r="T361" s="40">
        <v>33.928571428571431</v>
      </c>
      <c r="U361" s="41">
        <f t="shared" si="47"/>
        <v>2482.2063300492614</v>
      </c>
      <c r="V361" s="42">
        <f t="shared" si="43"/>
        <v>5.4434349343185557</v>
      </c>
      <c r="W361" s="43">
        <f t="shared" si="48"/>
        <v>0.81245297527142624</v>
      </c>
      <c r="X361" s="38"/>
      <c r="Y361" s="38"/>
      <c r="Z361" s="44"/>
      <c r="AA361" s="45">
        <v>46115</v>
      </c>
      <c r="AB361" s="45">
        <v>46139</v>
      </c>
      <c r="AC361" s="45"/>
      <c r="AD361" s="46" t="e">
        <f>IF(ISNA(VLOOKUP(D361,#REF!,5,0)),0,VLOOKUP(D361,#REF!,5,0))</f>
        <v>#REF!</v>
      </c>
      <c r="AE361" s="46" t="e">
        <f t="shared" si="46"/>
        <v>#REF!</v>
      </c>
      <c r="AF361" s="45">
        <v>46156</v>
      </c>
      <c r="AG361" s="33">
        <f t="shared" si="44"/>
        <v>41</v>
      </c>
      <c r="AH361" s="45"/>
      <c r="AI361" s="39"/>
      <c r="AJ361" s="39"/>
      <c r="AK361" s="39"/>
      <c r="AL361" s="35"/>
      <c r="AM361" s="34"/>
      <c r="AN361" s="34"/>
      <c r="AO361" s="39"/>
      <c r="AP361" s="47"/>
      <c r="AQ361" s="47"/>
      <c r="AR361" s="47"/>
      <c r="AS361" s="47"/>
    </row>
    <row r="362" spans="1:45" ht="12" customHeight="1" x14ac:dyDescent="0.25">
      <c r="A362" s="33">
        <v>361</v>
      </c>
      <c r="B362" s="34"/>
      <c r="C362" s="34" t="s">
        <v>141</v>
      </c>
      <c r="D362" s="35" t="s">
        <v>557</v>
      </c>
      <c r="E362" s="34" t="s">
        <v>470</v>
      </c>
      <c r="F362" s="34" t="s">
        <v>0</v>
      </c>
      <c r="G362" s="16" t="s">
        <v>333</v>
      </c>
      <c r="H362" s="34">
        <v>160</v>
      </c>
      <c r="I362" s="34" t="s">
        <v>54</v>
      </c>
      <c r="J362" s="34" t="s">
        <v>3</v>
      </c>
      <c r="K362" s="35" t="s">
        <v>4</v>
      </c>
      <c r="L362" s="36" t="e">
        <f>VLOOKUP(G362,#REF!,4,0)</f>
        <v>#REF!</v>
      </c>
      <c r="M362" s="37" t="e">
        <f>_xlfn.IFNA(VLOOKUP(G362,#REF!,2,0),"")</f>
        <v>#REF!</v>
      </c>
      <c r="N362" s="38" t="e">
        <f>_xlfn.IFNA(VLOOKUP(G362,#REF!,3,0),"")</f>
        <v>#REF!</v>
      </c>
      <c r="O362" s="39">
        <v>5</v>
      </c>
      <c r="P362" s="79">
        <v>84</v>
      </c>
      <c r="Q362" s="39" t="s">
        <v>10</v>
      </c>
      <c r="R362" s="34">
        <v>4.5</v>
      </c>
      <c r="S362" s="38">
        <v>200</v>
      </c>
      <c r="T362" s="40">
        <v>18.181818181818183</v>
      </c>
      <c r="U362" s="41">
        <f t="shared" si="47"/>
        <v>396.18181818181819</v>
      </c>
      <c r="V362" s="42">
        <f t="shared" si="43"/>
        <v>2.4761363636363636</v>
      </c>
      <c r="W362" s="43">
        <f t="shared" si="48"/>
        <v>0.36957259158751693</v>
      </c>
      <c r="X362" s="38"/>
      <c r="Y362" s="38"/>
      <c r="Z362" s="44"/>
      <c r="AA362" s="45">
        <v>46115</v>
      </c>
      <c r="AB362" s="45">
        <v>46139</v>
      </c>
      <c r="AC362" s="45"/>
      <c r="AD362" s="46" t="e">
        <f>IF(ISNA(VLOOKUP(D362,#REF!,5,0)),0,VLOOKUP(D362,#REF!,5,0))</f>
        <v>#REF!</v>
      </c>
      <c r="AE362" s="46" t="e">
        <f t="shared" si="46"/>
        <v>#REF!</v>
      </c>
      <c r="AF362" s="45">
        <v>46147</v>
      </c>
      <c r="AG362" s="33">
        <f t="shared" si="44"/>
        <v>32</v>
      </c>
      <c r="AH362" s="45">
        <v>46177</v>
      </c>
      <c r="AI362" s="39"/>
      <c r="AJ362" s="39"/>
      <c r="AK362" s="39"/>
      <c r="AL362" s="35"/>
      <c r="AM362" s="34"/>
      <c r="AN362" s="34"/>
      <c r="AO362" s="39"/>
      <c r="AP362" s="47"/>
      <c r="AQ362" s="47"/>
      <c r="AR362" s="47"/>
      <c r="AS362" s="47"/>
    </row>
    <row r="363" spans="1:45" ht="12" customHeight="1" x14ac:dyDescent="0.25">
      <c r="A363" s="33">
        <v>362</v>
      </c>
      <c r="B363" s="34"/>
      <c r="C363" s="34" t="s">
        <v>545</v>
      </c>
      <c r="D363" s="35" t="s">
        <v>558</v>
      </c>
      <c r="E363" s="34" t="s">
        <v>58</v>
      </c>
      <c r="F363" s="34" t="s">
        <v>0</v>
      </c>
      <c r="G363" s="16" t="s">
        <v>239</v>
      </c>
      <c r="H363" s="34">
        <v>160</v>
      </c>
      <c r="I363" s="34" t="s">
        <v>54</v>
      </c>
      <c r="J363" s="34" t="s">
        <v>3</v>
      </c>
      <c r="K363" s="35" t="s">
        <v>4</v>
      </c>
      <c r="L363" s="36" t="e">
        <f>VLOOKUP(G363,#REF!,4,0)</f>
        <v>#REF!</v>
      </c>
      <c r="M363" s="37" t="e">
        <f>_xlfn.IFNA(VLOOKUP(G363,#REF!,2,0),"")</f>
        <v>#REF!</v>
      </c>
      <c r="N363" s="38" t="e">
        <f>_xlfn.IFNA(VLOOKUP(G363,#REF!,3,0),"")</f>
        <v>#REF!</v>
      </c>
      <c r="O363" s="39">
        <v>5</v>
      </c>
      <c r="P363" s="79">
        <v>71.59</v>
      </c>
      <c r="Q363" s="39" t="s">
        <v>10</v>
      </c>
      <c r="R363" s="34">
        <v>4.5</v>
      </c>
      <c r="S363" s="38">
        <v>200</v>
      </c>
      <c r="T363" s="40">
        <v>4.4642857142857144</v>
      </c>
      <c r="U363" s="41">
        <f t="shared" si="47"/>
        <v>326.61928571428575</v>
      </c>
      <c r="V363" s="42">
        <f t="shared" si="43"/>
        <v>2.0413705357142859</v>
      </c>
      <c r="W363" s="43">
        <f t="shared" si="48"/>
        <v>0.30468216950959492</v>
      </c>
      <c r="X363" s="38"/>
      <c r="Y363" s="38"/>
      <c r="Z363" s="44"/>
      <c r="AA363" s="45">
        <v>46115</v>
      </c>
      <c r="AB363" s="45">
        <v>46139</v>
      </c>
      <c r="AC363" s="45"/>
      <c r="AD363" s="46" t="e">
        <f>IF(ISNA(VLOOKUP(D363,#REF!,5,0)),0,VLOOKUP(D363,#REF!,5,0))</f>
        <v>#REF!</v>
      </c>
      <c r="AE363" s="46" t="e">
        <f t="shared" si="46"/>
        <v>#REF!</v>
      </c>
      <c r="AF363" s="45">
        <v>46158</v>
      </c>
      <c r="AG363" s="33">
        <f t="shared" si="44"/>
        <v>43</v>
      </c>
      <c r="AH363" s="45"/>
      <c r="AI363" s="39"/>
      <c r="AJ363" s="39"/>
      <c r="AK363" s="39"/>
      <c r="AL363" s="35"/>
      <c r="AM363" s="34"/>
      <c r="AN363" s="34"/>
      <c r="AO363" s="39"/>
      <c r="AP363" s="47"/>
      <c r="AQ363" s="47"/>
      <c r="AR363" s="47"/>
      <c r="AS363" s="47"/>
    </row>
    <row r="364" spans="1:45" ht="12" customHeight="1" x14ac:dyDescent="0.25">
      <c r="A364" s="33">
        <v>363</v>
      </c>
      <c r="B364" s="34"/>
      <c r="C364" s="34" t="s">
        <v>144</v>
      </c>
      <c r="D364" s="35" t="s">
        <v>559</v>
      </c>
      <c r="E364" s="34" t="s">
        <v>61</v>
      </c>
      <c r="F364" s="34" t="s">
        <v>0</v>
      </c>
      <c r="G364" s="16" t="s">
        <v>245</v>
      </c>
      <c r="H364" s="34">
        <v>180</v>
      </c>
      <c r="I364" s="34" t="s">
        <v>218</v>
      </c>
      <c r="J364" s="34" t="s">
        <v>3</v>
      </c>
      <c r="K364" s="35" t="s">
        <v>19</v>
      </c>
      <c r="L364" s="36" t="e">
        <f>VLOOKUP(G364,#REF!,4,0)</f>
        <v>#REF!</v>
      </c>
      <c r="M364" s="37" t="e">
        <f>_xlfn.IFNA(VLOOKUP(G364,#REF!,2,0),"")</f>
        <v>#REF!</v>
      </c>
      <c r="N364" s="38" t="e">
        <f>_xlfn.IFNA(VLOOKUP(G364,#REF!,3,0),"")</f>
        <v>#REF!</v>
      </c>
      <c r="O364" s="39">
        <v>2</v>
      </c>
      <c r="P364" s="79">
        <v>9.3333333333333338E-2</v>
      </c>
      <c r="Q364" s="39" t="s">
        <v>420</v>
      </c>
      <c r="R364" s="34">
        <v>1030</v>
      </c>
      <c r="S364" s="38">
        <v>180</v>
      </c>
      <c r="T364" s="40">
        <v>12.857142857142858</v>
      </c>
      <c r="U364" s="41">
        <f t="shared" si="47"/>
        <v>108.9904761904762</v>
      </c>
      <c r="V364" s="42">
        <f t="shared" si="43"/>
        <v>0.60550264550264554</v>
      </c>
      <c r="W364" s="43">
        <f t="shared" si="48"/>
        <v>9.0373529179499326E-2</v>
      </c>
      <c r="X364" s="38"/>
      <c r="Y364" s="38"/>
      <c r="Z364" s="44"/>
      <c r="AA364" s="45">
        <v>46114</v>
      </c>
      <c r="AB364" s="45">
        <v>46137</v>
      </c>
      <c r="AC364" s="45"/>
      <c r="AD364" s="46" t="e">
        <f>IF(ISNA(VLOOKUP(D364,#REF!,5,0)),0,VLOOKUP(D364,#REF!,5,0))</f>
        <v>#REF!</v>
      </c>
      <c r="AE364" s="46" t="e">
        <f t="shared" si="46"/>
        <v>#REF!</v>
      </c>
      <c r="AF364" s="45">
        <v>46156</v>
      </c>
      <c r="AG364" s="33">
        <f t="shared" si="44"/>
        <v>42</v>
      </c>
      <c r="AH364" s="45"/>
      <c r="AI364" s="39"/>
      <c r="AJ364" s="39"/>
      <c r="AK364" s="39"/>
      <c r="AL364" s="35"/>
      <c r="AM364" s="34"/>
      <c r="AN364" s="34"/>
      <c r="AO364" s="39"/>
      <c r="AP364" s="47"/>
      <c r="AQ364" s="47"/>
      <c r="AR364" s="47"/>
      <c r="AS364" s="47"/>
    </row>
    <row r="365" spans="1:45" ht="12" customHeight="1" x14ac:dyDescent="0.25">
      <c r="A365" s="33">
        <v>364</v>
      </c>
      <c r="B365" s="34"/>
      <c r="C365" s="34" t="s">
        <v>144</v>
      </c>
      <c r="D365" s="35" t="s">
        <v>559</v>
      </c>
      <c r="E365" s="34" t="s">
        <v>61</v>
      </c>
      <c r="F365" s="34" t="s">
        <v>0</v>
      </c>
      <c r="G365" s="16" t="s">
        <v>175</v>
      </c>
      <c r="H365" s="34">
        <v>90</v>
      </c>
      <c r="I365" s="34" t="s">
        <v>218</v>
      </c>
      <c r="J365" s="34" t="s">
        <v>3</v>
      </c>
      <c r="K365" s="35" t="s">
        <v>19</v>
      </c>
      <c r="L365" s="36" t="e">
        <f>VLOOKUP(G365,#REF!,4,0)</f>
        <v>#REF!</v>
      </c>
      <c r="M365" s="37" t="e">
        <f>_xlfn.IFNA(VLOOKUP(G365,#REF!,2,0),"")</f>
        <v>#REF!</v>
      </c>
      <c r="N365" s="38" t="e">
        <f>_xlfn.IFNA(VLOOKUP(G365,#REF!,3,0),"")</f>
        <v>#REF!</v>
      </c>
      <c r="O365" s="39">
        <v>1</v>
      </c>
      <c r="P365" s="79">
        <v>4.6666666666666669E-2</v>
      </c>
      <c r="Q365" s="39" t="s">
        <v>420</v>
      </c>
      <c r="R365" s="34">
        <v>1030</v>
      </c>
      <c r="S365" s="48">
        <v>180</v>
      </c>
      <c r="T365" s="40">
        <v>6.4285714285714288</v>
      </c>
      <c r="U365" s="41">
        <f t="shared" si="47"/>
        <v>54.495238095238101</v>
      </c>
      <c r="V365" s="42">
        <f t="shared" si="43"/>
        <v>0.60550264550264554</v>
      </c>
      <c r="W365" s="43">
        <f t="shared" si="48"/>
        <v>9.0373529179499326E-2</v>
      </c>
      <c r="X365" s="38"/>
      <c r="Y365" s="38"/>
      <c r="Z365" s="44"/>
      <c r="AA365" s="45">
        <v>46114</v>
      </c>
      <c r="AB365" s="45">
        <v>46137</v>
      </c>
      <c r="AC365" s="45"/>
      <c r="AD365" s="46" t="e">
        <f>IF(ISNA(VLOOKUP(D365,#REF!,5,0)),0,VLOOKUP(D365,#REF!,5,0))</f>
        <v>#REF!</v>
      </c>
      <c r="AE365" s="46" t="e">
        <f t="shared" si="46"/>
        <v>#REF!</v>
      </c>
      <c r="AF365" s="45">
        <v>46156</v>
      </c>
      <c r="AG365" s="33">
        <f t="shared" si="44"/>
        <v>42</v>
      </c>
      <c r="AH365" s="45"/>
      <c r="AI365" s="39"/>
      <c r="AJ365" s="39"/>
      <c r="AK365" s="39"/>
      <c r="AL365" s="35"/>
      <c r="AM365" s="34"/>
      <c r="AN365" s="34"/>
      <c r="AO365" s="39"/>
      <c r="AP365" s="47"/>
      <c r="AQ365" s="47"/>
      <c r="AR365" s="47"/>
      <c r="AS365" s="47"/>
    </row>
    <row r="366" spans="1:45" ht="12" customHeight="1" x14ac:dyDescent="0.25">
      <c r="A366" s="33">
        <v>365</v>
      </c>
      <c r="B366" s="34"/>
      <c r="C366" s="34" t="s">
        <v>144</v>
      </c>
      <c r="D366" s="35" t="s">
        <v>559</v>
      </c>
      <c r="E366" s="34" t="s">
        <v>61</v>
      </c>
      <c r="F366" s="34" t="s">
        <v>0</v>
      </c>
      <c r="G366" s="16" t="s">
        <v>121</v>
      </c>
      <c r="H366" s="34">
        <v>270</v>
      </c>
      <c r="I366" s="34" t="s">
        <v>218</v>
      </c>
      <c r="J366" s="34" t="s">
        <v>3</v>
      </c>
      <c r="K366" s="35" t="s">
        <v>19</v>
      </c>
      <c r="L366" s="36" t="e">
        <f>VLOOKUP(G366,#REF!,4,0)</f>
        <v>#REF!</v>
      </c>
      <c r="M366" s="37" t="e">
        <f>_xlfn.IFNA(VLOOKUP(G366,#REF!,2,0),"")</f>
        <v>#REF!</v>
      </c>
      <c r="N366" s="38" t="e">
        <f>_xlfn.IFNA(VLOOKUP(G366,#REF!,3,0),"")</f>
        <v>#REF!</v>
      </c>
      <c r="O366" s="39">
        <v>3</v>
      </c>
      <c r="P366" s="79">
        <v>0.14000000000000001</v>
      </c>
      <c r="Q366" s="39" t="s">
        <v>420</v>
      </c>
      <c r="R366" s="34">
        <v>1030</v>
      </c>
      <c r="S366" s="38"/>
      <c r="T366" s="40">
        <v>19.285714285714285</v>
      </c>
      <c r="U366" s="41">
        <f t="shared" si="47"/>
        <v>163.48571428571429</v>
      </c>
      <c r="V366" s="42">
        <f t="shared" si="43"/>
        <v>0.60550264550264554</v>
      </c>
      <c r="W366" s="43">
        <f t="shared" si="48"/>
        <v>9.0373529179499326E-2</v>
      </c>
      <c r="X366" s="38"/>
      <c r="Y366" s="38"/>
      <c r="Z366" s="44"/>
      <c r="AA366" s="45">
        <v>46114</v>
      </c>
      <c r="AB366" s="45">
        <v>46137</v>
      </c>
      <c r="AC366" s="45"/>
      <c r="AD366" s="46" t="e">
        <f>IF(ISNA(VLOOKUP(D366,#REF!,5,0)),0,VLOOKUP(D366,#REF!,5,0))</f>
        <v>#REF!</v>
      </c>
      <c r="AE366" s="46" t="e">
        <f t="shared" si="46"/>
        <v>#REF!</v>
      </c>
      <c r="AF366" s="45">
        <v>46156</v>
      </c>
      <c r="AG366" s="33">
        <f t="shared" si="44"/>
        <v>42</v>
      </c>
      <c r="AH366" s="45"/>
      <c r="AI366" s="39"/>
      <c r="AJ366" s="39"/>
      <c r="AK366" s="39"/>
      <c r="AL366" s="35"/>
      <c r="AM366" s="34"/>
      <c r="AN366" s="34"/>
      <c r="AO366" s="39"/>
      <c r="AP366" s="47"/>
      <c r="AQ366" s="47"/>
      <c r="AR366" s="47"/>
      <c r="AS366" s="47"/>
    </row>
    <row r="367" spans="1:45" ht="12" customHeight="1" x14ac:dyDescent="0.25">
      <c r="A367" s="33">
        <v>366</v>
      </c>
      <c r="B367" s="34"/>
      <c r="C367" s="34" t="s">
        <v>144</v>
      </c>
      <c r="D367" s="35" t="s">
        <v>560</v>
      </c>
      <c r="E367" s="34" t="s">
        <v>58</v>
      </c>
      <c r="F367" s="34" t="s">
        <v>0</v>
      </c>
      <c r="G367" s="16" t="s">
        <v>88</v>
      </c>
      <c r="H367" s="34">
        <v>630</v>
      </c>
      <c r="I367" s="34" t="s">
        <v>218</v>
      </c>
      <c r="J367" s="34" t="s">
        <v>3</v>
      </c>
      <c r="K367" s="35" t="s">
        <v>19</v>
      </c>
      <c r="L367" s="36" t="e">
        <f>VLOOKUP(G367,#REF!,4,0)</f>
        <v>#REF!</v>
      </c>
      <c r="M367" s="37" t="e">
        <f>_xlfn.IFNA(VLOOKUP(G367,#REF!,2,0),"")</f>
        <v>#REF!</v>
      </c>
      <c r="N367" s="38" t="e">
        <f>_xlfn.IFNA(VLOOKUP(G367,#REF!,3,0),"")</f>
        <v>#REF!</v>
      </c>
      <c r="O367" s="39">
        <v>7</v>
      </c>
      <c r="P367" s="79">
        <v>0.32200000000000001</v>
      </c>
      <c r="Q367" s="39" t="s">
        <v>420</v>
      </c>
      <c r="R367" s="34">
        <v>1030</v>
      </c>
      <c r="S367" s="38"/>
      <c r="T367" s="40">
        <v>45</v>
      </c>
      <c r="U367" s="41">
        <f t="shared" si="47"/>
        <v>376.66</v>
      </c>
      <c r="V367" s="42">
        <f t="shared" si="43"/>
        <v>0.59787301587301589</v>
      </c>
      <c r="W367" s="43">
        <f t="shared" si="48"/>
        <v>8.9234778488509831E-2</v>
      </c>
      <c r="X367" s="38"/>
      <c r="Y367" s="38"/>
      <c r="Z367" s="44"/>
      <c r="AA367" s="45">
        <v>46114</v>
      </c>
      <c r="AB367" s="45">
        <v>46137</v>
      </c>
      <c r="AC367" s="45"/>
      <c r="AD367" s="46" t="e">
        <f>IF(ISNA(VLOOKUP(D367,#REF!,5,0)),0,VLOOKUP(D367,#REF!,5,0))</f>
        <v>#REF!</v>
      </c>
      <c r="AE367" s="46" t="e">
        <f t="shared" si="46"/>
        <v>#REF!</v>
      </c>
      <c r="AF367" s="45">
        <v>46156</v>
      </c>
      <c r="AG367" s="33">
        <f t="shared" si="44"/>
        <v>42</v>
      </c>
      <c r="AH367" s="45"/>
      <c r="AI367" s="39"/>
      <c r="AJ367" s="39"/>
      <c r="AK367" s="39"/>
      <c r="AL367" s="35"/>
      <c r="AM367" s="34"/>
      <c r="AN367" s="34"/>
      <c r="AO367" s="39"/>
      <c r="AP367" s="47"/>
      <c r="AQ367" s="47"/>
      <c r="AR367" s="47"/>
      <c r="AS367" s="47"/>
    </row>
    <row r="368" spans="1:45" ht="12" customHeight="1" x14ac:dyDescent="0.25">
      <c r="A368" s="33">
        <v>367</v>
      </c>
      <c r="B368" s="34"/>
      <c r="C368" s="34" t="s">
        <v>144</v>
      </c>
      <c r="D368" s="35" t="s">
        <v>560</v>
      </c>
      <c r="E368" s="34" t="s">
        <v>58</v>
      </c>
      <c r="F368" s="34" t="s">
        <v>0</v>
      </c>
      <c r="G368" s="16" t="s">
        <v>212</v>
      </c>
      <c r="H368" s="34">
        <v>60</v>
      </c>
      <c r="I368" s="34" t="s">
        <v>218</v>
      </c>
      <c r="J368" s="34" t="s">
        <v>3</v>
      </c>
      <c r="K368" s="35" t="s">
        <v>19</v>
      </c>
      <c r="L368" s="36" t="e">
        <f>VLOOKUP(G368,#REF!,4,0)</f>
        <v>#REF!</v>
      </c>
      <c r="M368" s="37" t="e">
        <f>_xlfn.IFNA(VLOOKUP(G368,#REF!,2,0),"")</f>
        <v>#REF!</v>
      </c>
      <c r="N368" s="38" t="e">
        <f>_xlfn.IFNA(VLOOKUP(G368,#REF!,3,0),"")</f>
        <v>#REF!</v>
      </c>
      <c r="O368" s="39">
        <v>3</v>
      </c>
      <c r="P368" s="79">
        <v>0.13800000000000001</v>
      </c>
      <c r="Q368" s="39" t="s">
        <v>420</v>
      </c>
      <c r="R368" s="34">
        <v>1030</v>
      </c>
      <c r="S368" s="38"/>
      <c r="T368" s="40">
        <v>19.285714285714285</v>
      </c>
      <c r="U368" s="41">
        <f t="shared" si="47"/>
        <v>161.42571428571429</v>
      </c>
      <c r="V368" s="42">
        <f t="shared" si="43"/>
        <v>2.6904285714285714</v>
      </c>
      <c r="W368" s="43">
        <f t="shared" si="48"/>
        <v>0.40155650319829422</v>
      </c>
      <c r="X368" s="38"/>
      <c r="Y368" s="38"/>
      <c r="Z368" s="44"/>
      <c r="AA368" s="45">
        <v>46114</v>
      </c>
      <c r="AB368" s="45">
        <v>46137</v>
      </c>
      <c r="AC368" s="45"/>
      <c r="AD368" s="46" t="e">
        <f>IF(ISNA(VLOOKUP(D368,#REF!,5,0)),0,VLOOKUP(D368,#REF!,5,0))</f>
        <v>#REF!</v>
      </c>
      <c r="AE368" s="46" t="e">
        <f t="shared" si="46"/>
        <v>#REF!</v>
      </c>
      <c r="AF368" s="45">
        <v>46156</v>
      </c>
      <c r="AG368" s="33">
        <f t="shared" si="44"/>
        <v>42</v>
      </c>
      <c r="AH368" s="45"/>
      <c r="AI368" s="39"/>
      <c r="AJ368" s="39"/>
      <c r="AK368" s="39"/>
      <c r="AL368" s="35"/>
      <c r="AM368" s="34"/>
      <c r="AN368" s="34"/>
      <c r="AO368" s="39"/>
      <c r="AP368" s="47"/>
      <c r="AQ368" s="47"/>
      <c r="AR368" s="47"/>
      <c r="AS368" s="47"/>
    </row>
    <row r="369" spans="1:45" ht="12" customHeight="1" x14ac:dyDescent="0.25">
      <c r="A369" s="33">
        <v>368</v>
      </c>
      <c r="B369" s="34" t="s">
        <v>564</v>
      </c>
      <c r="C369" s="34" t="s">
        <v>144</v>
      </c>
      <c r="D369" s="35" t="s">
        <v>561</v>
      </c>
      <c r="E369" s="34" t="s">
        <v>61</v>
      </c>
      <c r="F369" s="34" t="s">
        <v>0</v>
      </c>
      <c r="G369" s="16" t="s">
        <v>278</v>
      </c>
      <c r="H369" s="34">
        <v>192</v>
      </c>
      <c r="I369" s="34" t="s">
        <v>218</v>
      </c>
      <c r="J369" s="34" t="s">
        <v>3</v>
      </c>
      <c r="K369" s="35" t="s">
        <v>19</v>
      </c>
      <c r="L369" s="36" t="e">
        <f>VLOOKUP(G369,#REF!,4,0)</f>
        <v>#REF!</v>
      </c>
      <c r="M369" s="37" t="e">
        <f>_xlfn.IFNA(VLOOKUP(G369,#REF!,2,0),"")</f>
        <v>#REF!</v>
      </c>
      <c r="N369" s="38" t="e">
        <f>_xlfn.IFNA(VLOOKUP(G369,#REF!,3,0),"")</f>
        <v>#REF!</v>
      </c>
      <c r="O369" s="39">
        <v>3</v>
      </c>
      <c r="P369" s="79">
        <v>0.13750000000000001</v>
      </c>
      <c r="Q369" s="39" t="s">
        <v>420</v>
      </c>
      <c r="R369" s="34">
        <v>1030</v>
      </c>
      <c r="S369" s="38"/>
      <c r="T369" s="40">
        <v>19.285714285714285</v>
      </c>
      <c r="U369" s="41">
        <f t="shared" si="47"/>
        <v>160.91071428571428</v>
      </c>
      <c r="V369" s="42">
        <f t="shared" si="43"/>
        <v>0.83807663690476186</v>
      </c>
      <c r="W369" s="43">
        <f t="shared" si="48"/>
        <v>0.12508606520966595</v>
      </c>
      <c r="X369" s="38"/>
      <c r="Y369" s="38"/>
      <c r="Z369" s="44"/>
      <c r="AA369" s="45">
        <v>46115</v>
      </c>
      <c r="AB369" s="45">
        <v>46137</v>
      </c>
      <c r="AC369" s="45"/>
      <c r="AD369" s="46" t="e">
        <f>IF(ISNA(VLOOKUP(D369,#REF!,5,0)),0,VLOOKUP(D369,#REF!,5,0))</f>
        <v>#REF!</v>
      </c>
      <c r="AE369" s="46" t="e">
        <f t="shared" si="46"/>
        <v>#REF!</v>
      </c>
      <c r="AF369" s="45">
        <v>46151</v>
      </c>
      <c r="AG369" s="33">
        <f t="shared" si="44"/>
        <v>36</v>
      </c>
      <c r="AH369" s="45">
        <v>46181</v>
      </c>
      <c r="AI369" s="39"/>
      <c r="AJ369" s="39"/>
      <c r="AK369" s="39"/>
      <c r="AL369" s="35"/>
      <c r="AM369" s="34"/>
      <c r="AN369" s="34"/>
      <c r="AO369" s="39"/>
      <c r="AP369" s="47"/>
      <c r="AQ369" s="47"/>
      <c r="AR369" s="47"/>
      <c r="AS369" s="47"/>
    </row>
    <row r="370" spans="1:45" ht="12" customHeight="1" x14ac:dyDescent="0.25">
      <c r="A370" s="33">
        <v>369</v>
      </c>
      <c r="B370" s="34"/>
      <c r="C370" s="34" t="s">
        <v>144</v>
      </c>
      <c r="D370" s="35" t="s">
        <v>561</v>
      </c>
      <c r="E370" s="34" t="s">
        <v>61</v>
      </c>
      <c r="F370" s="34" t="s">
        <v>0</v>
      </c>
      <c r="G370" s="16" t="s">
        <v>277</v>
      </c>
      <c r="H370" s="34">
        <v>128</v>
      </c>
      <c r="I370" s="34" t="s">
        <v>218</v>
      </c>
      <c r="J370" s="34" t="s">
        <v>3</v>
      </c>
      <c r="K370" s="35" t="s">
        <v>19</v>
      </c>
      <c r="L370" s="36" t="e">
        <f>VLOOKUP(G370,#REF!,4,0)</f>
        <v>#REF!</v>
      </c>
      <c r="M370" s="37" t="e">
        <f>_xlfn.IFNA(VLOOKUP(G370,#REF!,2,0),"")</f>
        <v>#REF!</v>
      </c>
      <c r="N370" s="38" t="e">
        <f>_xlfn.IFNA(VLOOKUP(G370,#REF!,3,0),"")</f>
        <v>#REF!</v>
      </c>
      <c r="O370" s="39">
        <v>2</v>
      </c>
      <c r="P370" s="79">
        <v>9.1666666666666674E-2</v>
      </c>
      <c r="Q370" s="39" t="s">
        <v>420</v>
      </c>
      <c r="R370" s="34">
        <v>1030</v>
      </c>
      <c r="S370" s="38"/>
      <c r="T370" s="40">
        <v>12.857142857142858</v>
      </c>
      <c r="U370" s="41">
        <f t="shared" si="47"/>
        <v>107.27380952380953</v>
      </c>
      <c r="V370" s="42">
        <f t="shared" si="43"/>
        <v>0.83807663690476197</v>
      </c>
      <c r="W370" s="43">
        <f t="shared" si="48"/>
        <v>0.12508606520966598</v>
      </c>
      <c r="X370" s="38"/>
      <c r="Y370" s="38"/>
      <c r="Z370" s="44"/>
      <c r="AA370" s="45">
        <v>46115</v>
      </c>
      <c r="AB370" s="45">
        <v>46137</v>
      </c>
      <c r="AC370" s="45"/>
      <c r="AD370" s="46" t="e">
        <f>IF(ISNA(VLOOKUP(D370,#REF!,5,0)),0,VLOOKUP(D370,#REF!,5,0))</f>
        <v>#REF!</v>
      </c>
      <c r="AE370" s="46" t="e">
        <f t="shared" si="46"/>
        <v>#REF!</v>
      </c>
      <c r="AF370" s="45">
        <v>46151</v>
      </c>
      <c r="AG370" s="33">
        <f t="shared" si="44"/>
        <v>36</v>
      </c>
      <c r="AH370" s="45">
        <v>46181</v>
      </c>
      <c r="AI370" s="39"/>
      <c r="AJ370" s="39"/>
      <c r="AK370" s="39"/>
      <c r="AL370" s="35"/>
      <c r="AM370" s="34"/>
      <c r="AN370" s="34"/>
      <c r="AO370" s="39"/>
      <c r="AP370" s="47"/>
      <c r="AQ370" s="47"/>
      <c r="AR370" s="47"/>
      <c r="AS370" s="47"/>
    </row>
    <row r="371" spans="1:45" ht="12" customHeight="1" x14ac:dyDescent="0.25">
      <c r="A371" s="33">
        <v>370</v>
      </c>
      <c r="B371" s="34"/>
      <c r="C371" s="34" t="s">
        <v>144</v>
      </c>
      <c r="D371" s="35" t="s">
        <v>561</v>
      </c>
      <c r="E371" s="34" t="s">
        <v>61</v>
      </c>
      <c r="F371" s="34" t="s">
        <v>0</v>
      </c>
      <c r="G371" s="16" t="s">
        <v>253</v>
      </c>
      <c r="H371" s="34">
        <v>448</v>
      </c>
      <c r="I371" s="34" t="s">
        <v>218</v>
      </c>
      <c r="J371" s="34" t="s">
        <v>3</v>
      </c>
      <c r="K371" s="35" t="s">
        <v>19</v>
      </c>
      <c r="L371" s="36" t="e">
        <f>VLOOKUP(G371,#REF!,4,0)</f>
        <v>#REF!</v>
      </c>
      <c r="M371" s="37" t="e">
        <f>_xlfn.IFNA(VLOOKUP(G371,#REF!,2,0),"")</f>
        <v>#REF!</v>
      </c>
      <c r="N371" s="38" t="e">
        <f>_xlfn.IFNA(VLOOKUP(G371,#REF!,3,0),"")</f>
        <v>#REF!</v>
      </c>
      <c r="O371" s="39">
        <v>7</v>
      </c>
      <c r="P371" s="79">
        <v>0.32083333333333336</v>
      </c>
      <c r="Q371" s="39" t="s">
        <v>420</v>
      </c>
      <c r="R371" s="34">
        <v>1030</v>
      </c>
      <c r="S371" s="38"/>
      <c r="T371" s="40">
        <v>45</v>
      </c>
      <c r="U371" s="41">
        <f t="shared" si="47"/>
        <v>375.45833333333337</v>
      </c>
      <c r="V371" s="42">
        <f t="shared" si="43"/>
        <v>0.83807663690476197</v>
      </c>
      <c r="W371" s="43">
        <f t="shared" si="48"/>
        <v>0.12508606520966598</v>
      </c>
      <c r="X371" s="38"/>
      <c r="Y371" s="38"/>
      <c r="Z371" s="44"/>
      <c r="AA371" s="45">
        <v>46115</v>
      </c>
      <c r="AB371" s="45">
        <v>46137</v>
      </c>
      <c r="AC371" s="45"/>
      <c r="AD371" s="46" t="e">
        <f>IF(ISNA(VLOOKUP(D371,#REF!,5,0)),0,VLOOKUP(D371,#REF!,5,0))</f>
        <v>#REF!</v>
      </c>
      <c r="AE371" s="46" t="e">
        <f t="shared" si="46"/>
        <v>#REF!</v>
      </c>
      <c r="AF371" s="45">
        <v>46151</v>
      </c>
      <c r="AG371" s="33">
        <f t="shared" si="44"/>
        <v>36</v>
      </c>
      <c r="AH371" s="45">
        <v>46181</v>
      </c>
      <c r="AI371" s="39"/>
      <c r="AJ371" s="39"/>
      <c r="AK371" s="39"/>
      <c r="AL371" s="35"/>
      <c r="AM371" s="34"/>
      <c r="AN371" s="34"/>
      <c r="AO371" s="39"/>
      <c r="AP371" s="47"/>
      <c r="AQ371" s="47"/>
      <c r="AR371" s="47"/>
      <c r="AS371" s="47"/>
    </row>
    <row r="372" spans="1:45" ht="12" customHeight="1" x14ac:dyDescent="0.25">
      <c r="A372" s="33">
        <v>371</v>
      </c>
      <c r="B372" s="34"/>
      <c r="C372" s="34" t="s">
        <v>142</v>
      </c>
      <c r="D372" s="35" t="s">
        <v>562</v>
      </c>
      <c r="E372" s="34" t="s">
        <v>230</v>
      </c>
      <c r="F372" s="34" t="s">
        <v>52</v>
      </c>
      <c r="G372" s="16" t="s">
        <v>124</v>
      </c>
      <c r="H372" s="34">
        <v>24</v>
      </c>
      <c r="I372" s="34" t="s">
        <v>62</v>
      </c>
      <c r="J372" s="34" t="s">
        <v>55</v>
      </c>
      <c r="K372" s="35" t="s">
        <v>563</v>
      </c>
      <c r="L372" s="36" t="e">
        <f>VLOOKUP(G372,#REF!,4,0)</f>
        <v>#REF!</v>
      </c>
      <c r="M372" s="37" t="e">
        <f>_xlfn.IFNA(VLOOKUP(G372,#REF!,2,0),"")</f>
        <v>#REF!</v>
      </c>
      <c r="N372" s="38" t="e">
        <f>_xlfn.IFNA(VLOOKUP(G372,#REF!,3,0),"")</f>
        <v>#REF!</v>
      </c>
      <c r="O372" s="39">
        <v>2</v>
      </c>
      <c r="P372" s="79">
        <v>27.111111111111111</v>
      </c>
      <c r="Q372" s="39" t="s">
        <v>10</v>
      </c>
      <c r="R372" s="34">
        <v>5</v>
      </c>
      <c r="S372" s="38">
        <v>350</v>
      </c>
      <c r="T372" s="40">
        <v>15.555555555555555</v>
      </c>
      <c r="U372" s="41">
        <f t="shared" si="47"/>
        <v>151.11111111111109</v>
      </c>
      <c r="V372" s="42">
        <f t="shared" si="43"/>
        <v>6.2962962962962949</v>
      </c>
      <c r="W372" s="43">
        <f t="shared" si="48"/>
        <v>0.93974571586511857</v>
      </c>
      <c r="X372" s="38"/>
      <c r="Y372" s="38"/>
      <c r="Z372" s="44"/>
      <c r="AA372" s="45">
        <v>46115</v>
      </c>
      <c r="AB372" s="45">
        <v>46140</v>
      </c>
      <c r="AC372" s="45"/>
      <c r="AD372" s="46" t="e">
        <f>IF(ISNA(VLOOKUP(D372,#REF!,5,0)),0,VLOOKUP(D372,#REF!,5,0))</f>
        <v>#REF!</v>
      </c>
      <c r="AE372" s="46" t="e">
        <f t="shared" si="46"/>
        <v>#REF!</v>
      </c>
      <c r="AF372" s="45">
        <v>46154</v>
      </c>
      <c r="AG372" s="33">
        <f t="shared" si="44"/>
        <v>39</v>
      </c>
      <c r="AH372" s="45">
        <v>46181</v>
      </c>
      <c r="AI372" s="39"/>
      <c r="AJ372" s="39"/>
      <c r="AK372" s="39"/>
      <c r="AL372" s="35"/>
      <c r="AM372" s="34"/>
      <c r="AN372" s="34"/>
      <c r="AO372" s="39"/>
      <c r="AP372" s="47"/>
      <c r="AQ372" s="47"/>
      <c r="AR372" s="47"/>
      <c r="AS372" s="47"/>
    </row>
    <row r="373" spans="1:45" ht="12" customHeight="1" x14ac:dyDescent="0.25">
      <c r="A373" s="33">
        <v>372</v>
      </c>
      <c r="B373" s="34"/>
      <c r="C373" s="34" t="s">
        <v>142</v>
      </c>
      <c r="D373" s="35" t="s">
        <v>562</v>
      </c>
      <c r="E373" s="34" t="s">
        <v>230</v>
      </c>
      <c r="F373" s="34" t="s">
        <v>52</v>
      </c>
      <c r="G373" s="16" t="s">
        <v>86</v>
      </c>
      <c r="H373" s="34">
        <v>168</v>
      </c>
      <c r="I373" s="34" t="s">
        <v>62</v>
      </c>
      <c r="J373" s="34" t="s">
        <v>55</v>
      </c>
      <c r="K373" s="35" t="s">
        <v>563</v>
      </c>
      <c r="L373" s="36" t="e">
        <f>VLOOKUP(G373,#REF!,4,0)</f>
        <v>#REF!</v>
      </c>
      <c r="M373" s="37" t="e">
        <f>_xlfn.IFNA(VLOOKUP(G373,#REF!,2,0),"")</f>
        <v>#REF!</v>
      </c>
      <c r="N373" s="38" t="e">
        <f>_xlfn.IFNA(VLOOKUP(G373,#REF!,3,0),"")</f>
        <v>#REF!</v>
      </c>
      <c r="O373" s="39">
        <v>14</v>
      </c>
      <c r="P373" s="79">
        <v>189.77777777777777</v>
      </c>
      <c r="Q373" s="39" t="s">
        <v>10</v>
      </c>
      <c r="R373" s="34">
        <v>5</v>
      </c>
      <c r="S373" s="48">
        <v>350</v>
      </c>
      <c r="T373" s="40">
        <v>108.88888888888889</v>
      </c>
      <c r="U373" s="41">
        <f t="shared" si="47"/>
        <v>1057.7777777777778</v>
      </c>
      <c r="V373" s="42">
        <f t="shared" si="43"/>
        <v>6.2962962962962967</v>
      </c>
      <c r="W373" s="43">
        <f t="shared" si="48"/>
        <v>0.9397457158651189</v>
      </c>
      <c r="X373" s="38"/>
      <c r="Y373" s="38"/>
      <c r="Z373" s="44"/>
      <c r="AA373" s="45">
        <v>46115</v>
      </c>
      <c r="AB373" s="45">
        <v>46140</v>
      </c>
      <c r="AC373" s="45"/>
      <c r="AD373" s="46" t="e">
        <f>IF(ISNA(VLOOKUP(D373,#REF!,5,0)),0,VLOOKUP(D373,#REF!,5,0))</f>
        <v>#REF!</v>
      </c>
      <c r="AE373" s="46" t="e">
        <f t="shared" si="46"/>
        <v>#REF!</v>
      </c>
      <c r="AF373" s="45">
        <v>46154</v>
      </c>
      <c r="AG373" s="33">
        <f t="shared" si="44"/>
        <v>39</v>
      </c>
      <c r="AH373" s="45">
        <v>46181</v>
      </c>
      <c r="AI373" s="39"/>
      <c r="AJ373" s="39"/>
      <c r="AK373" s="39"/>
      <c r="AL373" s="35"/>
      <c r="AM373" s="34"/>
      <c r="AN373" s="34"/>
      <c r="AO373" s="39"/>
      <c r="AP373" s="47"/>
      <c r="AQ373" s="47"/>
      <c r="AR373" s="47"/>
      <c r="AS373" s="47"/>
    </row>
    <row r="374" spans="1:45" ht="12" customHeight="1" x14ac:dyDescent="0.25">
      <c r="A374" s="33">
        <v>373</v>
      </c>
      <c r="B374" s="34"/>
      <c r="C374" s="34" t="s">
        <v>142</v>
      </c>
      <c r="D374" s="35" t="s">
        <v>562</v>
      </c>
      <c r="E374" s="34" t="s">
        <v>230</v>
      </c>
      <c r="F374" s="34" t="s">
        <v>52</v>
      </c>
      <c r="G374" s="16" t="s">
        <v>116</v>
      </c>
      <c r="H374" s="34">
        <v>348</v>
      </c>
      <c r="I374" s="34" t="s">
        <v>62</v>
      </c>
      <c r="J374" s="34" t="s">
        <v>55</v>
      </c>
      <c r="K374" s="35" t="s">
        <v>563</v>
      </c>
      <c r="L374" s="36" t="e">
        <f>VLOOKUP(G374,#REF!,4,0)</f>
        <v>#REF!</v>
      </c>
      <c r="M374" s="37" t="e">
        <f>_xlfn.IFNA(VLOOKUP(G374,#REF!,2,0),"")</f>
        <v>#REF!</v>
      </c>
      <c r="N374" s="38" t="e">
        <f>_xlfn.IFNA(VLOOKUP(G374,#REF!,3,0),"")</f>
        <v>#REF!</v>
      </c>
      <c r="O374" s="39">
        <v>29</v>
      </c>
      <c r="P374" s="79">
        <v>393.11111111111109</v>
      </c>
      <c r="Q374" s="39" t="s">
        <v>10</v>
      </c>
      <c r="R374" s="34">
        <v>5</v>
      </c>
      <c r="S374" s="38"/>
      <c r="T374" s="40">
        <v>225.55555555555554</v>
      </c>
      <c r="U374" s="41">
        <f t="shared" si="47"/>
        <v>2191.1111111111109</v>
      </c>
      <c r="V374" s="42">
        <f t="shared" si="43"/>
        <v>6.2962962962962958</v>
      </c>
      <c r="W374" s="43">
        <f t="shared" si="48"/>
        <v>0.93974571586511879</v>
      </c>
      <c r="X374" s="38"/>
      <c r="Y374" s="38"/>
      <c r="Z374" s="44"/>
      <c r="AA374" s="45">
        <v>46115</v>
      </c>
      <c r="AB374" s="45">
        <v>46140</v>
      </c>
      <c r="AC374" s="45"/>
      <c r="AD374" s="46" t="e">
        <f>IF(ISNA(VLOOKUP(D374,#REF!,5,0)),0,VLOOKUP(D374,#REF!,5,0))</f>
        <v>#REF!</v>
      </c>
      <c r="AE374" s="46" t="e">
        <f t="shared" si="46"/>
        <v>#REF!</v>
      </c>
      <c r="AF374" s="45">
        <v>46154</v>
      </c>
      <c r="AG374" s="33">
        <f t="shared" si="44"/>
        <v>39</v>
      </c>
      <c r="AH374" s="45">
        <v>46181</v>
      </c>
      <c r="AI374" s="39"/>
      <c r="AJ374" s="39"/>
      <c r="AK374" s="39"/>
      <c r="AL374" s="35"/>
      <c r="AM374" s="34"/>
      <c r="AN374" s="34"/>
      <c r="AO374" s="39"/>
      <c r="AP374" s="47"/>
      <c r="AQ374" s="47"/>
      <c r="AR374" s="47"/>
      <c r="AS374" s="47"/>
    </row>
    <row r="375" spans="1:45" ht="12" customHeight="1" x14ac:dyDescent="0.25">
      <c r="A375" s="33">
        <v>374</v>
      </c>
      <c r="B375" s="34"/>
      <c r="C375" s="34" t="s">
        <v>565</v>
      </c>
      <c r="D375" s="35" t="s">
        <v>566</v>
      </c>
      <c r="E375" s="34" t="s">
        <v>58</v>
      </c>
      <c r="F375" s="34" t="s">
        <v>0</v>
      </c>
      <c r="G375" s="16" t="s">
        <v>70</v>
      </c>
      <c r="H375" s="34">
        <v>300</v>
      </c>
      <c r="I375" s="34" t="s">
        <v>66</v>
      </c>
      <c r="J375" s="34" t="s">
        <v>3</v>
      </c>
      <c r="K375" s="35" t="s">
        <v>4</v>
      </c>
      <c r="L375" s="36" t="e">
        <f>VLOOKUP(G375,#REF!,4,0)</f>
        <v>#REF!</v>
      </c>
      <c r="M375" s="37" t="e">
        <f>_xlfn.IFNA(VLOOKUP(G375,#REF!,2,0),"")</f>
        <v>#REF!</v>
      </c>
      <c r="N375" s="38" t="e">
        <f>_xlfn.IFNA(VLOOKUP(G375,#REF!,3,0),"")</f>
        <v>#REF!</v>
      </c>
      <c r="O375" s="39">
        <v>15</v>
      </c>
      <c r="P375" s="79">
        <v>203.60847457627119</v>
      </c>
      <c r="Q375" s="39" t="s">
        <v>10</v>
      </c>
      <c r="R375" s="34">
        <v>4</v>
      </c>
      <c r="S375" s="38">
        <v>200</v>
      </c>
      <c r="T375" s="40">
        <v>26.086956521739129</v>
      </c>
      <c r="U375" s="41">
        <f t="shared" ref="U375:U413" si="49">R375*P375+T375</f>
        <v>840.52085482682389</v>
      </c>
      <c r="V375" s="42">
        <f t="shared" si="43"/>
        <v>2.8017361827560796</v>
      </c>
      <c r="W375" s="43">
        <f t="shared" ref="W375:W413" si="50">V375/6.7</f>
        <v>0.41816957951583278</v>
      </c>
      <c r="X375" s="38"/>
      <c r="Y375" s="38"/>
      <c r="Z375" s="44"/>
      <c r="AA375" s="45">
        <v>46123</v>
      </c>
      <c r="AB375" s="45">
        <v>46147</v>
      </c>
      <c r="AC375" s="45"/>
      <c r="AD375" s="46" t="e">
        <f>IF(ISNA(VLOOKUP(D375,#REF!,5,0)),0,VLOOKUP(D375,#REF!,5,0))</f>
        <v>#REF!</v>
      </c>
      <c r="AE375" s="46" t="e">
        <f t="shared" ref="AE375:AE438" si="51">AD375*H375</f>
        <v>#REF!</v>
      </c>
      <c r="AF375" s="45">
        <v>46154</v>
      </c>
      <c r="AG375" s="33">
        <f t="shared" si="44"/>
        <v>31</v>
      </c>
      <c r="AH375" s="45"/>
      <c r="AI375" s="39"/>
      <c r="AJ375" s="39"/>
      <c r="AK375" s="39"/>
      <c r="AL375" s="35"/>
      <c r="AM375" s="34"/>
      <c r="AN375" s="34"/>
      <c r="AO375" s="39"/>
      <c r="AP375" s="47"/>
      <c r="AQ375" s="47"/>
      <c r="AR375" s="47"/>
      <c r="AS375" s="47"/>
    </row>
    <row r="376" spans="1:45" ht="12" customHeight="1" x14ac:dyDescent="0.25">
      <c r="A376" s="33">
        <v>375</v>
      </c>
      <c r="B376" s="34"/>
      <c r="C376" s="34" t="s">
        <v>565</v>
      </c>
      <c r="D376" s="35" t="s">
        <v>566</v>
      </c>
      <c r="E376" s="34" t="s">
        <v>58</v>
      </c>
      <c r="F376" s="34" t="s">
        <v>0</v>
      </c>
      <c r="G376" s="16" t="s">
        <v>64</v>
      </c>
      <c r="H376" s="34">
        <v>1200</v>
      </c>
      <c r="I376" s="34" t="s">
        <v>66</v>
      </c>
      <c r="J376" s="34" t="s">
        <v>3</v>
      </c>
      <c r="K376" s="35" t="s">
        <v>4</v>
      </c>
      <c r="L376" s="36" t="e">
        <f>VLOOKUP(G376,#REF!,4,0)</f>
        <v>#REF!</v>
      </c>
      <c r="M376" s="37" t="e">
        <f>_xlfn.IFNA(VLOOKUP(G376,#REF!,2,0),"")</f>
        <v>#REF!</v>
      </c>
      <c r="N376" s="38" t="e">
        <f>_xlfn.IFNA(VLOOKUP(G376,#REF!,3,0),"")</f>
        <v>#REF!</v>
      </c>
      <c r="O376" s="39">
        <v>30</v>
      </c>
      <c r="P376" s="79">
        <v>407.21694915254238</v>
      </c>
      <c r="Q376" s="39" t="s">
        <v>10</v>
      </c>
      <c r="R376" s="34">
        <v>4</v>
      </c>
      <c r="S376" s="48">
        <v>200</v>
      </c>
      <c r="T376" s="40">
        <v>52.173913043478258</v>
      </c>
      <c r="U376" s="41">
        <f t="shared" si="49"/>
        <v>1681.0417096536478</v>
      </c>
      <c r="V376" s="42">
        <f t="shared" si="43"/>
        <v>1.4008680913780398</v>
      </c>
      <c r="W376" s="43">
        <f t="shared" si="50"/>
        <v>0.20908478975791639</v>
      </c>
      <c r="X376" s="38"/>
      <c r="Y376" s="38"/>
      <c r="Z376" s="44"/>
      <c r="AA376" s="45">
        <v>46123</v>
      </c>
      <c r="AB376" s="45">
        <v>46147</v>
      </c>
      <c r="AC376" s="45"/>
      <c r="AD376" s="46" t="e">
        <f>IF(ISNA(VLOOKUP(D376,#REF!,5,0)),0,VLOOKUP(D376,#REF!,5,0))</f>
        <v>#REF!</v>
      </c>
      <c r="AE376" s="46" t="e">
        <f t="shared" si="51"/>
        <v>#REF!</v>
      </c>
      <c r="AF376" s="45">
        <v>46154</v>
      </c>
      <c r="AG376" s="33">
        <f t="shared" si="44"/>
        <v>31</v>
      </c>
      <c r="AH376" s="45"/>
      <c r="AI376" s="39"/>
      <c r="AJ376" s="39"/>
      <c r="AK376" s="39"/>
      <c r="AL376" s="35"/>
      <c r="AM376" s="34"/>
      <c r="AN376" s="34"/>
      <c r="AO376" s="39"/>
      <c r="AP376" s="47"/>
      <c r="AQ376" s="47"/>
      <c r="AR376" s="47"/>
      <c r="AS376" s="47"/>
    </row>
    <row r="377" spans="1:45" ht="12" customHeight="1" x14ac:dyDescent="0.25">
      <c r="A377" s="33">
        <v>376</v>
      </c>
      <c r="B377" s="34"/>
      <c r="C377" s="34" t="s">
        <v>565</v>
      </c>
      <c r="D377" s="35" t="s">
        <v>566</v>
      </c>
      <c r="E377" s="34" t="s">
        <v>58</v>
      </c>
      <c r="F377" s="34" t="s">
        <v>0</v>
      </c>
      <c r="G377" s="16" t="s">
        <v>65</v>
      </c>
      <c r="H377" s="34">
        <v>240</v>
      </c>
      <c r="I377" s="34" t="s">
        <v>66</v>
      </c>
      <c r="J377" s="34" t="s">
        <v>3</v>
      </c>
      <c r="K377" s="35" t="s">
        <v>4</v>
      </c>
      <c r="L377" s="36" t="e">
        <f>VLOOKUP(G377,#REF!,4,0)</f>
        <v>#REF!</v>
      </c>
      <c r="M377" s="37" t="e">
        <f>_xlfn.IFNA(VLOOKUP(G377,#REF!,2,0),"")</f>
        <v>#REF!</v>
      </c>
      <c r="N377" s="38" t="e">
        <f>_xlfn.IFNA(VLOOKUP(G377,#REF!,3,0),"")</f>
        <v>#REF!</v>
      </c>
      <c r="O377" s="39">
        <v>6</v>
      </c>
      <c r="P377" s="79">
        <v>81.44338983050848</v>
      </c>
      <c r="Q377" s="39" t="s">
        <v>10</v>
      </c>
      <c r="R377" s="34">
        <v>4</v>
      </c>
      <c r="S377" s="38"/>
      <c r="T377" s="40">
        <v>10.434782608695652</v>
      </c>
      <c r="U377" s="41">
        <f t="shared" si="49"/>
        <v>336.20834193072955</v>
      </c>
      <c r="V377" s="42">
        <f t="shared" si="43"/>
        <v>1.4008680913780398</v>
      </c>
      <c r="W377" s="43">
        <f t="shared" si="50"/>
        <v>0.20908478975791639</v>
      </c>
      <c r="X377" s="38"/>
      <c r="Y377" s="38"/>
      <c r="Z377" s="44"/>
      <c r="AA377" s="45">
        <v>46123</v>
      </c>
      <c r="AB377" s="45">
        <v>46147</v>
      </c>
      <c r="AC377" s="45"/>
      <c r="AD377" s="46" t="e">
        <f>IF(ISNA(VLOOKUP(D377,#REF!,5,0)),0,VLOOKUP(D377,#REF!,5,0))</f>
        <v>#REF!</v>
      </c>
      <c r="AE377" s="46" t="e">
        <f t="shared" si="51"/>
        <v>#REF!</v>
      </c>
      <c r="AF377" s="45">
        <v>46154</v>
      </c>
      <c r="AG377" s="33">
        <f t="shared" si="44"/>
        <v>31</v>
      </c>
      <c r="AH377" s="45"/>
      <c r="AI377" s="39"/>
      <c r="AJ377" s="39"/>
      <c r="AK377" s="39"/>
      <c r="AL377" s="35"/>
      <c r="AM377" s="34"/>
      <c r="AN377" s="34"/>
      <c r="AO377" s="39"/>
      <c r="AP377" s="47"/>
      <c r="AQ377" s="47"/>
      <c r="AR377" s="47"/>
      <c r="AS377" s="47"/>
    </row>
    <row r="378" spans="1:45" ht="12" customHeight="1" x14ac:dyDescent="0.25">
      <c r="A378" s="33">
        <v>377</v>
      </c>
      <c r="B378" s="34"/>
      <c r="C378" s="34" t="s">
        <v>565</v>
      </c>
      <c r="D378" s="35" t="s">
        <v>566</v>
      </c>
      <c r="E378" s="34" t="s">
        <v>58</v>
      </c>
      <c r="F378" s="34" t="s">
        <v>0</v>
      </c>
      <c r="G378" s="16" t="s">
        <v>204</v>
      </c>
      <c r="H378" s="34">
        <v>320</v>
      </c>
      <c r="I378" s="34" t="s">
        <v>66</v>
      </c>
      <c r="J378" s="34" t="s">
        <v>3</v>
      </c>
      <c r="K378" s="35" t="s">
        <v>4</v>
      </c>
      <c r="L378" s="36" t="e">
        <f>VLOOKUP(G378,#REF!,4,0)</f>
        <v>#REF!</v>
      </c>
      <c r="M378" s="37" t="e">
        <f>_xlfn.IFNA(VLOOKUP(G378,#REF!,2,0),"")</f>
        <v>#REF!</v>
      </c>
      <c r="N378" s="38" t="e">
        <f>_xlfn.IFNA(VLOOKUP(G378,#REF!,3,0),"")</f>
        <v>#REF!</v>
      </c>
      <c r="O378" s="39">
        <v>8</v>
      </c>
      <c r="P378" s="79">
        <v>108.59118644067797</v>
      </c>
      <c r="Q378" s="39" t="s">
        <v>10</v>
      </c>
      <c r="R378" s="34">
        <v>4</v>
      </c>
      <c r="S378" s="38"/>
      <c r="T378" s="40">
        <v>13.913043478260869</v>
      </c>
      <c r="U378" s="41">
        <f t="shared" si="49"/>
        <v>448.27778924097277</v>
      </c>
      <c r="V378" s="42">
        <f t="shared" si="43"/>
        <v>1.4008680913780398</v>
      </c>
      <c r="W378" s="43">
        <f t="shared" si="50"/>
        <v>0.20908478975791639</v>
      </c>
      <c r="X378" s="38"/>
      <c r="Y378" s="38"/>
      <c r="Z378" s="44"/>
      <c r="AA378" s="45">
        <v>46123</v>
      </c>
      <c r="AB378" s="45">
        <v>46147</v>
      </c>
      <c r="AC378" s="45"/>
      <c r="AD378" s="46" t="e">
        <f>IF(ISNA(VLOOKUP(D378,#REF!,5,0)),0,VLOOKUP(D378,#REF!,5,0))</f>
        <v>#REF!</v>
      </c>
      <c r="AE378" s="46" t="e">
        <f t="shared" si="51"/>
        <v>#REF!</v>
      </c>
      <c r="AF378" s="45">
        <v>46154</v>
      </c>
      <c r="AG378" s="33">
        <f t="shared" si="44"/>
        <v>31</v>
      </c>
      <c r="AH378" s="45"/>
      <c r="AI378" s="39"/>
      <c r="AJ378" s="39"/>
      <c r="AK378" s="39"/>
      <c r="AL378" s="35"/>
      <c r="AM378" s="34"/>
      <c r="AN378" s="34"/>
      <c r="AO378" s="39"/>
      <c r="AP378" s="47"/>
      <c r="AQ378" s="47"/>
      <c r="AR378" s="47"/>
      <c r="AS378" s="47"/>
    </row>
    <row r="379" spans="1:45" ht="12" customHeight="1" x14ac:dyDescent="0.25">
      <c r="A379" s="33">
        <v>378</v>
      </c>
      <c r="B379" s="34"/>
      <c r="C379" s="34" t="s">
        <v>145</v>
      </c>
      <c r="D379" s="35" t="s">
        <v>567</v>
      </c>
      <c r="E379" s="34" t="s">
        <v>470</v>
      </c>
      <c r="F379" s="34" t="s">
        <v>0</v>
      </c>
      <c r="G379" s="16" t="s">
        <v>294</v>
      </c>
      <c r="H379" s="34">
        <v>288</v>
      </c>
      <c r="I379" s="34" t="s">
        <v>66</v>
      </c>
      <c r="J379" s="34" t="s">
        <v>3</v>
      </c>
      <c r="K379" s="35" t="s">
        <v>5</v>
      </c>
      <c r="L379" s="36" t="e">
        <f>VLOOKUP(G379,#REF!,4,0)</f>
        <v>#REF!</v>
      </c>
      <c r="M379" s="37" t="e">
        <f>_xlfn.IFNA(VLOOKUP(G379,#REF!,2,0),"")</f>
        <v>#REF!</v>
      </c>
      <c r="N379" s="38" t="e">
        <f>_xlfn.IFNA(VLOOKUP(G379,#REF!,3,0),"")</f>
        <v>#REF!</v>
      </c>
      <c r="O379" s="39">
        <v>32</v>
      </c>
      <c r="P379" s="79">
        <v>468</v>
      </c>
      <c r="Q379" s="39" t="s">
        <v>10</v>
      </c>
      <c r="R379" s="34">
        <v>4.8</v>
      </c>
      <c r="S379" s="38">
        <v>200</v>
      </c>
      <c r="T379" s="40">
        <v>130.61224489795919</v>
      </c>
      <c r="U379" s="41">
        <f t="shared" si="49"/>
        <v>2377.0122448979591</v>
      </c>
      <c r="V379" s="42">
        <f t="shared" si="43"/>
        <v>8.2535147392290256</v>
      </c>
      <c r="W379" s="43">
        <f t="shared" si="50"/>
        <v>1.2318678715267202</v>
      </c>
      <c r="X379" s="38"/>
      <c r="Y379" s="38"/>
      <c r="Z379" s="44"/>
      <c r="AA379" s="45">
        <v>46123</v>
      </c>
      <c r="AB379" s="45">
        <v>46147</v>
      </c>
      <c r="AC379" s="45"/>
      <c r="AD379" s="46" t="e">
        <f>IF(ISNA(VLOOKUP(D379,#REF!,5,0)),0,VLOOKUP(D379,#REF!,5,0))</f>
        <v>#REF!</v>
      </c>
      <c r="AE379" s="46" t="e">
        <f t="shared" si="51"/>
        <v>#REF!</v>
      </c>
      <c r="AF379" s="45">
        <v>46158</v>
      </c>
      <c r="AG379" s="33">
        <f t="shared" si="44"/>
        <v>35</v>
      </c>
      <c r="AH379" s="45"/>
      <c r="AI379" s="39"/>
      <c r="AJ379" s="39"/>
      <c r="AK379" s="39"/>
      <c r="AL379" s="35"/>
      <c r="AM379" s="34"/>
      <c r="AN379" s="34"/>
      <c r="AO379" s="39"/>
      <c r="AP379" s="47"/>
      <c r="AQ379" s="47"/>
      <c r="AR379" s="47"/>
      <c r="AS379" s="47"/>
    </row>
    <row r="380" spans="1:45" ht="12" customHeight="1" x14ac:dyDescent="0.25">
      <c r="A380" s="33">
        <v>379</v>
      </c>
      <c r="B380" s="34"/>
      <c r="C380" s="34" t="s">
        <v>568</v>
      </c>
      <c r="D380" s="35" t="s">
        <v>569</v>
      </c>
      <c r="E380" s="34" t="s">
        <v>58</v>
      </c>
      <c r="F380" s="34" t="s">
        <v>0</v>
      </c>
      <c r="G380" s="16" t="s">
        <v>514</v>
      </c>
      <c r="H380" s="34">
        <v>3300</v>
      </c>
      <c r="I380" s="34" t="s">
        <v>54</v>
      </c>
      <c r="J380" s="34" t="s">
        <v>3</v>
      </c>
      <c r="K380" s="35" t="s">
        <v>9</v>
      </c>
      <c r="L380" s="36" t="e">
        <f>VLOOKUP(G380,#REF!,4,0)</f>
        <v>#REF!</v>
      </c>
      <c r="M380" s="37" t="e">
        <f>_xlfn.IFNA(VLOOKUP(G380,#REF!,2,0),"")</f>
        <v>#REF!</v>
      </c>
      <c r="N380" s="38" t="e">
        <f>_xlfn.IFNA(VLOOKUP(G380,#REF!,3,0),"")</f>
        <v>#REF!</v>
      </c>
      <c r="O380" s="39">
        <v>110</v>
      </c>
      <c r="P380" s="79">
        <v>1741.219512195122</v>
      </c>
      <c r="Q380" s="39" t="s">
        <v>10</v>
      </c>
      <c r="R380" s="34">
        <v>4.0999999999999996</v>
      </c>
      <c r="S380" s="38">
        <v>200</v>
      </c>
      <c r="T380" s="40">
        <v>77.738515901060069</v>
      </c>
      <c r="U380" s="41">
        <f t="shared" si="49"/>
        <v>7216.7385159010591</v>
      </c>
      <c r="V380" s="42">
        <f t="shared" si="43"/>
        <v>2.1868904593639571</v>
      </c>
      <c r="W380" s="43">
        <f t="shared" si="50"/>
        <v>0.32640156109909807</v>
      </c>
      <c r="X380" s="38"/>
      <c r="Y380" s="38"/>
      <c r="Z380" s="44"/>
      <c r="AA380" s="45">
        <v>46122</v>
      </c>
      <c r="AB380" s="45">
        <v>46145</v>
      </c>
      <c r="AC380" s="45"/>
      <c r="AD380" s="46" t="e">
        <f>IF(ISNA(VLOOKUP(D380,#REF!,5,0)),0,VLOOKUP(D380,#REF!,5,0))</f>
        <v>#REF!</v>
      </c>
      <c r="AE380" s="46" t="e">
        <f t="shared" si="51"/>
        <v>#REF!</v>
      </c>
      <c r="AF380" s="45">
        <v>46159</v>
      </c>
      <c r="AG380" s="33">
        <f t="shared" si="44"/>
        <v>37</v>
      </c>
      <c r="AH380" s="45"/>
      <c r="AI380" s="39"/>
      <c r="AJ380" s="39"/>
      <c r="AK380" s="39"/>
      <c r="AL380" s="35"/>
      <c r="AM380" s="34"/>
      <c r="AN380" s="34"/>
      <c r="AO380" s="39"/>
      <c r="AP380" s="47"/>
      <c r="AQ380" s="47"/>
      <c r="AR380" s="47"/>
      <c r="AS380" s="47"/>
    </row>
    <row r="381" spans="1:45" ht="12" customHeight="1" x14ac:dyDescent="0.25">
      <c r="A381" s="33">
        <v>380</v>
      </c>
      <c r="B381" s="34"/>
      <c r="C381" s="34" t="s">
        <v>568</v>
      </c>
      <c r="D381" s="35" t="s">
        <v>569</v>
      </c>
      <c r="E381" s="34" t="s">
        <v>58</v>
      </c>
      <c r="F381" s="34" t="s">
        <v>0</v>
      </c>
      <c r="G381" s="16" t="s">
        <v>486</v>
      </c>
      <c r="H381" s="34">
        <v>300</v>
      </c>
      <c r="I381" s="34" t="s">
        <v>54</v>
      </c>
      <c r="J381" s="34" t="s">
        <v>3</v>
      </c>
      <c r="K381" s="35" t="s">
        <v>9</v>
      </c>
      <c r="L381" s="36" t="e">
        <f>VLOOKUP(G381,#REF!,4,0)</f>
        <v>#REF!</v>
      </c>
      <c r="M381" s="37" t="e">
        <f>_xlfn.IFNA(VLOOKUP(G381,#REF!,2,0),"")</f>
        <v>#REF!</v>
      </c>
      <c r="N381" s="38" t="e">
        <f>_xlfn.IFNA(VLOOKUP(G381,#REF!,3,0),"")</f>
        <v>#REF!</v>
      </c>
      <c r="O381" s="39">
        <v>10</v>
      </c>
      <c r="P381" s="79">
        <v>158.29268292682929</v>
      </c>
      <c r="Q381" s="39" t="s">
        <v>10</v>
      </c>
      <c r="R381" s="34">
        <v>4.0999999999999996</v>
      </c>
      <c r="S381" s="48">
        <v>200</v>
      </c>
      <c r="T381" s="40">
        <v>7.0671378091872787</v>
      </c>
      <c r="U381" s="41">
        <f t="shared" si="49"/>
        <v>656.06713780918733</v>
      </c>
      <c r="V381" s="42">
        <f t="shared" si="43"/>
        <v>2.186890459363958</v>
      </c>
      <c r="W381" s="43">
        <f t="shared" si="50"/>
        <v>0.32640156109909818</v>
      </c>
      <c r="X381" s="38"/>
      <c r="Y381" s="38"/>
      <c r="Z381" s="44"/>
      <c r="AA381" s="45">
        <v>46122</v>
      </c>
      <c r="AB381" s="45">
        <v>46145</v>
      </c>
      <c r="AC381" s="45"/>
      <c r="AD381" s="46" t="e">
        <f>IF(ISNA(VLOOKUP(D381,#REF!,5,0)),0,VLOOKUP(D381,#REF!,5,0))</f>
        <v>#REF!</v>
      </c>
      <c r="AE381" s="46" t="e">
        <f t="shared" si="51"/>
        <v>#REF!</v>
      </c>
      <c r="AF381" s="45">
        <v>46159</v>
      </c>
      <c r="AG381" s="33">
        <f t="shared" si="44"/>
        <v>37</v>
      </c>
      <c r="AH381" s="45"/>
      <c r="AI381" s="39"/>
      <c r="AJ381" s="39"/>
      <c r="AK381" s="39"/>
      <c r="AL381" s="35"/>
      <c r="AM381" s="34"/>
      <c r="AN381" s="34"/>
      <c r="AO381" s="39"/>
      <c r="AP381" s="47"/>
      <c r="AQ381" s="47"/>
      <c r="AR381" s="47"/>
      <c r="AS381" s="47"/>
    </row>
    <row r="382" spans="1:45" ht="12" customHeight="1" x14ac:dyDescent="0.25">
      <c r="A382" s="33">
        <v>381</v>
      </c>
      <c r="B382" s="34"/>
      <c r="C382" s="34" t="s">
        <v>568</v>
      </c>
      <c r="D382" s="35" t="s">
        <v>569</v>
      </c>
      <c r="E382" s="34" t="s">
        <v>58</v>
      </c>
      <c r="F382" s="34" t="s">
        <v>0</v>
      </c>
      <c r="G382" s="16" t="s">
        <v>147</v>
      </c>
      <c r="H382" s="34">
        <v>90</v>
      </c>
      <c r="I382" s="34" t="s">
        <v>54</v>
      </c>
      <c r="J382" s="34" t="s">
        <v>3</v>
      </c>
      <c r="K382" s="35" t="s">
        <v>9</v>
      </c>
      <c r="L382" s="36" t="e">
        <f>VLOOKUP(G382,#REF!,4,0)</f>
        <v>#REF!</v>
      </c>
      <c r="M382" s="37" t="e">
        <f>_xlfn.IFNA(VLOOKUP(G382,#REF!,2,0),"")</f>
        <v>#REF!</v>
      </c>
      <c r="N382" s="38" t="e">
        <f>_xlfn.IFNA(VLOOKUP(G382,#REF!,3,0),"")</f>
        <v>#REF!</v>
      </c>
      <c r="O382" s="39">
        <v>3</v>
      </c>
      <c r="P382" s="79">
        <v>47.487804878048784</v>
      </c>
      <c r="Q382" s="39" t="s">
        <v>10</v>
      </c>
      <c r="R382" s="34">
        <v>4.0999999999999996</v>
      </c>
      <c r="S382" s="38"/>
      <c r="T382" s="40">
        <v>2.1201413427561837</v>
      </c>
      <c r="U382" s="41">
        <f t="shared" si="49"/>
        <v>196.82014134275616</v>
      </c>
      <c r="V382" s="42">
        <f t="shared" si="43"/>
        <v>2.1868904593639575</v>
      </c>
      <c r="W382" s="43">
        <f t="shared" si="50"/>
        <v>0.32640156109909813</v>
      </c>
      <c r="X382" s="38"/>
      <c r="Y382" s="38"/>
      <c r="Z382" s="44"/>
      <c r="AA382" s="45">
        <v>46122</v>
      </c>
      <c r="AB382" s="45">
        <v>46145</v>
      </c>
      <c r="AC382" s="45"/>
      <c r="AD382" s="46" t="e">
        <f>IF(ISNA(VLOOKUP(D382,#REF!,5,0)),0,VLOOKUP(D382,#REF!,5,0))</f>
        <v>#REF!</v>
      </c>
      <c r="AE382" s="46" t="e">
        <f t="shared" si="51"/>
        <v>#REF!</v>
      </c>
      <c r="AF382" s="45">
        <v>46159</v>
      </c>
      <c r="AG382" s="33">
        <f t="shared" si="44"/>
        <v>37</v>
      </c>
      <c r="AH382" s="45"/>
      <c r="AI382" s="39"/>
      <c r="AJ382" s="39"/>
      <c r="AK382" s="39"/>
      <c r="AL382" s="35"/>
      <c r="AM382" s="34"/>
      <c r="AN382" s="34"/>
      <c r="AO382" s="39"/>
      <c r="AP382" s="47"/>
      <c r="AQ382" s="47"/>
      <c r="AR382" s="47"/>
      <c r="AS382" s="47"/>
    </row>
    <row r="383" spans="1:45" ht="12" customHeight="1" x14ac:dyDescent="0.25">
      <c r="A383" s="33">
        <v>382</v>
      </c>
      <c r="B383" s="34"/>
      <c r="C383" s="34" t="s">
        <v>570</v>
      </c>
      <c r="D383" s="35" t="s">
        <v>571</v>
      </c>
      <c r="E383" s="34" t="s">
        <v>61</v>
      </c>
      <c r="F383" s="34" t="s">
        <v>0</v>
      </c>
      <c r="G383" s="16" t="s">
        <v>112</v>
      </c>
      <c r="H383" s="34">
        <v>180</v>
      </c>
      <c r="I383" s="34" t="s">
        <v>66</v>
      </c>
      <c r="J383" s="34" t="s">
        <v>261</v>
      </c>
      <c r="K383" s="35" t="s">
        <v>4</v>
      </c>
      <c r="L383" s="36" t="e">
        <f>VLOOKUP(G383,#REF!,4,0)</f>
        <v>#REF!</v>
      </c>
      <c r="M383" s="37" t="e">
        <f>_xlfn.IFNA(VLOOKUP(G383,#REF!,2,0),"")</f>
        <v>#REF!</v>
      </c>
      <c r="N383" s="38" t="e">
        <f>_xlfn.IFNA(VLOOKUP(G383,#REF!,3,0),"")</f>
        <v>#REF!</v>
      </c>
      <c r="O383" s="39">
        <v>6</v>
      </c>
      <c r="P383" s="79">
        <v>75</v>
      </c>
      <c r="Q383" s="39" t="s">
        <v>10</v>
      </c>
      <c r="R383" s="34">
        <v>5.2</v>
      </c>
      <c r="S383" s="38">
        <v>200</v>
      </c>
      <c r="T383" s="40">
        <v>200</v>
      </c>
      <c r="U383" s="41">
        <f t="shared" si="49"/>
        <v>590</v>
      </c>
      <c r="V383" s="42">
        <f t="shared" si="43"/>
        <v>3.2777777777777777</v>
      </c>
      <c r="W383" s="43">
        <f t="shared" si="50"/>
        <v>0.48922056384742951</v>
      </c>
      <c r="X383" s="38"/>
      <c r="Y383" s="38"/>
      <c r="Z383" s="44"/>
      <c r="AA383" s="45">
        <v>46123</v>
      </c>
      <c r="AB383" s="45">
        <v>46140</v>
      </c>
      <c r="AC383" s="45"/>
      <c r="AD383" s="46" t="e">
        <f>IF(ISNA(VLOOKUP(D383,#REF!,5,0)),0,VLOOKUP(D383,#REF!,5,0))</f>
        <v>#REF!</v>
      </c>
      <c r="AE383" s="46" t="e">
        <f t="shared" si="51"/>
        <v>#REF!</v>
      </c>
      <c r="AF383" s="45">
        <v>46151</v>
      </c>
      <c r="AG383" s="33">
        <f t="shared" si="44"/>
        <v>28</v>
      </c>
      <c r="AH383" s="45">
        <v>46182</v>
      </c>
      <c r="AI383" s="39"/>
      <c r="AJ383" s="39"/>
      <c r="AK383" s="39"/>
      <c r="AL383" s="35"/>
      <c r="AM383" s="34"/>
      <c r="AN383" s="34"/>
      <c r="AO383" s="39"/>
      <c r="AP383" s="47"/>
      <c r="AQ383" s="47"/>
      <c r="AR383" s="47"/>
      <c r="AS383" s="47"/>
    </row>
    <row r="384" spans="1:45" ht="12" customHeight="1" x14ac:dyDescent="0.25">
      <c r="A384" s="33">
        <v>383</v>
      </c>
      <c r="B384" s="34"/>
      <c r="C384" s="34" t="s">
        <v>565</v>
      </c>
      <c r="D384" s="35" t="s">
        <v>572</v>
      </c>
      <c r="E384" s="34" t="s">
        <v>61</v>
      </c>
      <c r="F384" s="34" t="s">
        <v>0</v>
      </c>
      <c r="G384" s="16" t="s">
        <v>68</v>
      </c>
      <c r="H384" s="34">
        <v>180</v>
      </c>
      <c r="I384" s="34" t="s">
        <v>66</v>
      </c>
      <c r="J384" s="34" t="s">
        <v>3</v>
      </c>
      <c r="K384" s="35" t="s">
        <v>4</v>
      </c>
      <c r="L384" s="36" t="e">
        <f>VLOOKUP(G384,#REF!,4,0)</f>
        <v>#REF!</v>
      </c>
      <c r="M384" s="37" t="e">
        <f>_xlfn.IFNA(VLOOKUP(G384,#REF!,2,0),"")</f>
        <v>#REF!</v>
      </c>
      <c r="N384" s="38" t="e">
        <f>_xlfn.IFNA(VLOOKUP(G384,#REF!,3,0),"")</f>
        <v>#REF!</v>
      </c>
      <c r="O384" s="39">
        <v>6</v>
      </c>
      <c r="P384" s="79">
        <v>81.443571428571431</v>
      </c>
      <c r="Q384" s="39" t="s">
        <v>10</v>
      </c>
      <c r="R384" s="34">
        <v>4</v>
      </c>
      <c r="S384" s="48">
        <v>200</v>
      </c>
      <c r="T384" s="40">
        <v>10.434782608695652</v>
      </c>
      <c r="U384" s="41">
        <f t="shared" si="49"/>
        <v>336.20906832298135</v>
      </c>
      <c r="V384" s="42">
        <f t="shared" si="43"/>
        <v>1.8678281573498965</v>
      </c>
      <c r="W384" s="43">
        <f t="shared" si="50"/>
        <v>0.27878032199252184</v>
      </c>
      <c r="X384" s="38"/>
      <c r="Y384" s="38"/>
      <c r="Z384" s="44"/>
      <c r="AA384" s="45">
        <v>46123</v>
      </c>
      <c r="AB384" s="45">
        <v>46147</v>
      </c>
      <c r="AC384" s="45"/>
      <c r="AD384" s="46" t="e">
        <f>IF(ISNA(VLOOKUP(D384,#REF!,5,0)),0,VLOOKUP(D384,#REF!,5,0))</f>
        <v>#REF!</v>
      </c>
      <c r="AE384" s="46" t="e">
        <f t="shared" si="51"/>
        <v>#REF!</v>
      </c>
      <c r="AF384" s="45">
        <v>46155</v>
      </c>
      <c r="AG384" s="33">
        <f t="shared" si="44"/>
        <v>32</v>
      </c>
      <c r="AH384" s="45"/>
      <c r="AI384" s="39"/>
      <c r="AJ384" s="39"/>
      <c r="AK384" s="39"/>
      <c r="AL384" s="35"/>
      <c r="AM384" s="34"/>
      <c r="AN384" s="34"/>
      <c r="AO384" s="39"/>
      <c r="AP384" s="47"/>
      <c r="AQ384" s="47"/>
      <c r="AR384" s="47"/>
      <c r="AS384" s="47"/>
    </row>
    <row r="385" spans="1:45" ht="12" customHeight="1" x14ac:dyDescent="0.25">
      <c r="A385" s="33">
        <v>384</v>
      </c>
      <c r="B385" s="34"/>
      <c r="C385" s="34" t="s">
        <v>565</v>
      </c>
      <c r="D385" s="35" t="s">
        <v>572</v>
      </c>
      <c r="E385" s="34" t="s">
        <v>61</v>
      </c>
      <c r="F385" s="34" t="s">
        <v>0</v>
      </c>
      <c r="G385" s="16" t="s">
        <v>242</v>
      </c>
      <c r="H385" s="34">
        <v>1400</v>
      </c>
      <c r="I385" s="34" t="s">
        <v>66</v>
      </c>
      <c r="J385" s="34" t="s">
        <v>3</v>
      </c>
      <c r="K385" s="35" t="s">
        <v>4</v>
      </c>
      <c r="L385" s="36" t="e">
        <f>VLOOKUP(G385,#REF!,4,0)</f>
        <v>#REF!</v>
      </c>
      <c r="M385" s="37" t="e">
        <f>_xlfn.IFNA(VLOOKUP(G385,#REF!,2,0),"")</f>
        <v>#REF!</v>
      </c>
      <c r="N385" s="38" t="e">
        <f>_xlfn.IFNA(VLOOKUP(G385,#REF!,3,0),"")</f>
        <v>#REF!</v>
      </c>
      <c r="O385" s="39">
        <v>35</v>
      </c>
      <c r="P385" s="79">
        <v>475.08749999999998</v>
      </c>
      <c r="Q385" s="39" t="s">
        <v>10</v>
      </c>
      <c r="R385" s="34">
        <v>4</v>
      </c>
      <c r="S385" s="38">
        <v>200</v>
      </c>
      <c r="T385" s="40">
        <v>60.869565217391305</v>
      </c>
      <c r="U385" s="41">
        <f t="shared" si="49"/>
        <v>1961.2195652173912</v>
      </c>
      <c r="V385" s="42">
        <f t="shared" si="43"/>
        <v>1.4008711180124223</v>
      </c>
      <c r="W385" s="43">
        <f t="shared" si="50"/>
        <v>0.20908524149439137</v>
      </c>
      <c r="X385" s="38"/>
      <c r="Y385" s="38"/>
      <c r="Z385" s="44"/>
      <c r="AA385" s="45">
        <v>46123</v>
      </c>
      <c r="AB385" s="45">
        <v>46147</v>
      </c>
      <c r="AC385" s="45"/>
      <c r="AD385" s="46" t="e">
        <f>IF(ISNA(VLOOKUP(D385,#REF!,5,0)),0,VLOOKUP(D385,#REF!,5,0))</f>
        <v>#REF!</v>
      </c>
      <c r="AE385" s="46" t="e">
        <f t="shared" si="51"/>
        <v>#REF!</v>
      </c>
      <c r="AF385" s="45">
        <v>46155</v>
      </c>
      <c r="AG385" s="33">
        <f t="shared" si="44"/>
        <v>32</v>
      </c>
      <c r="AH385" s="45"/>
      <c r="AI385" s="39"/>
      <c r="AJ385" s="39"/>
      <c r="AK385" s="39"/>
      <c r="AL385" s="35"/>
      <c r="AM385" s="34"/>
      <c r="AN385" s="34"/>
      <c r="AO385" s="39"/>
      <c r="AP385" s="47"/>
      <c r="AQ385" s="47"/>
      <c r="AR385" s="47"/>
      <c r="AS385" s="47"/>
    </row>
    <row r="386" spans="1:45" ht="12" customHeight="1" x14ac:dyDescent="0.25">
      <c r="A386" s="33">
        <v>385</v>
      </c>
      <c r="B386" s="34"/>
      <c r="C386" s="34" t="s">
        <v>565</v>
      </c>
      <c r="D386" s="35" t="s">
        <v>572</v>
      </c>
      <c r="E386" s="34" t="s">
        <v>61</v>
      </c>
      <c r="F386" s="34" t="s">
        <v>0</v>
      </c>
      <c r="G386" s="16" t="s">
        <v>243</v>
      </c>
      <c r="H386" s="34">
        <v>600</v>
      </c>
      <c r="I386" s="34" t="s">
        <v>66</v>
      </c>
      <c r="J386" s="34" t="s">
        <v>3</v>
      </c>
      <c r="K386" s="35" t="s">
        <v>4</v>
      </c>
      <c r="L386" s="36" t="e">
        <f>VLOOKUP(G386,#REF!,4,0)</f>
        <v>#REF!</v>
      </c>
      <c r="M386" s="37" t="e">
        <f>_xlfn.IFNA(VLOOKUP(G386,#REF!,2,0),"")</f>
        <v>#REF!</v>
      </c>
      <c r="N386" s="38" t="e">
        <f>_xlfn.IFNA(VLOOKUP(G386,#REF!,3,0),"")</f>
        <v>#REF!</v>
      </c>
      <c r="O386" s="39">
        <v>15</v>
      </c>
      <c r="P386" s="79">
        <v>203.60892857142855</v>
      </c>
      <c r="Q386" s="39" t="s">
        <v>10</v>
      </c>
      <c r="R386" s="34">
        <v>4</v>
      </c>
      <c r="S386" s="48">
        <v>200</v>
      </c>
      <c r="T386" s="40">
        <v>26.086956521739129</v>
      </c>
      <c r="U386" s="41">
        <f t="shared" si="49"/>
        <v>840.52267080745332</v>
      </c>
      <c r="V386" s="42">
        <f t="shared" ref="V386:V449" si="52">U386/H386</f>
        <v>1.4008711180124223</v>
      </c>
      <c r="W386" s="43">
        <f t="shared" si="50"/>
        <v>0.20908524149439137</v>
      </c>
      <c r="X386" s="38"/>
      <c r="Y386" s="38"/>
      <c r="Z386" s="44"/>
      <c r="AA386" s="45">
        <v>46123</v>
      </c>
      <c r="AB386" s="45">
        <v>46147</v>
      </c>
      <c r="AC386" s="45"/>
      <c r="AD386" s="46" t="e">
        <f>IF(ISNA(VLOOKUP(D386,#REF!,5,0)),0,VLOOKUP(D386,#REF!,5,0))</f>
        <v>#REF!</v>
      </c>
      <c r="AE386" s="46" t="e">
        <f t="shared" si="51"/>
        <v>#REF!</v>
      </c>
      <c r="AF386" s="45">
        <v>46155</v>
      </c>
      <c r="AG386" s="33">
        <f t="shared" ref="AG386:AG449" si="53">AF386-AA386</f>
        <v>32</v>
      </c>
      <c r="AH386" s="45"/>
      <c r="AI386" s="39"/>
      <c r="AJ386" s="39"/>
      <c r="AK386" s="39"/>
      <c r="AL386" s="35"/>
      <c r="AM386" s="34"/>
      <c r="AN386" s="34"/>
      <c r="AO386" s="39"/>
      <c r="AP386" s="47"/>
      <c r="AQ386" s="47"/>
      <c r="AR386" s="47"/>
      <c r="AS386" s="47"/>
    </row>
    <row r="387" spans="1:45" ht="12" customHeight="1" x14ac:dyDescent="0.25">
      <c r="A387" s="33">
        <v>386</v>
      </c>
      <c r="B387" s="34"/>
      <c r="C387" s="34" t="s">
        <v>568</v>
      </c>
      <c r="D387" s="35" t="s">
        <v>573</v>
      </c>
      <c r="E387" s="34" t="s">
        <v>61</v>
      </c>
      <c r="F387" s="34" t="s">
        <v>0</v>
      </c>
      <c r="G387" s="16" t="s">
        <v>282</v>
      </c>
      <c r="H387" s="34">
        <v>420</v>
      </c>
      <c r="I387" s="34" t="s">
        <v>54</v>
      </c>
      <c r="J387" s="34" t="s">
        <v>3</v>
      </c>
      <c r="K387" s="35" t="s">
        <v>22</v>
      </c>
      <c r="L387" s="36" t="e">
        <f>VLOOKUP(G387,#REF!,4,0)</f>
        <v>#REF!</v>
      </c>
      <c r="M387" s="37" t="e">
        <f>_xlfn.IFNA(VLOOKUP(G387,#REF!,2,0),"")</f>
        <v>#REF!</v>
      </c>
      <c r="N387" s="38" t="e">
        <f>_xlfn.IFNA(VLOOKUP(G387,#REF!,3,0),"")</f>
        <v>#REF!</v>
      </c>
      <c r="O387" s="39">
        <v>14</v>
      </c>
      <c r="P387" s="79">
        <v>223</v>
      </c>
      <c r="Q387" s="39" t="s">
        <v>10</v>
      </c>
      <c r="R387" s="34">
        <v>4.0999999999999996</v>
      </c>
      <c r="S387" s="38">
        <v>200</v>
      </c>
      <c r="T387" s="40">
        <v>9.8939929328621901</v>
      </c>
      <c r="U387" s="41">
        <f t="shared" si="49"/>
        <v>924.1939929328621</v>
      </c>
      <c r="V387" s="42">
        <f t="shared" si="52"/>
        <v>2.2004618879353859</v>
      </c>
      <c r="W387" s="43">
        <f t="shared" si="50"/>
        <v>0.32842714745304263</v>
      </c>
      <c r="X387" s="38"/>
      <c r="Y387" s="38"/>
      <c r="Z387" s="44"/>
      <c r="AA387" s="45">
        <v>46122</v>
      </c>
      <c r="AB387" s="45">
        <v>46145</v>
      </c>
      <c r="AC387" s="45"/>
      <c r="AD387" s="46" t="e">
        <f>IF(ISNA(VLOOKUP(D387,#REF!,5,0)),0,VLOOKUP(D387,#REF!,5,0))</f>
        <v>#REF!</v>
      </c>
      <c r="AE387" s="46" t="e">
        <f t="shared" si="51"/>
        <v>#REF!</v>
      </c>
      <c r="AF387" s="45">
        <v>46162</v>
      </c>
      <c r="AG387" s="33">
        <f t="shared" si="53"/>
        <v>40</v>
      </c>
      <c r="AH387" s="45"/>
      <c r="AI387" s="39"/>
      <c r="AJ387" s="39"/>
      <c r="AK387" s="39"/>
      <c r="AL387" s="35"/>
      <c r="AM387" s="34"/>
      <c r="AN387" s="34"/>
      <c r="AO387" s="39"/>
      <c r="AP387" s="47"/>
      <c r="AQ387" s="47"/>
      <c r="AR387" s="47"/>
      <c r="AS387" s="47"/>
    </row>
    <row r="388" spans="1:45" ht="12" customHeight="1" x14ac:dyDescent="0.25">
      <c r="A388" s="33">
        <v>387</v>
      </c>
      <c r="B388" s="34"/>
      <c r="C388" s="34" t="s">
        <v>568</v>
      </c>
      <c r="D388" s="35" t="s">
        <v>574</v>
      </c>
      <c r="E388" s="34" t="s">
        <v>172</v>
      </c>
      <c r="F388" s="34" t="s">
        <v>0</v>
      </c>
      <c r="G388" s="16" t="s">
        <v>264</v>
      </c>
      <c r="H388" s="34">
        <v>576</v>
      </c>
      <c r="I388" s="34" t="s">
        <v>54</v>
      </c>
      <c r="J388" s="34" t="s">
        <v>3</v>
      </c>
      <c r="K388" s="35" t="s">
        <v>7</v>
      </c>
      <c r="L388" s="36" t="e">
        <f>VLOOKUP(G388,#REF!,4,0)</f>
        <v>#REF!</v>
      </c>
      <c r="M388" s="37" t="e">
        <f>_xlfn.IFNA(VLOOKUP(G388,#REF!,2,0),"")</f>
        <v>#REF!</v>
      </c>
      <c r="N388" s="38" t="e">
        <f>_xlfn.IFNA(VLOOKUP(G388,#REF!,3,0),"")</f>
        <v>#REF!</v>
      </c>
      <c r="O388" s="39">
        <v>36</v>
      </c>
      <c r="P388" s="79">
        <v>501.27272727272725</v>
      </c>
      <c r="Q388" s="39" t="s">
        <v>10</v>
      </c>
      <c r="R388" s="34">
        <v>3.6</v>
      </c>
      <c r="S388" s="48">
        <v>200</v>
      </c>
      <c r="T388" s="40">
        <v>25.441696113074205</v>
      </c>
      <c r="U388" s="41">
        <f t="shared" si="49"/>
        <v>1830.0235142948923</v>
      </c>
      <c r="V388" s="42">
        <f t="shared" si="52"/>
        <v>3.1771241567619657</v>
      </c>
      <c r="W388" s="43">
        <f t="shared" si="50"/>
        <v>0.47419763533760678</v>
      </c>
      <c r="X388" s="38"/>
      <c r="Y388" s="38"/>
      <c r="Z388" s="44"/>
      <c r="AA388" s="45">
        <v>46122</v>
      </c>
      <c r="AB388" s="45">
        <v>46145</v>
      </c>
      <c r="AC388" s="45"/>
      <c r="AD388" s="46" t="e">
        <f>IF(ISNA(VLOOKUP(D388,#REF!,5,0)),0,VLOOKUP(D388,#REF!,5,0))</f>
        <v>#REF!</v>
      </c>
      <c r="AE388" s="46" t="e">
        <f t="shared" si="51"/>
        <v>#REF!</v>
      </c>
      <c r="AF388" s="45">
        <v>46162</v>
      </c>
      <c r="AG388" s="33">
        <f t="shared" si="53"/>
        <v>40</v>
      </c>
      <c r="AH388" s="45"/>
      <c r="AI388" s="39"/>
      <c r="AJ388" s="39"/>
      <c r="AK388" s="39"/>
      <c r="AL388" s="35"/>
      <c r="AM388" s="34"/>
      <c r="AN388" s="34"/>
      <c r="AO388" s="39"/>
      <c r="AP388" s="47"/>
      <c r="AQ388" s="47"/>
      <c r="AR388" s="47"/>
      <c r="AS388" s="47"/>
    </row>
    <row r="389" spans="1:45" ht="12" customHeight="1" x14ac:dyDescent="0.25">
      <c r="A389" s="33">
        <v>388</v>
      </c>
      <c r="B389" s="34"/>
      <c r="C389" s="34" t="s">
        <v>568</v>
      </c>
      <c r="D389" s="35" t="s">
        <v>574</v>
      </c>
      <c r="E389" s="34" t="s">
        <v>172</v>
      </c>
      <c r="F389" s="34" t="s">
        <v>0</v>
      </c>
      <c r="G389" s="16" t="s">
        <v>266</v>
      </c>
      <c r="H389" s="34">
        <v>112</v>
      </c>
      <c r="I389" s="34" t="s">
        <v>54</v>
      </c>
      <c r="J389" s="34" t="s">
        <v>3</v>
      </c>
      <c r="K389" s="35" t="s">
        <v>7</v>
      </c>
      <c r="L389" s="36" t="e">
        <f>VLOOKUP(G389,#REF!,4,0)</f>
        <v>#REF!</v>
      </c>
      <c r="M389" s="37" t="e">
        <f>_xlfn.IFNA(VLOOKUP(G389,#REF!,2,0),"")</f>
        <v>#REF!</v>
      </c>
      <c r="N389" s="38" t="e">
        <f>_xlfn.IFNA(VLOOKUP(G389,#REF!,3,0),"")</f>
        <v>#REF!</v>
      </c>
      <c r="O389" s="39">
        <v>7</v>
      </c>
      <c r="P389" s="79">
        <v>97.469696969696969</v>
      </c>
      <c r="Q389" s="39" t="s">
        <v>10</v>
      </c>
      <c r="R389" s="34">
        <v>3.6</v>
      </c>
      <c r="S389" s="38"/>
      <c r="T389" s="40">
        <v>4.946996466431095</v>
      </c>
      <c r="U389" s="41">
        <f t="shared" si="49"/>
        <v>355.83790555734015</v>
      </c>
      <c r="V389" s="42">
        <f t="shared" si="52"/>
        <v>3.1771241567619657</v>
      </c>
      <c r="W389" s="43">
        <f t="shared" si="50"/>
        <v>0.47419763533760678</v>
      </c>
      <c r="X389" s="38"/>
      <c r="Y389" s="38"/>
      <c r="Z389" s="44"/>
      <c r="AA389" s="45">
        <v>46122</v>
      </c>
      <c r="AB389" s="45">
        <v>46145</v>
      </c>
      <c r="AC389" s="45"/>
      <c r="AD389" s="46" t="e">
        <f>IF(ISNA(VLOOKUP(D389,#REF!,5,0)),0,VLOOKUP(D389,#REF!,5,0))</f>
        <v>#REF!</v>
      </c>
      <c r="AE389" s="46" t="e">
        <f t="shared" si="51"/>
        <v>#REF!</v>
      </c>
      <c r="AF389" s="45">
        <v>46162</v>
      </c>
      <c r="AG389" s="33">
        <f t="shared" si="53"/>
        <v>40</v>
      </c>
      <c r="AH389" s="45"/>
      <c r="AI389" s="39"/>
      <c r="AJ389" s="39"/>
      <c r="AK389" s="39"/>
      <c r="AL389" s="35"/>
      <c r="AM389" s="34"/>
      <c r="AN389" s="34"/>
      <c r="AO389" s="39"/>
      <c r="AP389" s="47"/>
      <c r="AQ389" s="47"/>
      <c r="AR389" s="47"/>
      <c r="AS389" s="47"/>
    </row>
    <row r="390" spans="1:45" ht="12" customHeight="1" x14ac:dyDescent="0.25">
      <c r="A390" s="33">
        <v>389</v>
      </c>
      <c r="B390" s="34"/>
      <c r="C390" s="34" t="s">
        <v>568</v>
      </c>
      <c r="D390" s="35" t="s">
        <v>574</v>
      </c>
      <c r="E390" s="34" t="s">
        <v>172</v>
      </c>
      <c r="F390" s="34" t="s">
        <v>0</v>
      </c>
      <c r="G390" s="16" t="s">
        <v>82</v>
      </c>
      <c r="H390" s="34">
        <v>160</v>
      </c>
      <c r="I390" s="34" t="s">
        <v>54</v>
      </c>
      <c r="J390" s="34" t="s">
        <v>3</v>
      </c>
      <c r="K390" s="35" t="s">
        <v>7</v>
      </c>
      <c r="L390" s="36" t="e">
        <f>VLOOKUP(G390,#REF!,4,0)</f>
        <v>#REF!</v>
      </c>
      <c r="M390" s="37" t="e">
        <f>_xlfn.IFNA(VLOOKUP(G390,#REF!,2,0),"")</f>
        <v>#REF!</v>
      </c>
      <c r="N390" s="38" t="e">
        <f>_xlfn.IFNA(VLOOKUP(G390,#REF!,3,0),"")</f>
        <v>#REF!</v>
      </c>
      <c r="O390" s="39">
        <v>10</v>
      </c>
      <c r="P390" s="79">
        <v>139.24242424242425</v>
      </c>
      <c r="Q390" s="39" t="s">
        <v>10</v>
      </c>
      <c r="R390" s="34">
        <v>3.6</v>
      </c>
      <c r="S390" s="38"/>
      <c r="T390" s="40">
        <v>7.0671378091872787</v>
      </c>
      <c r="U390" s="41">
        <f t="shared" si="49"/>
        <v>508.33986508191458</v>
      </c>
      <c r="V390" s="42">
        <f t="shared" si="52"/>
        <v>3.1771241567619661</v>
      </c>
      <c r="W390" s="43">
        <f t="shared" si="50"/>
        <v>0.47419763533760689</v>
      </c>
      <c r="X390" s="38"/>
      <c r="Y390" s="38"/>
      <c r="Z390" s="44"/>
      <c r="AA390" s="45">
        <v>46122</v>
      </c>
      <c r="AB390" s="45">
        <v>46145</v>
      </c>
      <c r="AC390" s="45"/>
      <c r="AD390" s="46" t="e">
        <f>IF(ISNA(VLOOKUP(D390,#REF!,5,0)),0,VLOOKUP(D390,#REF!,5,0))</f>
        <v>#REF!</v>
      </c>
      <c r="AE390" s="46" t="e">
        <f t="shared" si="51"/>
        <v>#REF!</v>
      </c>
      <c r="AF390" s="45">
        <v>46162</v>
      </c>
      <c r="AG390" s="33">
        <f t="shared" si="53"/>
        <v>40</v>
      </c>
      <c r="AH390" s="45"/>
      <c r="AI390" s="39"/>
      <c r="AJ390" s="39"/>
      <c r="AK390" s="39"/>
      <c r="AL390" s="35"/>
      <c r="AM390" s="34"/>
      <c r="AN390" s="34"/>
      <c r="AO390" s="39"/>
      <c r="AP390" s="47"/>
      <c r="AQ390" s="47"/>
      <c r="AR390" s="47"/>
      <c r="AS390" s="47"/>
    </row>
    <row r="391" spans="1:45" ht="12" customHeight="1" x14ac:dyDescent="0.25">
      <c r="A391" s="33">
        <v>390</v>
      </c>
      <c r="B391" s="34"/>
      <c r="C391" s="34" t="s">
        <v>568</v>
      </c>
      <c r="D391" s="35" t="s">
        <v>574</v>
      </c>
      <c r="E391" s="34" t="s">
        <v>172</v>
      </c>
      <c r="F391" s="34" t="s">
        <v>0</v>
      </c>
      <c r="G391" s="16" t="s">
        <v>123</v>
      </c>
      <c r="H391" s="34">
        <v>80</v>
      </c>
      <c r="I391" s="34" t="s">
        <v>54</v>
      </c>
      <c r="J391" s="34" t="s">
        <v>3</v>
      </c>
      <c r="K391" s="35" t="s">
        <v>7</v>
      </c>
      <c r="L391" s="36" t="e">
        <f>VLOOKUP(G391,#REF!,4,0)</f>
        <v>#REF!</v>
      </c>
      <c r="M391" s="37" t="e">
        <f>_xlfn.IFNA(VLOOKUP(G391,#REF!,2,0),"")</f>
        <v>#REF!</v>
      </c>
      <c r="N391" s="38" t="e">
        <f>_xlfn.IFNA(VLOOKUP(G391,#REF!,3,0),"")</f>
        <v>#REF!</v>
      </c>
      <c r="O391" s="39">
        <v>5</v>
      </c>
      <c r="P391" s="79">
        <v>69.621212121212125</v>
      </c>
      <c r="Q391" s="39" t="s">
        <v>10</v>
      </c>
      <c r="R391" s="34">
        <v>3.6</v>
      </c>
      <c r="S391" s="38"/>
      <c r="T391" s="40">
        <v>3.5335689045936394</v>
      </c>
      <c r="U391" s="41">
        <f t="shared" si="49"/>
        <v>254.16993254095729</v>
      </c>
      <c r="V391" s="42">
        <f t="shared" si="52"/>
        <v>3.1771241567619661</v>
      </c>
      <c r="W391" s="43">
        <f t="shared" si="50"/>
        <v>0.47419763533760689</v>
      </c>
      <c r="X391" s="38"/>
      <c r="Y391" s="38"/>
      <c r="Z391" s="44"/>
      <c r="AA391" s="45">
        <v>46122</v>
      </c>
      <c r="AB391" s="45">
        <v>46145</v>
      </c>
      <c r="AC391" s="45"/>
      <c r="AD391" s="46" t="e">
        <f>IF(ISNA(VLOOKUP(D391,#REF!,5,0)),0,VLOOKUP(D391,#REF!,5,0))</f>
        <v>#REF!</v>
      </c>
      <c r="AE391" s="46" t="e">
        <f t="shared" si="51"/>
        <v>#REF!</v>
      </c>
      <c r="AF391" s="45">
        <v>46162</v>
      </c>
      <c r="AG391" s="33">
        <f t="shared" si="53"/>
        <v>40</v>
      </c>
      <c r="AH391" s="45"/>
      <c r="AI391" s="39"/>
      <c r="AJ391" s="39"/>
      <c r="AK391" s="39"/>
      <c r="AL391" s="35"/>
      <c r="AM391" s="34"/>
      <c r="AN391" s="34"/>
      <c r="AO391" s="39"/>
      <c r="AP391" s="47"/>
      <c r="AQ391" s="47"/>
      <c r="AR391" s="47"/>
      <c r="AS391" s="47"/>
    </row>
    <row r="392" spans="1:45" ht="12" customHeight="1" x14ac:dyDescent="0.25">
      <c r="A392" s="33">
        <v>391</v>
      </c>
      <c r="B392" s="34"/>
      <c r="C392" s="34" t="s">
        <v>568</v>
      </c>
      <c r="D392" s="35" t="s">
        <v>574</v>
      </c>
      <c r="E392" s="34" t="s">
        <v>172</v>
      </c>
      <c r="F392" s="34" t="s">
        <v>0</v>
      </c>
      <c r="G392" s="16" t="s">
        <v>115</v>
      </c>
      <c r="H392" s="34">
        <v>48</v>
      </c>
      <c r="I392" s="34" t="s">
        <v>54</v>
      </c>
      <c r="J392" s="34" t="s">
        <v>3</v>
      </c>
      <c r="K392" s="35" t="s">
        <v>7</v>
      </c>
      <c r="L392" s="36" t="e">
        <f>VLOOKUP(G392,#REF!,4,0)</f>
        <v>#REF!</v>
      </c>
      <c r="M392" s="37" t="e">
        <f>_xlfn.IFNA(VLOOKUP(G392,#REF!,2,0),"")</f>
        <v>#REF!</v>
      </c>
      <c r="N392" s="38" t="e">
        <f>_xlfn.IFNA(VLOOKUP(G392,#REF!,3,0),"")</f>
        <v>#REF!</v>
      </c>
      <c r="O392" s="39">
        <v>3</v>
      </c>
      <c r="P392" s="79">
        <v>41.772727272727273</v>
      </c>
      <c r="Q392" s="39" t="s">
        <v>10</v>
      </c>
      <c r="R392" s="34">
        <v>3.6</v>
      </c>
      <c r="S392" s="38"/>
      <c r="T392" s="40">
        <v>2.1201413427561837</v>
      </c>
      <c r="U392" s="41">
        <f t="shared" si="49"/>
        <v>152.50195952457435</v>
      </c>
      <c r="V392" s="42">
        <f t="shared" si="52"/>
        <v>3.1771241567619657</v>
      </c>
      <c r="W392" s="43">
        <f t="shared" si="50"/>
        <v>0.47419763533760678</v>
      </c>
      <c r="X392" s="38"/>
      <c r="Y392" s="38"/>
      <c r="Z392" s="44"/>
      <c r="AA392" s="45">
        <v>46122</v>
      </c>
      <c r="AB392" s="45">
        <v>46145</v>
      </c>
      <c r="AC392" s="45"/>
      <c r="AD392" s="46" t="e">
        <f>IF(ISNA(VLOOKUP(D392,#REF!,5,0)),0,VLOOKUP(D392,#REF!,5,0))</f>
        <v>#REF!</v>
      </c>
      <c r="AE392" s="46" t="e">
        <f t="shared" si="51"/>
        <v>#REF!</v>
      </c>
      <c r="AF392" s="45">
        <v>46162</v>
      </c>
      <c r="AG392" s="33">
        <f t="shared" si="53"/>
        <v>40</v>
      </c>
      <c r="AH392" s="45"/>
      <c r="AI392" s="39"/>
      <c r="AJ392" s="39"/>
      <c r="AK392" s="39"/>
      <c r="AL392" s="35"/>
      <c r="AM392" s="34"/>
      <c r="AN392" s="34"/>
      <c r="AO392" s="39"/>
      <c r="AP392" s="47"/>
      <c r="AQ392" s="47"/>
      <c r="AR392" s="47"/>
      <c r="AS392" s="47"/>
    </row>
    <row r="393" spans="1:45" ht="12" customHeight="1" x14ac:dyDescent="0.25">
      <c r="A393" s="33">
        <v>392</v>
      </c>
      <c r="B393" s="34"/>
      <c r="C393" s="34" t="s">
        <v>568</v>
      </c>
      <c r="D393" s="35" t="s">
        <v>574</v>
      </c>
      <c r="E393" s="34" t="s">
        <v>172</v>
      </c>
      <c r="F393" s="34" t="s">
        <v>0</v>
      </c>
      <c r="G393" s="16" t="s">
        <v>133</v>
      </c>
      <c r="H393" s="34">
        <v>80</v>
      </c>
      <c r="I393" s="34" t="s">
        <v>54</v>
      </c>
      <c r="J393" s="34" t="s">
        <v>3</v>
      </c>
      <c r="K393" s="35" t="s">
        <v>7</v>
      </c>
      <c r="L393" s="36" t="e">
        <f>VLOOKUP(G393,#REF!,4,0)</f>
        <v>#REF!</v>
      </c>
      <c r="M393" s="37" t="e">
        <f>_xlfn.IFNA(VLOOKUP(G393,#REF!,2,0),"")</f>
        <v>#REF!</v>
      </c>
      <c r="N393" s="38" t="e">
        <f>_xlfn.IFNA(VLOOKUP(G393,#REF!,3,0),"")</f>
        <v>#REF!</v>
      </c>
      <c r="O393" s="39">
        <v>5</v>
      </c>
      <c r="P393" s="79">
        <v>69.621212121212125</v>
      </c>
      <c r="Q393" s="39" t="s">
        <v>10</v>
      </c>
      <c r="R393" s="34">
        <v>3.6</v>
      </c>
      <c r="S393" s="38"/>
      <c r="T393" s="40">
        <v>3.5335689045936394</v>
      </c>
      <c r="U393" s="41">
        <f t="shared" si="49"/>
        <v>254.16993254095729</v>
      </c>
      <c r="V393" s="42">
        <f t="shared" si="52"/>
        <v>3.1771241567619661</v>
      </c>
      <c r="W393" s="43">
        <f t="shared" si="50"/>
        <v>0.47419763533760689</v>
      </c>
      <c r="X393" s="38"/>
      <c r="Y393" s="38"/>
      <c r="Z393" s="44"/>
      <c r="AA393" s="45">
        <v>46122</v>
      </c>
      <c r="AB393" s="45">
        <v>46145</v>
      </c>
      <c r="AC393" s="45"/>
      <c r="AD393" s="46" t="e">
        <f>IF(ISNA(VLOOKUP(D393,#REF!,5,0)),0,VLOOKUP(D393,#REF!,5,0))</f>
        <v>#REF!</v>
      </c>
      <c r="AE393" s="46" t="e">
        <f t="shared" si="51"/>
        <v>#REF!</v>
      </c>
      <c r="AF393" s="45">
        <v>46162</v>
      </c>
      <c r="AG393" s="33">
        <f t="shared" si="53"/>
        <v>40</v>
      </c>
      <c r="AH393" s="45"/>
      <c r="AI393" s="39"/>
      <c r="AJ393" s="39"/>
      <c r="AK393" s="39"/>
      <c r="AL393" s="35"/>
      <c r="AM393" s="34"/>
      <c r="AN393" s="34"/>
      <c r="AO393" s="39"/>
      <c r="AP393" s="47"/>
      <c r="AQ393" s="47"/>
      <c r="AR393" s="47"/>
      <c r="AS393" s="47"/>
    </row>
    <row r="394" spans="1:45" ht="12" customHeight="1" x14ac:dyDescent="0.25">
      <c r="A394" s="33">
        <v>393</v>
      </c>
      <c r="B394" s="34"/>
      <c r="C394" s="34" t="s">
        <v>568</v>
      </c>
      <c r="D394" s="35" t="s">
        <v>575</v>
      </c>
      <c r="E394" s="34" t="s">
        <v>58</v>
      </c>
      <c r="F394" s="34" t="s">
        <v>0</v>
      </c>
      <c r="G394" s="16" t="s">
        <v>258</v>
      </c>
      <c r="H394" s="34">
        <v>396</v>
      </c>
      <c r="I394" s="34" t="s">
        <v>54</v>
      </c>
      <c r="J394" s="34" t="s">
        <v>3</v>
      </c>
      <c r="K394" s="35" t="s">
        <v>9</v>
      </c>
      <c r="L394" s="36" t="e">
        <f>VLOOKUP(G394,#REF!,4,0)</f>
        <v>#REF!</v>
      </c>
      <c r="M394" s="37" t="e">
        <f>_xlfn.IFNA(VLOOKUP(G394,#REF!,2,0),"")</f>
        <v>#REF!</v>
      </c>
      <c r="N394" s="38" t="e">
        <f>_xlfn.IFNA(VLOOKUP(G394,#REF!,3,0),"")</f>
        <v>#REF!</v>
      </c>
      <c r="O394" s="39">
        <v>33</v>
      </c>
      <c r="P394" s="79">
        <v>568.5625</v>
      </c>
      <c r="Q394" s="39" t="s">
        <v>10</v>
      </c>
      <c r="R394" s="34">
        <v>4.0999999999999996</v>
      </c>
      <c r="S394" s="38"/>
      <c r="T394" s="40">
        <v>23.32155477031802</v>
      </c>
      <c r="U394" s="41">
        <f t="shared" si="49"/>
        <v>2354.4278047703178</v>
      </c>
      <c r="V394" s="42">
        <f t="shared" si="52"/>
        <v>5.945524759521005</v>
      </c>
      <c r="W394" s="43">
        <f t="shared" si="50"/>
        <v>0.88739175515238877</v>
      </c>
      <c r="X394" s="38"/>
      <c r="Y394" s="38"/>
      <c r="Z394" s="44"/>
      <c r="AA394" s="45">
        <v>46122</v>
      </c>
      <c r="AB394" s="45">
        <v>46145</v>
      </c>
      <c r="AC394" s="45"/>
      <c r="AD394" s="46" t="e">
        <f>IF(ISNA(VLOOKUP(D394,#REF!,5,0)),0,VLOOKUP(D394,#REF!,5,0))</f>
        <v>#REF!</v>
      </c>
      <c r="AE394" s="46" t="e">
        <f t="shared" si="51"/>
        <v>#REF!</v>
      </c>
      <c r="AF394" s="45">
        <v>46159</v>
      </c>
      <c r="AG394" s="33">
        <f t="shared" si="53"/>
        <v>37</v>
      </c>
      <c r="AH394" s="45"/>
      <c r="AI394" s="39"/>
      <c r="AJ394" s="39"/>
      <c r="AK394" s="39"/>
      <c r="AL394" s="35"/>
      <c r="AM394" s="34"/>
      <c r="AN394" s="34"/>
      <c r="AO394" s="39"/>
      <c r="AP394" s="47"/>
      <c r="AQ394" s="47"/>
      <c r="AR394" s="47"/>
      <c r="AS394" s="47"/>
    </row>
    <row r="395" spans="1:45" ht="12" customHeight="1" x14ac:dyDescent="0.25">
      <c r="A395" s="33">
        <v>394</v>
      </c>
      <c r="B395" s="34"/>
      <c r="C395" s="34" t="s">
        <v>568</v>
      </c>
      <c r="D395" s="35" t="s">
        <v>575</v>
      </c>
      <c r="E395" s="34" t="s">
        <v>58</v>
      </c>
      <c r="F395" s="34" t="s">
        <v>0</v>
      </c>
      <c r="G395" s="16" t="s">
        <v>240</v>
      </c>
      <c r="H395" s="34">
        <v>180</v>
      </c>
      <c r="I395" s="34" t="s">
        <v>54</v>
      </c>
      <c r="J395" s="34" t="s">
        <v>3</v>
      </c>
      <c r="K395" s="35" t="s">
        <v>9</v>
      </c>
      <c r="L395" s="36" t="e">
        <f>VLOOKUP(G395,#REF!,4,0)</f>
        <v>#REF!</v>
      </c>
      <c r="M395" s="37" t="e">
        <f>_xlfn.IFNA(VLOOKUP(G395,#REF!,2,0),"")</f>
        <v>#REF!</v>
      </c>
      <c r="N395" s="38" t="e">
        <f>_xlfn.IFNA(VLOOKUP(G395,#REF!,3,0),"")</f>
        <v>#REF!</v>
      </c>
      <c r="O395" s="39">
        <v>15</v>
      </c>
      <c r="P395" s="79">
        <v>258.4375</v>
      </c>
      <c r="Q395" s="39" t="s">
        <v>10</v>
      </c>
      <c r="R395" s="34">
        <v>4.0999999999999996</v>
      </c>
      <c r="S395" s="38"/>
      <c r="T395" s="40">
        <v>10.600706713780919</v>
      </c>
      <c r="U395" s="41">
        <f t="shared" si="49"/>
        <v>1070.1944567137809</v>
      </c>
      <c r="V395" s="42">
        <f t="shared" si="52"/>
        <v>5.945524759521005</v>
      </c>
      <c r="W395" s="43">
        <f t="shared" si="50"/>
        <v>0.88739175515238877</v>
      </c>
      <c r="X395" s="38"/>
      <c r="Y395" s="38"/>
      <c r="Z395" s="44"/>
      <c r="AA395" s="45">
        <v>46122</v>
      </c>
      <c r="AB395" s="45">
        <v>46145</v>
      </c>
      <c r="AC395" s="45"/>
      <c r="AD395" s="46" t="e">
        <f>IF(ISNA(VLOOKUP(D395,#REF!,5,0)),0,VLOOKUP(D395,#REF!,5,0))</f>
        <v>#REF!</v>
      </c>
      <c r="AE395" s="46" t="e">
        <f t="shared" si="51"/>
        <v>#REF!</v>
      </c>
      <c r="AF395" s="45">
        <v>46159</v>
      </c>
      <c r="AG395" s="33">
        <f t="shared" si="53"/>
        <v>37</v>
      </c>
      <c r="AH395" s="45"/>
      <c r="AI395" s="39"/>
      <c r="AJ395" s="39"/>
      <c r="AK395" s="39"/>
      <c r="AL395" s="35"/>
      <c r="AM395" s="34"/>
      <c r="AN395" s="34"/>
      <c r="AO395" s="39"/>
      <c r="AP395" s="47"/>
      <c r="AQ395" s="47"/>
      <c r="AR395" s="47"/>
      <c r="AS395" s="47"/>
    </row>
    <row r="396" spans="1:45" ht="12" customHeight="1" x14ac:dyDescent="0.25">
      <c r="A396" s="33">
        <v>395</v>
      </c>
      <c r="B396" s="34"/>
      <c r="C396" s="34" t="s">
        <v>568</v>
      </c>
      <c r="D396" s="35" t="s">
        <v>576</v>
      </c>
      <c r="E396" s="34" t="s">
        <v>58</v>
      </c>
      <c r="F396" s="34" t="s">
        <v>0</v>
      </c>
      <c r="G396" s="16" t="s">
        <v>53</v>
      </c>
      <c r="H396" s="34">
        <v>240</v>
      </c>
      <c r="I396" s="34" t="s">
        <v>54</v>
      </c>
      <c r="J396" s="34" t="s">
        <v>3</v>
      </c>
      <c r="K396" s="35" t="s">
        <v>4</v>
      </c>
      <c r="L396" s="36" t="e">
        <f>VLOOKUP(G396,#REF!,4,0)</f>
        <v>#REF!</v>
      </c>
      <c r="M396" s="37" t="e">
        <f>_xlfn.IFNA(VLOOKUP(G396,#REF!,2,0),"")</f>
        <v>#REF!</v>
      </c>
      <c r="N396" s="38" t="e">
        <f>_xlfn.IFNA(VLOOKUP(G396,#REF!,3,0),"")</f>
        <v>#REF!</v>
      </c>
      <c r="O396" s="39">
        <v>20</v>
      </c>
      <c r="P396" s="79">
        <v>283.125</v>
      </c>
      <c r="Q396" s="39" t="s">
        <v>10</v>
      </c>
      <c r="R396" s="34">
        <v>4.8</v>
      </c>
      <c r="S396" s="38"/>
      <c r="T396" s="40">
        <v>14.134275618374557</v>
      </c>
      <c r="U396" s="41">
        <f t="shared" si="49"/>
        <v>1373.1342756183747</v>
      </c>
      <c r="V396" s="42">
        <f t="shared" si="52"/>
        <v>5.7213928150765607</v>
      </c>
      <c r="W396" s="43">
        <f t="shared" si="50"/>
        <v>0.85393922613082995</v>
      </c>
      <c r="X396" s="38"/>
      <c r="Y396" s="38"/>
      <c r="Z396" s="44"/>
      <c r="AA396" s="45">
        <v>46122</v>
      </c>
      <c r="AB396" s="45">
        <v>46145</v>
      </c>
      <c r="AC396" s="45"/>
      <c r="AD396" s="46" t="e">
        <f>IF(ISNA(VLOOKUP(D396,#REF!,5,0)),0,VLOOKUP(D396,#REF!,5,0))</f>
        <v>#REF!</v>
      </c>
      <c r="AE396" s="46" t="e">
        <f t="shared" si="51"/>
        <v>#REF!</v>
      </c>
      <c r="AF396" s="45">
        <v>46164</v>
      </c>
      <c r="AG396" s="33">
        <f t="shared" si="53"/>
        <v>42</v>
      </c>
      <c r="AH396" s="45"/>
      <c r="AI396" s="39"/>
      <c r="AJ396" s="39"/>
      <c r="AK396" s="39"/>
      <c r="AL396" s="35"/>
      <c r="AM396" s="34"/>
      <c r="AN396" s="34"/>
      <c r="AO396" s="39"/>
      <c r="AP396" s="47"/>
      <c r="AQ396" s="47"/>
      <c r="AR396" s="47"/>
      <c r="AS396" s="47"/>
    </row>
    <row r="397" spans="1:45" ht="12" customHeight="1" x14ac:dyDescent="0.25">
      <c r="A397" s="33">
        <v>396</v>
      </c>
      <c r="B397" s="34"/>
      <c r="C397" s="34" t="s">
        <v>568</v>
      </c>
      <c r="D397" s="35" t="s">
        <v>576</v>
      </c>
      <c r="E397" s="34" t="s">
        <v>58</v>
      </c>
      <c r="F397" s="34" t="s">
        <v>0</v>
      </c>
      <c r="G397" s="16" t="s">
        <v>239</v>
      </c>
      <c r="H397" s="34">
        <v>352</v>
      </c>
      <c r="I397" s="34" t="s">
        <v>54</v>
      </c>
      <c r="J397" s="34" t="s">
        <v>3</v>
      </c>
      <c r="K397" s="35" t="s">
        <v>4</v>
      </c>
      <c r="L397" s="36" t="e">
        <f>VLOOKUP(G397,#REF!,4,0)</f>
        <v>#REF!</v>
      </c>
      <c r="M397" s="37" t="e">
        <f>_xlfn.IFNA(VLOOKUP(G397,#REF!,2,0),"")</f>
        <v>#REF!</v>
      </c>
      <c r="N397" s="38" t="e">
        <f>_xlfn.IFNA(VLOOKUP(G397,#REF!,3,0),"")</f>
        <v>#REF!</v>
      </c>
      <c r="O397" s="39">
        <v>11</v>
      </c>
      <c r="P397" s="79">
        <v>155.71875</v>
      </c>
      <c r="Q397" s="39" t="s">
        <v>10</v>
      </c>
      <c r="R397" s="34">
        <v>4.8</v>
      </c>
      <c r="S397" s="38"/>
      <c r="T397" s="40">
        <v>7.7738515901060072</v>
      </c>
      <c r="U397" s="41">
        <f t="shared" si="49"/>
        <v>755.22385159010594</v>
      </c>
      <c r="V397" s="42">
        <f t="shared" si="52"/>
        <v>2.14552230565371</v>
      </c>
      <c r="W397" s="43">
        <f t="shared" si="50"/>
        <v>0.32022720979906122</v>
      </c>
      <c r="X397" s="38"/>
      <c r="Y397" s="38"/>
      <c r="Z397" s="44"/>
      <c r="AA397" s="45">
        <v>46122</v>
      </c>
      <c r="AB397" s="45">
        <v>46145</v>
      </c>
      <c r="AC397" s="45"/>
      <c r="AD397" s="46" t="e">
        <f>IF(ISNA(VLOOKUP(D397,#REF!,5,0)),0,VLOOKUP(D397,#REF!,5,0))</f>
        <v>#REF!</v>
      </c>
      <c r="AE397" s="46" t="e">
        <f t="shared" si="51"/>
        <v>#REF!</v>
      </c>
      <c r="AF397" s="45">
        <v>46164</v>
      </c>
      <c r="AG397" s="33">
        <f t="shared" si="53"/>
        <v>42</v>
      </c>
      <c r="AH397" s="45"/>
      <c r="AI397" s="39"/>
      <c r="AJ397" s="39"/>
      <c r="AK397" s="39"/>
      <c r="AL397" s="35"/>
      <c r="AM397" s="34"/>
      <c r="AN397" s="34"/>
      <c r="AO397" s="39"/>
      <c r="AP397" s="47"/>
      <c r="AQ397" s="47"/>
      <c r="AR397" s="47"/>
      <c r="AS397" s="47"/>
    </row>
    <row r="398" spans="1:45" ht="12" customHeight="1" x14ac:dyDescent="0.25">
      <c r="A398" s="33">
        <v>397</v>
      </c>
      <c r="B398" s="34"/>
      <c r="C398" s="34" t="s">
        <v>568</v>
      </c>
      <c r="D398" s="35" t="s">
        <v>576</v>
      </c>
      <c r="E398" s="34" t="s">
        <v>58</v>
      </c>
      <c r="F398" s="34" t="s">
        <v>0</v>
      </c>
      <c r="G398" s="16" t="s">
        <v>60</v>
      </c>
      <c r="H398" s="34">
        <v>90</v>
      </c>
      <c r="I398" s="34" t="s">
        <v>54</v>
      </c>
      <c r="J398" s="34" t="s">
        <v>3</v>
      </c>
      <c r="K398" s="35" t="s">
        <v>4</v>
      </c>
      <c r="L398" s="36" t="e">
        <f>VLOOKUP(G398,#REF!,4,0)</f>
        <v>#REF!</v>
      </c>
      <c r="M398" s="37" t="e">
        <f>_xlfn.IFNA(VLOOKUP(G398,#REF!,2,0),"")</f>
        <v>#REF!</v>
      </c>
      <c r="N398" s="38" t="e">
        <f>_xlfn.IFNA(VLOOKUP(G398,#REF!,3,0),"")</f>
        <v>#REF!</v>
      </c>
      <c r="O398" s="39">
        <v>1</v>
      </c>
      <c r="P398" s="79">
        <v>14.15625</v>
      </c>
      <c r="Q398" s="39" t="s">
        <v>10</v>
      </c>
      <c r="R398" s="34">
        <v>4.8</v>
      </c>
      <c r="S398" s="38"/>
      <c r="T398" s="40">
        <v>0.70671378091872794</v>
      </c>
      <c r="U398" s="41">
        <f t="shared" si="49"/>
        <v>68.656713780918736</v>
      </c>
      <c r="V398" s="42">
        <f t="shared" si="52"/>
        <v>0.76285237534354156</v>
      </c>
      <c r="W398" s="43">
        <f t="shared" si="50"/>
        <v>0.11385856348411068</v>
      </c>
      <c r="X398" s="38"/>
      <c r="Y398" s="38"/>
      <c r="Z398" s="44"/>
      <c r="AA398" s="45">
        <v>46122</v>
      </c>
      <c r="AB398" s="45">
        <v>46145</v>
      </c>
      <c r="AC398" s="45"/>
      <c r="AD398" s="46" t="e">
        <f>IF(ISNA(VLOOKUP(D398,#REF!,5,0)),0,VLOOKUP(D398,#REF!,5,0))</f>
        <v>#REF!</v>
      </c>
      <c r="AE398" s="46" t="e">
        <f t="shared" si="51"/>
        <v>#REF!</v>
      </c>
      <c r="AF398" s="45">
        <v>46164</v>
      </c>
      <c r="AG398" s="33">
        <f t="shared" si="53"/>
        <v>42</v>
      </c>
      <c r="AH398" s="45"/>
      <c r="AI398" s="39"/>
      <c r="AJ398" s="39"/>
      <c r="AK398" s="39"/>
      <c r="AL398" s="35"/>
      <c r="AM398" s="34"/>
      <c r="AN398" s="34"/>
      <c r="AO398" s="39"/>
      <c r="AP398" s="47"/>
      <c r="AQ398" s="47"/>
      <c r="AR398" s="47"/>
      <c r="AS398" s="47"/>
    </row>
    <row r="399" spans="1:45" ht="12" customHeight="1" x14ac:dyDescent="0.25">
      <c r="A399" s="33">
        <v>398</v>
      </c>
      <c r="B399" s="34"/>
      <c r="C399" s="34" t="s">
        <v>577</v>
      </c>
      <c r="D399" s="35" t="s">
        <v>578</v>
      </c>
      <c r="E399" s="34" t="s">
        <v>194</v>
      </c>
      <c r="F399" s="34" t="s">
        <v>195</v>
      </c>
      <c r="G399" s="16" t="s">
        <v>281</v>
      </c>
      <c r="H399" s="34">
        <v>144</v>
      </c>
      <c r="I399" s="34" t="s">
        <v>66</v>
      </c>
      <c r="J399" s="34" t="s">
        <v>234</v>
      </c>
      <c r="K399" s="35" t="s">
        <v>454</v>
      </c>
      <c r="L399" s="36" t="e">
        <f>VLOOKUP(G399,#REF!,4,0)</f>
        <v>#REF!</v>
      </c>
      <c r="M399" s="37" t="e">
        <f>_xlfn.IFNA(VLOOKUP(G399,#REF!,2,0),"")</f>
        <v>#REF!</v>
      </c>
      <c r="N399" s="38" t="e">
        <f>_xlfn.IFNA(VLOOKUP(G399,#REF!,3,0),"")</f>
        <v>#REF!</v>
      </c>
      <c r="O399" s="39">
        <v>12</v>
      </c>
      <c r="P399" s="79">
        <v>178</v>
      </c>
      <c r="Q399" s="39" t="s">
        <v>10</v>
      </c>
      <c r="R399" s="34">
        <v>7.4</v>
      </c>
      <c r="S399" s="38">
        <v>250</v>
      </c>
      <c r="T399" s="40">
        <v>250</v>
      </c>
      <c r="U399" s="41">
        <f t="shared" si="49"/>
        <v>1567.2</v>
      </c>
      <c r="V399" s="42">
        <f t="shared" si="52"/>
        <v>10.883333333333333</v>
      </c>
      <c r="W399" s="43">
        <f t="shared" si="50"/>
        <v>1.6243781094527363</v>
      </c>
      <c r="X399" s="38"/>
      <c r="Y399" s="38"/>
      <c r="Z399" s="44"/>
      <c r="AA399" s="45">
        <v>46122</v>
      </c>
      <c r="AB399" s="45">
        <v>46163</v>
      </c>
      <c r="AC399" s="45"/>
      <c r="AD399" s="46" t="e">
        <f>IF(ISNA(VLOOKUP(D399,#REF!,5,0)),0,VLOOKUP(D399,#REF!,5,0))</f>
        <v>#REF!</v>
      </c>
      <c r="AE399" s="46" t="e">
        <f t="shared" si="51"/>
        <v>#REF!</v>
      </c>
      <c r="AF399" s="45"/>
      <c r="AG399" s="76">
        <f t="shared" si="53"/>
        <v>-46122</v>
      </c>
      <c r="AH399" s="45"/>
      <c r="AI399" s="39"/>
      <c r="AJ399" s="39"/>
      <c r="AK399" s="39"/>
      <c r="AL399" s="35"/>
      <c r="AM399" s="34"/>
      <c r="AN399" s="34"/>
      <c r="AO399" s="39"/>
      <c r="AP399" s="47"/>
      <c r="AQ399" s="47"/>
      <c r="AR399" s="47"/>
      <c r="AS399" s="47"/>
    </row>
    <row r="400" spans="1:45" ht="12" customHeight="1" x14ac:dyDescent="0.25">
      <c r="A400" s="33">
        <v>399</v>
      </c>
      <c r="B400" s="34"/>
      <c r="C400" s="34" t="s">
        <v>579</v>
      </c>
      <c r="D400" s="35" t="s">
        <v>580</v>
      </c>
      <c r="E400" s="34" t="s">
        <v>58</v>
      </c>
      <c r="F400" s="34" t="s">
        <v>0</v>
      </c>
      <c r="G400" s="16" t="s">
        <v>88</v>
      </c>
      <c r="H400" s="34">
        <v>450</v>
      </c>
      <c r="I400" s="34" t="s">
        <v>218</v>
      </c>
      <c r="J400" s="34" t="s">
        <v>3</v>
      </c>
      <c r="K400" s="35" t="s">
        <v>4</v>
      </c>
      <c r="L400" s="36" t="e">
        <f>VLOOKUP(G400,#REF!,4,0)</f>
        <v>#REF!</v>
      </c>
      <c r="M400" s="37" t="e">
        <f>_xlfn.IFNA(VLOOKUP(G400,#REF!,2,0),"")</f>
        <v>#REF!</v>
      </c>
      <c r="N400" s="38" t="e">
        <f>_xlfn.IFNA(VLOOKUP(G400,#REF!,3,0),"")</f>
        <v>#REF!</v>
      </c>
      <c r="O400" s="39">
        <v>5</v>
      </c>
      <c r="P400" s="79">
        <v>101.67</v>
      </c>
      <c r="Q400" s="39" t="s">
        <v>10</v>
      </c>
      <c r="R400" s="34">
        <v>6.2</v>
      </c>
      <c r="S400" s="38">
        <v>180</v>
      </c>
      <c r="T400" s="40">
        <v>100</v>
      </c>
      <c r="U400" s="41">
        <f t="shared" si="49"/>
        <v>730.35400000000004</v>
      </c>
      <c r="V400" s="42">
        <f t="shared" si="52"/>
        <v>1.6230088888888889</v>
      </c>
      <c r="W400" s="43">
        <f t="shared" si="50"/>
        <v>0.24224013266998343</v>
      </c>
      <c r="X400" s="38"/>
      <c r="Y400" s="38"/>
      <c r="Z400" s="44"/>
      <c r="AA400" s="45">
        <v>46122</v>
      </c>
      <c r="AB400" s="45">
        <v>46144</v>
      </c>
      <c r="AC400" s="45"/>
      <c r="AD400" s="46" t="e">
        <f>IF(ISNA(VLOOKUP(D400,#REF!,5,0)),0,VLOOKUP(D400,#REF!,5,0))</f>
        <v>#REF!</v>
      </c>
      <c r="AE400" s="46" t="e">
        <f t="shared" si="51"/>
        <v>#REF!</v>
      </c>
      <c r="AF400" s="45">
        <v>46151</v>
      </c>
      <c r="AG400" s="33">
        <f t="shared" si="53"/>
        <v>29</v>
      </c>
      <c r="AH400" s="45">
        <v>46180</v>
      </c>
      <c r="AI400" s="39"/>
      <c r="AJ400" s="39"/>
      <c r="AK400" s="39"/>
      <c r="AL400" s="35"/>
      <c r="AM400" s="34"/>
      <c r="AN400" s="34"/>
      <c r="AO400" s="39"/>
      <c r="AP400" s="47"/>
      <c r="AQ400" s="47"/>
      <c r="AR400" s="47"/>
      <c r="AS400" s="47"/>
    </row>
    <row r="401" spans="1:45" ht="12" customHeight="1" x14ac:dyDescent="0.25">
      <c r="A401" s="33">
        <v>400</v>
      </c>
      <c r="B401" s="34"/>
      <c r="C401" s="34" t="s">
        <v>579</v>
      </c>
      <c r="D401" s="35" t="s">
        <v>581</v>
      </c>
      <c r="E401" s="34" t="s">
        <v>61</v>
      </c>
      <c r="F401" s="34" t="s">
        <v>0</v>
      </c>
      <c r="G401" s="16" t="s">
        <v>329</v>
      </c>
      <c r="H401" s="34">
        <v>228</v>
      </c>
      <c r="I401" s="34" t="s">
        <v>218</v>
      </c>
      <c r="J401" s="34" t="s">
        <v>3</v>
      </c>
      <c r="K401" s="35" t="s">
        <v>4</v>
      </c>
      <c r="L401" s="36" t="e">
        <f>VLOOKUP(G401,#REF!,4,0)</f>
        <v>#REF!</v>
      </c>
      <c r="M401" s="37" t="e">
        <f>_xlfn.IFNA(VLOOKUP(G401,#REF!,2,0),"")</f>
        <v>#REF!</v>
      </c>
      <c r="N401" s="38" t="e">
        <f>_xlfn.IFNA(VLOOKUP(G401,#REF!,3,0),"")</f>
        <v>#REF!</v>
      </c>
      <c r="O401" s="39">
        <v>3</v>
      </c>
      <c r="P401" s="79">
        <v>60.997500000000002</v>
      </c>
      <c r="Q401" s="39" t="s">
        <v>10</v>
      </c>
      <c r="R401" s="34">
        <v>6.2</v>
      </c>
      <c r="S401" s="48">
        <v>180</v>
      </c>
      <c r="T401" s="40">
        <v>60</v>
      </c>
      <c r="U401" s="41">
        <f t="shared" si="49"/>
        <v>438.18450000000001</v>
      </c>
      <c r="V401" s="42">
        <f t="shared" si="52"/>
        <v>1.9218618421052631</v>
      </c>
      <c r="W401" s="43">
        <f t="shared" si="50"/>
        <v>0.28684505106048702</v>
      </c>
      <c r="X401" s="38"/>
      <c r="Y401" s="38"/>
      <c r="Z401" s="44"/>
      <c r="AA401" s="45">
        <v>46122</v>
      </c>
      <c r="AB401" s="45">
        <v>46144</v>
      </c>
      <c r="AC401" s="45"/>
      <c r="AD401" s="46" t="e">
        <f>IF(ISNA(VLOOKUP(D401,#REF!,5,0)),0,VLOOKUP(D401,#REF!,5,0))</f>
        <v>#REF!</v>
      </c>
      <c r="AE401" s="46" t="e">
        <f t="shared" si="51"/>
        <v>#REF!</v>
      </c>
      <c r="AF401" s="45">
        <v>46151</v>
      </c>
      <c r="AG401" s="33">
        <f t="shared" si="53"/>
        <v>29</v>
      </c>
      <c r="AH401" s="45">
        <v>46180</v>
      </c>
      <c r="AI401" s="39"/>
      <c r="AJ401" s="39"/>
      <c r="AK401" s="39"/>
      <c r="AL401" s="35"/>
      <c r="AM401" s="34"/>
      <c r="AN401" s="34"/>
      <c r="AO401" s="39"/>
      <c r="AP401" s="47"/>
      <c r="AQ401" s="47"/>
      <c r="AR401" s="47"/>
      <c r="AS401" s="47"/>
    </row>
    <row r="402" spans="1:45" ht="12" customHeight="1" x14ac:dyDescent="0.25">
      <c r="A402" s="33">
        <v>401</v>
      </c>
      <c r="B402" s="34"/>
      <c r="C402" s="34" t="s">
        <v>579</v>
      </c>
      <c r="D402" s="35" t="s">
        <v>581</v>
      </c>
      <c r="E402" s="34" t="s">
        <v>61</v>
      </c>
      <c r="F402" s="34" t="s">
        <v>0</v>
      </c>
      <c r="G402" s="16" t="s">
        <v>174</v>
      </c>
      <c r="H402" s="34">
        <v>90</v>
      </c>
      <c r="I402" s="34" t="s">
        <v>218</v>
      </c>
      <c r="J402" s="34" t="s">
        <v>3</v>
      </c>
      <c r="K402" s="35" t="s">
        <v>4</v>
      </c>
      <c r="L402" s="36" t="e">
        <f>VLOOKUP(G402,#REF!,4,0)</f>
        <v>#REF!</v>
      </c>
      <c r="M402" s="37" t="e">
        <f>_xlfn.IFNA(VLOOKUP(G402,#REF!,2,0),"")</f>
        <v>#REF!</v>
      </c>
      <c r="N402" s="38" t="e">
        <f>_xlfn.IFNA(VLOOKUP(G402,#REF!,3,0),"")</f>
        <v>#REF!</v>
      </c>
      <c r="O402" s="39">
        <v>1</v>
      </c>
      <c r="P402" s="79">
        <v>20.3325</v>
      </c>
      <c r="Q402" s="39" t="s">
        <v>10</v>
      </c>
      <c r="R402" s="34">
        <v>6.2</v>
      </c>
      <c r="S402" s="38"/>
      <c r="T402" s="40">
        <v>20</v>
      </c>
      <c r="U402" s="41">
        <f t="shared" si="49"/>
        <v>146.0615</v>
      </c>
      <c r="V402" s="42">
        <f t="shared" si="52"/>
        <v>1.6229055555555556</v>
      </c>
      <c r="W402" s="43">
        <f t="shared" si="50"/>
        <v>0.24222470978441127</v>
      </c>
      <c r="X402" s="38"/>
      <c r="Y402" s="38"/>
      <c r="Z402" s="44"/>
      <c r="AA402" s="45">
        <v>46122</v>
      </c>
      <c r="AB402" s="45">
        <v>46144</v>
      </c>
      <c r="AC402" s="45"/>
      <c r="AD402" s="46" t="e">
        <f>IF(ISNA(VLOOKUP(D402,#REF!,5,0)),0,VLOOKUP(D402,#REF!,5,0))</f>
        <v>#REF!</v>
      </c>
      <c r="AE402" s="46" t="e">
        <f t="shared" si="51"/>
        <v>#REF!</v>
      </c>
      <c r="AF402" s="45">
        <v>46151</v>
      </c>
      <c r="AG402" s="33">
        <f t="shared" si="53"/>
        <v>29</v>
      </c>
      <c r="AH402" s="45">
        <v>46180</v>
      </c>
      <c r="AI402" s="39"/>
      <c r="AJ402" s="39"/>
      <c r="AK402" s="39"/>
      <c r="AL402" s="35"/>
      <c r="AM402" s="34"/>
      <c r="AN402" s="34"/>
      <c r="AO402" s="39"/>
      <c r="AP402" s="47"/>
      <c r="AQ402" s="47"/>
      <c r="AR402" s="47"/>
      <c r="AS402" s="47"/>
    </row>
    <row r="403" spans="1:45" ht="12" customHeight="1" x14ac:dyDescent="0.25">
      <c r="A403" s="33">
        <v>402</v>
      </c>
      <c r="B403" s="34"/>
      <c r="C403" s="34" t="s">
        <v>582</v>
      </c>
      <c r="D403" s="35" t="s">
        <v>583</v>
      </c>
      <c r="E403" s="34" t="s">
        <v>61</v>
      </c>
      <c r="F403" s="34" t="s">
        <v>0</v>
      </c>
      <c r="G403" s="16" t="s">
        <v>278</v>
      </c>
      <c r="H403" s="34">
        <v>256</v>
      </c>
      <c r="I403" s="34" t="s">
        <v>218</v>
      </c>
      <c r="J403" s="34" t="s">
        <v>3</v>
      </c>
      <c r="K403" s="35" t="s">
        <v>22</v>
      </c>
      <c r="L403" s="36" t="e">
        <f>VLOOKUP(G403,#REF!,4,0)</f>
        <v>#REF!</v>
      </c>
      <c r="M403" s="37" t="e">
        <f>_xlfn.IFNA(VLOOKUP(G403,#REF!,2,0),"")</f>
        <v>#REF!</v>
      </c>
      <c r="N403" s="38" t="e">
        <f>_xlfn.IFNA(VLOOKUP(G403,#REF!,3,0),"")</f>
        <v>#REF!</v>
      </c>
      <c r="O403" s="39">
        <v>4</v>
      </c>
      <c r="P403" s="79">
        <v>59.272727272727273</v>
      </c>
      <c r="Q403" s="39" t="s">
        <v>10</v>
      </c>
      <c r="R403" s="34">
        <v>6.3</v>
      </c>
      <c r="S403" s="38">
        <v>180</v>
      </c>
      <c r="T403" s="40">
        <v>65.454545454545453</v>
      </c>
      <c r="U403" s="41">
        <f t="shared" si="49"/>
        <v>438.87272727272727</v>
      </c>
      <c r="V403" s="42">
        <f t="shared" si="52"/>
        <v>1.7143465909090909</v>
      </c>
      <c r="W403" s="43">
        <f t="shared" si="50"/>
        <v>0.25587262550881951</v>
      </c>
      <c r="X403" s="38"/>
      <c r="Y403" s="38"/>
      <c r="Z403" s="44"/>
      <c r="AA403" s="45">
        <v>46122</v>
      </c>
      <c r="AB403" s="45">
        <v>46147</v>
      </c>
      <c r="AC403" s="45"/>
      <c r="AD403" s="46" t="e">
        <f>IF(ISNA(VLOOKUP(D403,#REF!,5,0)),0,VLOOKUP(D403,#REF!,5,0))</f>
        <v>#REF!</v>
      </c>
      <c r="AE403" s="46" t="e">
        <f t="shared" si="51"/>
        <v>#REF!</v>
      </c>
      <c r="AF403" s="45">
        <v>46159</v>
      </c>
      <c r="AG403" s="33">
        <f t="shared" si="53"/>
        <v>37</v>
      </c>
      <c r="AH403" s="45"/>
      <c r="AI403" s="39"/>
      <c r="AJ403" s="39"/>
      <c r="AK403" s="39"/>
      <c r="AL403" s="35"/>
      <c r="AM403" s="34"/>
      <c r="AN403" s="34"/>
      <c r="AO403" s="39"/>
      <c r="AP403" s="47"/>
      <c r="AQ403" s="47"/>
      <c r="AR403" s="47"/>
      <c r="AS403" s="47"/>
    </row>
    <row r="404" spans="1:45" ht="12" customHeight="1" x14ac:dyDescent="0.25">
      <c r="A404" s="33">
        <v>403</v>
      </c>
      <c r="B404" s="34"/>
      <c r="C404" s="34" t="s">
        <v>582</v>
      </c>
      <c r="D404" s="35" t="s">
        <v>583</v>
      </c>
      <c r="E404" s="34" t="s">
        <v>61</v>
      </c>
      <c r="F404" s="34" t="s">
        <v>0</v>
      </c>
      <c r="G404" s="16" t="s">
        <v>277</v>
      </c>
      <c r="H404" s="34">
        <v>256</v>
      </c>
      <c r="I404" s="34" t="s">
        <v>218</v>
      </c>
      <c r="J404" s="34" t="s">
        <v>3</v>
      </c>
      <c r="K404" s="35" t="s">
        <v>22</v>
      </c>
      <c r="L404" s="36" t="e">
        <f>VLOOKUP(G404,#REF!,4,0)</f>
        <v>#REF!</v>
      </c>
      <c r="M404" s="37" t="e">
        <f>_xlfn.IFNA(VLOOKUP(G404,#REF!,2,0),"")</f>
        <v>#REF!</v>
      </c>
      <c r="N404" s="38" t="e">
        <f>_xlfn.IFNA(VLOOKUP(G404,#REF!,3,0),"")</f>
        <v>#REF!</v>
      </c>
      <c r="O404" s="39">
        <v>4</v>
      </c>
      <c r="P404" s="79">
        <v>59.272727272727273</v>
      </c>
      <c r="Q404" s="39" t="s">
        <v>10</v>
      </c>
      <c r="R404" s="34">
        <v>6.3</v>
      </c>
      <c r="S404" s="48">
        <v>180</v>
      </c>
      <c r="T404" s="40">
        <v>65.454545454545453</v>
      </c>
      <c r="U404" s="41">
        <f t="shared" si="49"/>
        <v>438.87272727272727</v>
      </c>
      <c r="V404" s="42">
        <f t="shared" si="52"/>
        <v>1.7143465909090909</v>
      </c>
      <c r="W404" s="43">
        <f t="shared" si="50"/>
        <v>0.25587262550881951</v>
      </c>
      <c r="X404" s="38"/>
      <c r="Y404" s="38"/>
      <c r="Z404" s="44"/>
      <c r="AA404" s="45">
        <v>46122</v>
      </c>
      <c r="AB404" s="45">
        <v>46147</v>
      </c>
      <c r="AC404" s="45"/>
      <c r="AD404" s="46" t="e">
        <f>IF(ISNA(VLOOKUP(D404,#REF!,5,0)),0,VLOOKUP(D404,#REF!,5,0))</f>
        <v>#REF!</v>
      </c>
      <c r="AE404" s="46" t="e">
        <f t="shared" si="51"/>
        <v>#REF!</v>
      </c>
      <c r="AF404" s="45">
        <v>46159</v>
      </c>
      <c r="AG404" s="33">
        <f t="shared" si="53"/>
        <v>37</v>
      </c>
      <c r="AH404" s="45"/>
      <c r="AI404" s="39"/>
      <c r="AJ404" s="39"/>
      <c r="AK404" s="39"/>
      <c r="AL404" s="35"/>
      <c r="AM404" s="34"/>
      <c r="AN404" s="34"/>
      <c r="AO404" s="39"/>
      <c r="AP404" s="47"/>
      <c r="AQ404" s="47"/>
      <c r="AR404" s="47"/>
      <c r="AS404" s="47"/>
    </row>
    <row r="405" spans="1:45" ht="12" customHeight="1" x14ac:dyDescent="0.25">
      <c r="A405" s="33">
        <v>404</v>
      </c>
      <c r="B405" s="34"/>
      <c r="C405" s="34" t="s">
        <v>582</v>
      </c>
      <c r="D405" s="35" t="s">
        <v>583</v>
      </c>
      <c r="E405" s="34" t="s">
        <v>61</v>
      </c>
      <c r="F405" s="34" t="s">
        <v>0</v>
      </c>
      <c r="G405" s="16" t="s">
        <v>253</v>
      </c>
      <c r="H405" s="34">
        <v>128</v>
      </c>
      <c r="I405" s="34" t="s">
        <v>218</v>
      </c>
      <c r="J405" s="34" t="s">
        <v>3</v>
      </c>
      <c r="K405" s="35" t="s">
        <v>22</v>
      </c>
      <c r="L405" s="36" t="e">
        <f>VLOOKUP(G405,#REF!,4,0)</f>
        <v>#REF!</v>
      </c>
      <c r="M405" s="37" t="e">
        <f>_xlfn.IFNA(VLOOKUP(G405,#REF!,2,0),"")</f>
        <v>#REF!</v>
      </c>
      <c r="N405" s="38" t="e">
        <f>_xlfn.IFNA(VLOOKUP(G405,#REF!,3,0),"")</f>
        <v>#REF!</v>
      </c>
      <c r="O405" s="39">
        <v>2</v>
      </c>
      <c r="P405" s="79">
        <v>29.636363636363637</v>
      </c>
      <c r="Q405" s="39" t="s">
        <v>10</v>
      </c>
      <c r="R405" s="34">
        <v>6.3</v>
      </c>
      <c r="S405" s="38"/>
      <c r="T405" s="40">
        <v>32.727272727272727</v>
      </c>
      <c r="U405" s="41">
        <f t="shared" si="49"/>
        <v>219.43636363636364</v>
      </c>
      <c r="V405" s="42">
        <f t="shared" si="52"/>
        <v>1.7143465909090909</v>
      </c>
      <c r="W405" s="43">
        <f t="shared" si="50"/>
        <v>0.25587262550881951</v>
      </c>
      <c r="X405" s="38"/>
      <c r="Y405" s="38"/>
      <c r="Z405" s="44"/>
      <c r="AA405" s="45">
        <v>46122</v>
      </c>
      <c r="AB405" s="45">
        <v>46147</v>
      </c>
      <c r="AC405" s="45"/>
      <c r="AD405" s="46" t="e">
        <f>IF(ISNA(VLOOKUP(D405,#REF!,5,0)),0,VLOOKUP(D405,#REF!,5,0))</f>
        <v>#REF!</v>
      </c>
      <c r="AE405" s="46" t="e">
        <f t="shared" si="51"/>
        <v>#REF!</v>
      </c>
      <c r="AF405" s="45">
        <v>46159</v>
      </c>
      <c r="AG405" s="33">
        <f t="shared" si="53"/>
        <v>37</v>
      </c>
      <c r="AH405" s="45"/>
      <c r="AI405" s="39"/>
      <c r="AJ405" s="39"/>
      <c r="AK405" s="39"/>
      <c r="AL405" s="35"/>
      <c r="AM405" s="34"/>
      <c r="AN405" s="34"/>
      <c r="AO405" s="39"/>
      <c r="AP405" s="47"/>
      <c r="AQ405" s="47"/>
      <c r="AR405" s="47"/>
      <c r="AS405" s="47"/>
    </row>
    <row r="406" spans="1:45" ht="12" customHeight="1" x14ac:dyDescent="0.25">
      <c r="A406" s="33">
        <v>405</v>
      </c>
      <c r="B406" s="34"/>
      <c r="C406" s="34" t="s">
        <v>582</v>
      </c>
      <c r="D406" s="35" t="s">
        <v>583</v>
      </c>
      <c r="E406" s="34" t="s">
        <v>61</v>
      </c>
      <c r="F406" s="34" t="s">
        <v>0</v>
      </c>
      <c r="G406" s="16" t="s">
        <v>254</v>
      </c>
      <c r="H406" s="34">
        <v>64</v>
      </c>
      <c r="I406" s="34" t="s">
        <v>218</v>
      </c>
      <c r="J406" s="34" t="s">
        <v>3</v>
      </c>
      <c r="K406" s="35" t="s">
        <v>22</v>
      </c>
      <c r="L406" s="36" t="e">
        <f>VLOOKUP(G406,#REF!,4,0)</f>
        <v>#REF!</v>
      </c>
      <c r="M406" s="37" t="e">
        <f>_xlfn.IFNA(VLOOKUP(G406,#REF!,2,0),"")</f>
        <v>#REF!</v>
      </c>
      <c r="N406" s="38" t="e">
        <f>_xlfn.IFNA(VLOOKUP(G406,#REF!,3,0),"")</f>
        <v>#REF!</v>
      </c>
      <c r="O406" s="39">
        <v>1</v>
      </c>
      <c r="P406" s="79">
        <v>14.818181818181818</v>
      </c>
      <c r="Q406" s="39" t="s">
        <v>10</v>
      </c>
      <c r="R406" s="34">
        <v>6.3</v>
      </c>
      <c r="S406" s="38"/>
      <c r="T406" s="40">
        <v>16.363636363636363</v>
      </c>
      <c r="U406" s="41">
        <f t="shared" si="49"/>
        <v>109.71818181818182</v>
      </c>
      <c r="V406" s="42">
        <f t="shared" si="52"/>
        <v>1.7143465909090909</v>
      </c>
      <c r="W406" s="43">
        <f t="shared" si="50"/>
        <v>0.25587262550881951</v>
      </c>
      <c r="X406" s="38"/>
      <c r="Y406" s="38"/>
      <c r="Z406" s="44"/>
      <c r="AA406" s="45">
        <v>46122</v>
      </c>
      <c r="AB406" s="45">
        <v>46147</v>
      </c>
      <c r="AC406" s="45"/>
      <c r="AD406" s="46" t="e">
        <f>IF(ISNA(VLOOKUP(D406,#REF!,5,0)),0,VLOOKUP(D406,#REF!,5,0))</f>
        <v>#REF!</v>
      </c>
      <c r="AE406" s="46" t="e">
        <f t="shared" si="51"/>
        <v>#REF!</v>
      </c>
      <c r="AF406" s="45">
        <v>46159</v>
      </c>
      <c r="AG406" s="33">
        <f t="shared" si="53"/>
        <v>37</v>
      </c>
      <c r="AH406" s="45"/>
      <c r="AI406" s="39"/>
      <c r="AJ406" s="39"/>
      <c r="AK406" s="39"/>
      <c r="AL406" s="35"/>
      <c r="AM406" s="34"/>
      <c r="AN406" s="34"/>
      <c r="AO406" s="39"/>
      <c r="AP406" s="47"/>
      <c r="AQ406" s="47"/>
      <c r="AR406" s="47"/>
      <c r="AS406" s="47"/>
    </row>
    <row r="407" spans="1:45" ht="12" customHeight="1" x14ac:dyDescent="0.25">
      <c r="A407" s="33">
        <v>406</v>
      </c>
      <c r="B407" s="34"/>
      <c r="C407" s="34" t="s">
        <v>584</v>
      </c>
      <c r="D407" s="35" t="s">
        <v>585</v>
      </c>
      <c r="E407" s="34" t="s">
        <v>61</v>
      </c>
      <c r="F407" s="34" t="s">
        <v>0</v>
      </c>
      <c r="G407" s="16" t="s">
        <v>109</v>
      </c>
      <c r="H407" s="34">
        <v>70</v>
      </c>
      <c r="I407" s="34" t="s">
        <v>62</v>
      </c>
      <c r="J407" s="34" t="s">
        <v>3</v>
      </c>
      <c r="K407" s="35" t="s">
        <v>9</v>
      </c>
      <c r="L407" s="36" t="e">
        <f>VLOOKUP(G407,#REF!,4,0)</f>
        <v>#REF!</v>
      </c>
      <c r="M407" s="37" t="e">
        <f>_xlfn.IFNA(VLOOKUP(G407,#REF!,2,0),"")</f>
        <v>#REF!</v>
      </c>
      <c r="N407" s="38" t="e">
        <f>_xlfn.IFNA(VLOOKUP(G407,#REF!,3,0),"")</f>
        <v>#REF!</v>
      </c>
      <c r="O407" s="39">
        <v>1</v>
      </c>
      <c r="P407" s="79">
        <v>13.25</v>
      </c>
      <c r="Q407" s="39" t="s">
        <v>10</v>
      </c>
      <c r="R407" s="34">
        <v>4.3</v>
      </c>
      <c r="S407" s="38">
        <v>200</v>
      </c>
      <c r="T407" s="40">
        <v>10</v>
      </c>
      <c r="U407" s="41">
        <f t="shared" si="49"/>
        <v>66.974999999999994</v>
      </c>
      <c r="V407" s="42">
        <f t="shared" si="52"/>
        <v>0.95678571428571424</v>
      </c>
      <c r="W407" s="43">
        <f t="shared" si="50"/>
        <v>0.14280383795309168</v>
      </c>
      <c r="X407" s="38"/>
      <c r="Y407" s="38"/>
      <c r="Z407" s="44"/>
      <c r="AA407" s="45">
        <v>46123</v>
      </c>
      <c r="AB407" s="45">
        <v>46144</v>
      </c>
      <c r="AC407" s="45"/>
      <c r="AD407" s="46" t="e">
        <f>IF(ISNA(VLOOKUP(D407,#REF!,5,0)),0,VLOOKUP(D407,#REF!,5,0))</f>
        <v>#REF!</v>
      </c>
      <c r="AE407" s="46" t="e">
        <f t="shared" si="51"/>
        <v>#REF!</v>
      </c>
      <c r="AF407" s="45">
        <v>46151</v>
      </c>
      <c r="AG407" s="33">
        <f t="shared" si="53"/>
        <v>28</v>
      </c>
      <c r="AH407" s="45"/>
      <c r="AI407" s="39"/>
      <c r="AJ407" s="39"/>
      <c r="AK407" s="39"/>
      <c r="AL407" s="35"/>
      <c r="AM407" s="34"/>
      <c r="AN407" s="34"/>
      <c r="AO407" s="39"/>
      <c r="AP407" s="47"/>
      <c r="AQ407" s="47"/>
      <c r="AR407" s="47"/>
      <c r="AS407" s="47"/>
    </row>
    <row r="408" spans="1:45" ht="12" customHeight="1" x14ac:dyDescent="0.25">
      <c r="A408" s="33">
        <v>407</v>
      </c>
      <c r="B408" s="34"/>
      <c r="C408" s="34" t="s">
        <v>584</v>
      </c>
      <c r="D408" s="35" t="s">
        <v>585</v>
      </c>
      <c r="E408" s="34" t="s">
        <v>61</v>
      </c>
      <c r="F408" s="34" t="s">
        <v>0</v>
      </c>
      <c r="G408" s="16" t="s">
        <v>110</v>
      </c>
      <c r="H408" s="34">
        <v>288</v>
      </c>
      <c r="I408" s="34" t="s">
        <v>62</v>
      </c>
      <c r="J408" s="34" t="s">
        <v>3</v>
      </c>
      <c r="K408" s="35" t="s">
        <v>9</v>
      </c>
      <c r="L408" s="36" t="e">
        <f>VLOOKUP(G408,#REF!,4,0)</f>
        <v>#REF!</v>
      </c>
      <c r="M408" s="37" t="e">
        <f>_xlfn.IFNA(VLOOKUP(G408,#REF!,2,0),"")</f>
        <v>#REF!</v>
      </c>
      <c r="N408" s="38" t="e">
        <f>_xlfn.IFNA(VLOOKUP(G408,#REF!,3,0),"")</f>
        <v>#REF!</v>
      </c>
      <c r="O408" s="39">
        <v>12</v>
      </c>
      <c r="P408" s="79">
        <v>159</v>
      </c>
      <c r="Q408" s="39" t="s">
        <v>10</v>
      </c>
      <c r="R408" s="34">
        <v>4.3</v>
      </c>
      <c r="S408" s="48">
        <v>200</v>
      </c>
      <c r="T408" s="40">
        <v>120</v>
      </c>
      <c r="U408" s="41">
        <f t="shared" si="49"/>
        <v>803.69999999999993</v>
      </c>
      <c r="V408" s="42">
        <f t="shared" si="52"/>
        <v>2.7906249999999999</v>
      </c>
      <c r="W408" s="43">
        <f t="shared" si="50"/>
        <v>0.41651119402985071</v>
      </c>
      <c r="X408" s="38"/>
      <c r="Y408" s="38"/>
      <c r="Z408" s="44"/>
      <c r="AA408" s="45">
        <v>46123</v>
      </c>
      <c r="AB408" s="45">
        <v>46144</v>
      </c>
      <c r="AC408" s="45"/>
      <c r="AD408" s="46" t="e">
        <f>IF(ISNA(VLOOKUP(D408,#REF!,5,0)),0,VLOOKUP(D408,#REF!,5,0))</f>
        <v>#REF!</v>
      </c>
      <c r="AE408" s="46" t="e">
        <f t="shared" si="51"/>
        <v>#REF!</v>
      </c>
      <c r="AF408" s="45">
        <v>46151</v>
      </c>
      <c r="AG408" s="33">
        <f t="shared" si="53"/>
        <v>28</v>
      </c>
      <c r="AH408" s="45"/>
      <c r="AI408" s="39"/>
      <c r="AJ408" s="39"/>
      <c r="AK408" s="39"/>
      <c r="AL408" s="35"/>
      <c r="AM408" s="34"/>
      <c r="AN408" s="34"/>
      <c r="AO408" s="39"/>
      <c r="AP408" s="47"/>
      <c r="AQ408" s="47"/>
      <c r="AR408" s="47"/>
      <c r="AS408" s="47"/>
    </row>
    <row r="409" spans="1:45" ht="12" customHeight="1" x14ac:dyDescent="0.25">
      <c r="A409" s="33">
        <v>408</v>
      </c>
      <c r="B409" s="34"/>
      <c r="C409" s="34" t="s">
        <v>584</v>
      </c>
      <c r="D409" s="35" t="s">
        <v>585</v>
      </c>
      <c r="E409" s="34" t="s">
        <v>61</v>
      </c>
      <c r="F409" s="34" t="s">
        <v>0</v>
      </c>
      <c r="G409" s="16" t="s">
        <v>586</v>
      </c>
      <c r="H409" s="34">
        <v>120</v>
      </c>
      <c r="I409" s="34" t="s">
        <v>62</v>
      </c>
      <c r="J409" s="34" t="s">
        <v>3</v>
      </c>
      <c r="K409" s="35" t="s">
        <v>9</v>
      </c>
      <c r="L409" s="36" t="e">
        <f>VLOOKUP(G409,#REF!,4,0)</f>
        <v>#REF!</v>
      </c>
      <c r="M409" s="37" t="e">
        <f>_xlfn.IFNA(VLOOKUP(G409,#REF!,2,0),"")</f>
        <v>#REF!</v>
      </c>
      <c r="N409" s="38" t="e">
        <f>_xlfn.IFNA(VLOOKUP(G409,#REF!,3,0),"")</f>
        <v>#REF!</v>
      </c>
      <c r="O409" s="39">
        <v>5</v>
      </c>
      <c r="P409" s="79">
        <v>66.25</v>
      </c>
      <c r="Q409" s="39" t="s">
        <v>10</v>
      </c>
      <c r="R409" s="34">
        <v>4.3</v>
      </c>
      <c r="S409" s="38"/>
      <c r="T409" s="40">
        <v>50</v>
      </c>
      <c r="U409" s="41">
        <f t="shared" si="49"/>
        <v>334.875</v>
      </c>
      <c r="V409" s="42">
        <f t="shared" si="52"/>
        <v>2.7906249999999999</v>
      </c>
      <c r="W409" s="43">
        <f t="shared" si="50"/>
        <v>0.41651119402985071</v>
      </c>
      <c r="X409" s="38"/>
      <c r="Y409" s="38"/>
      <c r="Z409" s="44"/>
      <c r="AA409" s="45">
        <v>46123</v>
      </c>
      <c r="AB409" s="45">
        <v>46144</v>
      </c>
      <c r="AC409" s="45"/>
      <c r="AD409" s="46" t="e">
        <f>IF(ISNA(VLOOKUP(D409,#REF!,5,0)),0,VLOOKUP(D409,#REF!,5,0))</f>
        <v>#REF!</v>
      </c>
      <c r="AE409" s="46" t="e">
        <f t="shared" si="51"/>
        <v>#REF!</v>
      </c>
      <c r="AF409" s="45">
        <v>46151</v>
      </c>
      <c r="AG409" s="33">
        <f t="shared" si="53"/>
        <v>28</v>
      </c>
      <c r="AH409" s="45"/>
      <c r="AI409" s="39"/>
      <c r="AJ409" s="39"/>
      <c r="AK409" s="39"/>
      <c r="AL409" s="35"/>
      <c r="AM409" s="34"/>
      <c r="AN409" s="34"/>
      <c r="AO409" s="39"/>
      <c r="AP409" s="47"/>
      <c r="AQ409" s="47"/>
      <c r="AR409" s="47"/>
      <c r="AS409" s="47"/>
    </row>
    <row r="410" spans="1:45" ht="12" customHeight="1" x14ac:dyDescent="0.25">
      <c r="A410" s="33">
        <v>409</v>
      </c>
      <c r="B410" s="34"/>
      <c r="C410" s="34" t="s">
        <v>584</v>
      </c>
      <c r="D410" s="35" t="s">
        <v>585</v>
      </c>
      <c r="E410" s="34" t="s">
        <v>61</v>
      </c>
      <c r="F410" s="34" t="s">
        <v>0</v>
      </c>
      <c r="G410" s="16" t="s">
        <v>109</v>
      </c>
      <c r="H410" s="34">
        <v>29</v>
      </c>
      <c r="I410" s="34" t="s">
        <v>62</v>
      </c>
      <c r="J410" s="34" t="s">
        <v>3</v>
      </c>
      <c r="K410" s="35" t="s">
        <v>9</v>
      </c>
      <c r="L410" s="36" t="e">
        <f>VLOOKUP(G410,#REF!,4,0)</f>
        <v>#REF!</v>
      </c>
      <c r="M410" s="37" t="e">
        <f>_xlfn.IFNA(VLOOKUP(G410,#REF!,2,0),"")</f>
        <v>#REF!</v>
      </c>
      <c r="N410" s="38" t="e">
        <f>_xlfn.IFNA(VLOOKUP(G410,#REF!,3,0),"")</f>
        <v>#REF!</v>
      </c>
      <c r="O410" s="39">
        <v>0.5</v>
      </c>
      <c r="P410" s="79">
        <v>6.625</v>
      </c>
      <c r="Q410" s="39" t="s">
        <v>10</v>
      </c>
      <c r="R410" s="34">
        <v>4.3</v>
      </c>
      <c r="S410" s="38"/>
      <c r="T410" s="40">
        <v>5</v>
      </c>
      <c r="U410" s="41">
        <f t="shared" si="49"/>
        <v>33.487499999999997</v>
      </c>
      <c r="V410" s="42">
        <f t="shared" si="52"/>
        <v>1.1547413793103447</v>
      </c>
      <c r="W410" s="43">
        <f t="shared" si="50"/>
        <v>0.17234945959855891</v>
      </c>
      <c r="X410" s="38"/>
      <c r="Y410" s="38"/>
      <c r="Z410" s="44"/>
      <c r="AA410" s="45">
        <v>46123</v>
      </c>
      <c r="AB410" s="45">
        <v>46144</v>
      </c>
      <c r="AC410" s="45"/>
      <c r="AD410" s="46" t="e">
        <f>IF(ISNA(VLOOKUP(D410,#REF!,5,0)),0,VLOOKUP(D410,#REF!,5,0))</f>
        <v>#REF!</v>
      </c>
      <c r="AE410" s="46" t="e">
        <f t="shared" si="51"/>
        <v>#REF!</v>
      </c>
      <c r="AF410" s="45">
        <v>46151</v>
      </c>
      <c r="AG410" s="33">
        <f t="shared" si="53"/>
        <v>28</v>
      </c>
      <c r="AH410" s="45"/>
      <c r="AI410" s="39"/>
      <c r="AJ410" s="39"/>
      <c r="AK410" s="39"/>
      <c r="AL410" s="35"/>
      <c r="AM410" s="34"/>
      <c r="AN410" s="34"/>
      <c r="AO410" s="39"/>
      <c r="AP410" s="47"/>
      <c r="AQ410" s="47"/>
      <c r="AR410" s="47"/>
      <c r="AS410" s="47"/>
    </row>
    <row r="411" spans="1:45" ht="12" customHeight="1" x14ac:dyDescent="0.25">
      <c r="A411" s="33">
        <v>410</v>
      </c>
      <c r="B411" s="34"/>
      <c r="C411" s="34" t="s">
        <v>584</v>
      </c>
      <c r="D411" s="35" t="s">
        <v>585</v>
      </c>
      <c r="E411" s="34" t="s">
        <v>61</v>
      </c>
      <c r="F411" s="34" t="s">
        <v>0</v>
      </c>
      <c r="G411" s="16" t="s">
        <v>347</v>
      </c>
      <c r="H411" s="34">
        <v>33</v>
      </c>
      <c r="I411" s="34" t="s">
        <v>62</v>
      </c>
      <c r="J411" s="34" t="s">
        <v>3</v>
      </c>
      <c r="K411" s="35" t="s">
        <v>9</v>
      </c>
      <c r="L411" s="36" t="e">
        <f>VLOOKUP(G411,#REF!,4,0)</f>
        <v>#REF!</v>
      </c>
      <c r="M411" s="37" t="e">
        <f>_xlfn.IFNA(VLOOKUP(G411,#REF!,2,0),"")</f>
        <v>#REF!</v>
      </c>
      <c r="N411" s="38" t="e">
        <f>_xlfn.IFNA(VLOOKUP(G411,#REF!,3,0),"")</f>
        <v>#REF!</v>
      </c>
      <c r="O411" s="39">
        <v>0.5</v>
      </c>
      <c r="P411" s="79">
        <v>6.625</v>
      </c>
      <c r="Q411" s="39" t="s">
        <v>10</v>
      </c>
      <c r="R411" s="34">
        <v>4.3</v>
      </c>
      <c r="S411" s="38"/>
      <c r="T411" s="40">
        <v>5</v>
      </c>
      <c r="U411" s="41">
        <f t="shared" si="49"/>
        <v>33.487499999999997</v>
      </c>
      <c r="V411" s="42">
        <f t="shared" si="52"/>
        <v>1.0147727272727272</v>
      </c>
      <c r="W411" s="43">
        <f t="shared" si="50"/>
        <v>0.15145861601085481</v>
      </c>
      <c r="X411" s="38"/>
      <c r="Y411" s="38"/>
      <c r="Z411" s="44"/>
      <c r="AA411" s="45">
        <v>46123</v>
      </c>
      <c r="AB411" s="45">
        <v>46144</v>
      </c>
      <c r="AC411" s="45"/>
      <c r="AD411" s="46" t="e">
        <f>IF(ISNA(VLOOKUP(D411,#REF!,5,0)),0,VLOOKUP(D411,#REF!,5,0))</f>
        <v>#REF!</v>
      </c>
      <c r="AE411" s="46" t="e">
        <f t="shared" si="51"/>
        <v>#REF!</v>
      </c>
      <c r="AF411" s="45">
        <v>46151</v>
      </c>
      <c r="AG411" s="33">
        <f t="shared" si="53"/>
        <v>28</v>
      </c>
      <c r="AH411" s="45"/>
      <c r="AI411" s="39"/>
      <c r="AJ411" s="39"/>
      <c r="AK411" s="39"/>
      <c r="AL411" s="35"/>
      <c r="AM411" s="34"/>
      <c r="AN411" s="34"/>
      <c r="AO411" s="39"/>
      <c r="AP411" s="47"/>
      <c r="AQ411" s="47"/>
      <c r="AR411" s="47"/>
      <c r="AS411" s="47"/>
    </row>
    <row r="412" spans="1:45" ht="12" customHeight="1" x14ac:dyDescent="0.25">
      <c r="A412" s="33">
        <v>411</v>
      </c>
      <c r="B412" s="34"/>
      <c r="C412" s="34" t="s">
        <v>145</v>
      </c>
      <c r="D412" s="35" t="s">
        <v>587</v>
      </c>
      <c r="E412" s="34" t="s">
        <v>470</v>
      </c>
      <c r="F412" s="34" t="s">
        <v>0</v>
      </c>
      <c r="G412" s="16" t="s">
        <v>586</v>
      </c>
      <c r="H412" s="34">
        <v>408</v>
      </c>
      <c r="I412" s="34" t="s">
        <v>66</v>
      </c>
      <c r="J412" s="34" t="s">
        <v>3</v>
      </c>
      <c r="K412" s="35" t="s">
        <v>4</v>
      </c>
      <c r="L412" s="36" t="e">
        <f>VLOOKUP(G412,#REF!,4,0)</f>
        <v>#REF!</v>
      </c>
      <c r="M412" s="37" t="e">
        <f>_xlfn.IFNA(VLOOKUP(G412,#REF!,2,0),"")</f>
        <v>#REF!</v>
      </c>
      <c r="N412" s="38" t="e">
        <f>_xlfn.IFNA(VLOOKUP(G412,#REF!,3,0),"")</f>
        <v>#REF!</v>
      </c>
      <c r="O412" s="39">
        <v>17</v>
      </c>
      <c r="P412" s="79">
        <v>201</v>
      </c>
      <c r="Q412" s="39" t="s">
        <v>10</v>
      </c>
      <c r="R412" s="34">
        <v>4.8</v>
      </c>
      <c r="S412" s="38">
        <v>200</v>
      </c>
      <c r="T412" s="40">
        <v>69.387755102040813</v>
      </c>
      <c r="U412" s="41">
        <f t="shared" si="49"/>
        <v>1034.1877551020407</v>
      </c>
      <c r="V412" s="42">
        <f t="shared" si="52"/>
        <v>2.5347739095638251</v>
      </c>
      <c r="W412" s="43">
        <f t="shared" si="50"/>
        <v>0.37832446411400372</v>
      </c>
      <c r="X412" s="38"/>
      <c r="Y412" s="38"/>
      <c r="Z412" s="44"/>
      <c r="AA412" s="45">
        <v>46123</v>
      </c>
      <c r="AB412" s="45">
        <v>46147</v>
      </c>
      <c r="AC412" s="45"/>
      <c r="AD412" s="46" t="e">
        <f>IF(ISNA(VLOOKUP(D412,#REF!,5,0)),0,VLOOKUP(D412,#REF!,5,0))</f>
        <v>#REF!</v>
      </c>
      <c r="AE412" s="46" t="e">
        <f t="shared" si="51"/>
        <v>#REF!</v>
      </c>
      <c r="AF412" s="45">
        <v>46154</v>
      </c>
      <c r="AG412" s="33">
        <f t="shared" si="53"/>
        <v>31</v>
      </c>
      <c r="AH412" s="45"/>
      <c r="AI412" s="39"/>
      <c r="AJ412" s="39"/>
      <c r="AK412" s="39"/>
      <c r="AL412" s="35"/>
      <c r="AM412" s="34"/>
      <c r="AN412" s="34"/>
      <c r="AO412" s="39"/>
      <c r="AP412" s="47"/>
      <c r="AQ412" s="47"/>
      <c r="AR412" s="47"/>
      <c r="AS412" s="47"/>
    </row>
    <row r="413" spans="1:45" ht="12" customHeight="1" x14ac:dyDescent="0.25">
      <c r="A413" s="33">
        <v>412</v>
      </c>
      <c r="B413" s="34"/>
      <c r="C413" s="34" t="s">
        <v>584</v>
      </c>
      <c r="D413" s="35" t="s">
        <v>588</v>
      </c>
      <c r="E413" s="34" t="s">
        <v>172</v>
      </c>
      <c r="F413" s="34" t="s">
        <v>0</v>
      </c>
      <c r="G413" s="16" t="s">
        <v>347</v>
      </c>
      <c r="H413" s="34">
        <v>70</v>
      </c>
      <c r="I413" s="34" t="s">
        <v>62</v>
      </c>
      <c r="J413" s="34" t="s">
        <v>3</v>
      </c>
      <c r="K413" s="35" t="s">
        <v>9</v>
      </c>
      <c r="L413" s="36" t="e">
        <f>VLOOKUP(G413,#REF!,4,0)</f>
        <v>#REF!</v>
      </c>
      <c r="M413" s="37" t="e">
        <f>_xlfn.IFNA(VLOOKUP(G413,#REF!,2,0),"")</f>
        <v>#REF!</v>
      </c>
      <c r="N413" s="38" t="e">
        <f>_xlfn.IFNA(VLOOKUP(G413,#REF!,3,0),"")</f>
        <v>#REF!</v>
      </c>
      <c r="O413" s="39">
        <v>1</v>
      </c>
      <c r="P413" s="79">
        <v>13.25</v>
      </c>
      <c r="Q413" s="39" t="s">
        <v>10</v>
      </c>
      <c r="R413" s="34">
        <v>4.3</v>
      </c>
      <c r="S413" s="48">
        <v>200</v>
      </c>
      <c r="T413" s="40">
        <v>10</v>
      </c>
      <c r="U413" s="41">
        <f t="shared" si="49"/>
        <v>66.974999999999994</v>
      </c>
      <c r="V413" s="42">
        <f t="shared" si="52"/>
        <v>0.95678571428571424</v>
      </c>
      <c r="W413" s="43">
        <f t="shared" si="50"/>
        <v>0.14280383795309168</v>
      </c>
      <c r="X413" s="38"/>
      <c r="Y413" s="38"/>
      <c r="Z413" s="44"/>
      <c r="AA413" s="45">
        <v>46123</v>
      </c>
      <c r="AB413" s="45">
        <v>46144</v>
      </c>
      <c r="AC413" s="45"/>
      <c r="AD413" s="46" t="e">
        <f>IF(ISNA(VLOOKUP(D413,#REF!,5,0)),0,VLOOKUP(D413,#REF!,5,0))</f>
        <v>#REF!</v>
      </c>
      <c r="AE413" s="46" t="e">
        <f t="shared" si="51"/>
        <v>#REF!</v>
      </c>
      <c r="AF413" s="45">
        <v>46151</v>
      </c>
      <c r="AG413" s="33">
        <f t="shared" si="53"/>
        <v>28</v>
      </c>
      <c r="AH413" s="45">
        <v>46181</v>
      </c>
      <c r="AI413" s="39"/>
      <c r="AJ413" s="39"/>
      <c r="AK413" s="39"/>
      <c r="AL413" s="35"/>
      <c r="AM413" s="34"/>
      <c r="AN413" s="34"/>
      <c r="AO413" s="39"/>
      <c r="AP413" s="47"/>
      <c r="AQ413" s="47"/>
      <c r="AR413" s="47"/>
      <c r="AS413" s="47"/>
    </row>
    <row r="414" spans="1:45" ht="12" customHeight="1" x14ac:dyDescent="0.25">
      <c r="A414" s="33">
        <v>413</v>
      </c>
      <c r="B414" s="34"/>
      <c r="C414" s="34" t="s">
        <v>155</v>
      </c>
      <c r="D414" s="35" t="s">
        <v>592</v>
      </c>
      <c r="E414" s="34" t="s">
        <v>61</v>
      </c>
      <c r="F414" s="34" t="s">
        <v>0</v>
      </c>
      <c r="G414" s="16" t="s">
        <v>68</v>
      </c>
      <c r="H414" s="34">
        <v>390</v>
      </c>
      <c r="I414" s="34" t="s">
        <v>54</v>
      </c>
      <c r="J414" s="34" t="s">
        <v>3</v>
      </c>
      <c r="K414" s="35" t="s">
        <v>9</v>
      </c>
      <c r="L414" s="36" t="e">
        <f>VLOOKUP(G414,#REF!,4,0)</f>
        <v>#REF!</v>
      </c>
      <c r="M414" s="37" t="e">
        <f>_xlfn.IFNA(VLOOKUP(G414,#REF!,2,0),"")</f>
        <v>#REF!</v>
      </c>
      <c r="N414" s="38" t="e">
        <f>_xlfn.IFNA(VLOOKUP(G414,#REF!,3,0),"")</f>
        <v>#REF!</v>
      </c>
      <c r="O414" s="39">
        <v>13</v>
      </c>
      <c r="P414" s="79">
        <v>161.65217391304347</v>
      </c>
      <c r="Q414" s="39" t="s">
        <v>10</v>
      </c>
      <c r="R414" s="34">
        <v>4.2</v>
      </c>
      <c r="S414" s="38">
        <v>200</v>
      </c>
      <c r="T414" s="40">
        <v>96.296296296296291</v>
      </c>
      <c r="U414" s="41">
        <f t="shared" ref="U414:U470" si="54">R414*P414+T414</f>
        <v>775.23542673107886</v>
      </c>
      <c r="V414" s="42">
        <f t="shared" si="52"/>
        <v>1.9877831454643047</v>
      </c>
      <c r="W414" s="43">
        <f t="shared" ref="W414:W470" si="55">V414/6.7</f>
        <v>0.29668405156183653</v>
      </c>
      <c r="X414" s="38"/>
      <c r="Y414" s="38"/>
      <c r="Z414" s="44"/>
      <c r="AA414" s="45">
        <v>46129</v>
      </c>
      <c r="AB414" s="45">
        <v>46152</v>
      </c>
      <c r="AC414" s="45"/>
      <c r="AD414" s="46" t="e">
        <f>IF(ISNA(VLOOKUP(D414,#REF!,5,0)),0,VLOOKUP(D414,#REF!,5,0))</f>
        <v>#REF!</v>
      </c>
      <c r="AE414" s="46" t="e">
        <f t="shared" si="51"/>
        <v>#REF!</v>
      </c>
      <c r="AF414" s="45">
        <v>46164</v>
      </c>
      <c r="AG414" s="33">
        <f t="shared" si="53"/>
        <v>35</v>
      </c>
      <c r="AH414" s="45"/>
      <c r="AI414" s="39"/>
      <c r="AJ414" s="39"/>
      <c r="AK414" s="39"/>
      <c r="AL414" s="35"/>
      <c r="AM414" s="34"/>
      <c r="AN414" s="34"/>
      <c r="AO414" s="39"/>
      <c r="AP414" s="47"/>
      <c r="AQ414" s="47"/>
      <c r="AR414" s="47"/>
      <c r="AS414" s="47"/>
    </row>
    <row r="415" spans="1:45" ht="12" customHeight="1" x14ac:dyDescent="0.25">
      <c r="A415" s="33">
        <v>414</v>
      </c>
      <c r="B415" s="34"/>
      <c r="C415" s="34" t="s">
        <v>155</v>
      </c>
      <c r="D415" s="35" t="s">
        <v>592</v>
      </c>
      <c r="E415" s="34" t="s">
        <v>61</v>
      </c>
      <c r="F415" s="34" t="s">
        <v>0</v>
      </c>
      <c r="G415" s="16" t="s">
        <v>69</v>
      </c>
      <c r="H415" s="34">
        <v>150</v>
      </c>
      <c r="I415" s="34" t="s">
        <v>54</v>
      </c>
      <c r="J415" s="34" t="s">
        <v>3</v>
      </c>
      <c r="K415" s="35" t="s">
        <v>9</v>
      </c>
      <c r="L415" s="36" t="e">
        <f>VLOOKUP(G415,#REF!,4,0)</f>
        <v>#REF!</v>
      </c>
      <c r="M415" s="37" t="e">
        <f>_xlfn.IFNA(VLOOKUP(G415,#REF!,2,0),"")</f>
        <v>#REF!</v>
      </c>
      <c r="N415" s="38" t="e">
        <f>_xlfn.IFNA(VLOOKUP(G415,#REF!,3,0),"")</f>
        <v>#REF!</v>
      </c>
      <c r="O415" s="39">
        <v>5</v>
      </c>
      <c r="P415" s="79">
        <v>62.173913043478265</v>
      </c>
      <c r="Q415" s="39" t="s">
        <v>10</v>
      </c>
      <c r="R415" s="34">
        <v>4.2</v>
      </c>
      <c r="S415" s="48">
        <v>200</v>
      </c>
      <c r="T415" s="40">
        <v>37.037037037037038</v>
      </c>
      <c r="U415" s="41">
        <f t="shared" si="54"/>
        <v>298.16747181964581</v>
      </c>
      <c r="V415" s="42">
        <f t="shared" si="52"/>
        <v>1.9877831454643053</v>
      </c>
      <c r="W415" s="43">
        <f t="shared" si="55"/>
        <v>0.29668405156183664</v>
      </c>
      <c r="X415" s="38"/>
      <c r="Y415" s="38"/>
      <c r="Z415" s="44"/>
      <c r="AA415" s="45">
        <v>46129</v>
      </c>
      <c r="AB415" s="45">
        <v>46152</v>
      </c>
      <c r="AC415" s="45"/>
      <c r="AD415" s="46" t="e">
        <f>IF(ISNA(VLOOKUP(D415,#REF!,5,0)),0,VLOOKUP(D415,#REF!,5,0))</f>
        <v>#REF!</v>
      </c>
      <c r="AE415" s="46" t="e">
        <f t="shared" si="51"/>
        <v>#REF!</v>
      </c>
      <c r="AF415" s="45">
        <v>46164</v>
      </c>
      <c r="AG415" s="33">
        <f t="shared" si="53"/>
        <v>35</v>
      </c>
      <c r="AH415" s="45"/>
      <c r="AI415" s="39"/>
      <c r="AJ415" s="39"/>
      <c r="AK415" s="39"/>
      <c r="AL415" s="35"/>
      <c r="AM415" s="34"/>
      <c r="AN415" s="34"/>
      <c r="AO415" s="39"/>
      <c r="AP415" s="47"/>
      <c r="AQ415" s="47"/>
      <c r="AR415" s="47"/>
      <c r="AS415" s="47"/>
    </row>
    <row r="416" spans="1:45" ht="12" customHeight="1" x14ac:dyDescent="0.25">
      <c r="A416" s="33">
        <v>415</v>
      </c>
      <c r="B416" s="34"/>
      <c r="C416" s="34" t="s">
        <v>155</v>
      </c>
      <c r="D416" s="35" t="s">
        <v>592</v>
      </c>
      <c r="E416" s="34" t="s">
        <v>61</v>
      </c>
      <c r="F416" s="34" t="s">
        <v>0</v>
      </c>
      <c r="G416" s="16" t="s">
        <v>242</v>
      </c>
      <c r="H416" s="34">
        <v>200</v>
      </c>
      <c r="I416" s="34" t="s">
        <v>54</v>
      </c>
      <c r="J416" s="34" t="s">
        <v>3</v>
      </c>
      <c r="K416" s="35" t="s">
        <v>9</v>
      </c>
      <c r="L416" s="36" t="e">
        <f>VLOOKUP(G416,#REF!,4,0)</f>
        <v>#REF!</v>
      </c>
      <c r="M416" s="37" t="e">
        <f>_xlfn.IFNA(VLOOKUP(G416,#REF!,2,0),"")</f>
        <v>#REF!</v>
      </c>
      <c r="N416" s="38" t="e">
        <f>_xlfn.IFNA(VLOOKUP(G416,#REF!,3,0),"")</f>
        <v>#REF!</v>
      </c>
      <c r="O416" s="39">
        <v>5</v>
      </c>
      <c r="P416" s="79">
        <v>62.173913043478265</v>
      </c>
      <c r="Q416" s="39" t="s">
        <v>10</v>
      </c>
      <c r="R416" s="34">
        <v>4.2</v>
      </c>
      <c r="S416" s="38"/>
      <c r="T416" s="40">
        <v>37.037037037037038</v>
      </c>
      <c r="U416" s="41">
        <f t="shared" si="54"/>
        <v>298.16747181964581</v>
      </c>
      <c r="V416" s="42">
        <f t="shared" si="52"/>
        <v>1.4908373590982291</v>
      </c>
      <c r="W416" s="43">
        <f t="shared" si="55"/>
        <v>0.22251303867137748</v>
      </c>
      <c r="X416" s="38"/>
      <c r="Y416" s="38"/>
      <c r="Z416" s="44"/>
      <c r="AA416" s="45">
        <v>46129</v>
      </c>
      <c r="AB416" s="45">
        <v>46152</v>
      </c>
      <c r="AC416" s="45"/>
      <c r="AD416" s="46" t="e">
        <f>IF(ISNA(VLOOKUP(D416,#REF!,5,0)),0,VLOOKUP(D416,#REF!,5,0))</f>
        <v>#REF!</v>
      </c>
      <c r="AE416" s="46" t="e">
        <f t="shared" si="51"/>
        <v>#REF!</v>
      </c>
      <c r="AF416" s="45">
        <v>46164</v>
      </c>
      <c r="AG416" s="33">
        <f t="shared" si="53"/>
        <v>35</v>
      </c>
      <c r="AH416" s="45"/>
      <c r="AI416" s="39"/>
      <c r="AJ416" s="39"/>
      <c r="AK416" s="39"/>
      <c r="AL416" s="35"/>
      <c r="AM416" s="34"/>
      <c r="AN416" s="34"/>
      <c r="AO416" s="39"/>
      <c r="AP416" s="47"/>
      <c r="AQ416" s="47"/>
      <c r="AR416" s="47"/>
      <c r="AS416" s="47"/>
    </row>
    <row r="417" spans="1:45" ht="12" customHeight="1" x14ac:dyDescent="0.25">
      <c r="A417" s="33">
        <v>416</v>
      </c>
      <c r="B417" s="34"/>
      <c r="C417" s="34" t="s">
        <v>593</v>
      </c>
      <c r="D417" s="35" t="s">
        <v>594</v>
      </c>
      <c r="E417" s="34" t="s">
        <v>61</v>
      </c>
      <c r="F417" s="34" t="s">
        <v>0</v>
      </c>
      <c r="G417" s="16" t="s">
        <v>282</v>
      </c>
      <c r="H417" s="34">
        <v>480</v>
      </c>
      <c r="I417" s="34" t="s">
        <v>54</v>
      </c>
      <c r="J417" s="34" t="s">
        <v>2</v>
      </c>
      <c r="K417" s="35" t="s">
        <v>9</v>
      </c>
      <c r="L417" s="36" t="e">
        <f>VLOOKUP(G417,#REF!,4,0)</f>
        <v>#REF!</v>
      </c>
      <c r="M417" s="37" t="e">
        <f>_xlfn.IFNA(VLOOKUP(G417,#REF!,2,0),"")</f>
        <v>#REF!</v>
      </c>
      <c r="N417" s="38" t="e">
        <f>_xlfn.IFNA(VLOOKUP(G417,#REF!,3,0),"")</f>
        <v>#REF!</v>
      </c>
      <c r="O417" s="39">
        <v>16</v>
      </c>
      <c r="P417" s="79">
        <v>253</v>
      </c>
      <c r="Q417" s="39" t="s">
        <v>10</v>
      </c>
      <c r="R417" s="34">
        <v>8.9</v>
      </c>
      <c r="S417" s="38">
        <v>200</v>
      </c>
      <c r="T417" s="40">
        <v>88.888888888888886</v>
      </c>
      <c r="U417" s="41">
        <f t="shared" si="54"/>
        <v>2340.588888888889</v>
      </c>
      <c r="V417" s="42">
        <f t="shared" si="52"/>
        <v>4.8762268518518521</v>
      </c>
      <c r="W417" s="43">
        <f t="shared" si="55"/>
        <v>0.72779505251520182</v>
      </c>
      <c r="X417" s="38"/>
      <c r="Y417" s="38"/>
      <c r="Z417" s="44"/>
      <c r="AA417" s="45">
        <v>46129</v>
      </c>
      <c r="AB417" s="45">
        <v>46145</v>
      </c>
      <c r="AC417" s="45"/>
      <c r="AD417" s="46" t="e">
        <f>IF(ISNA(VLOOKUP(D417,#REF!,5,0)),0,VLOOKUP(D417,#REF!,5,0))</f>
        <v>#REF!</v>
      </c>
      <c r="AE417" s="46" t="e">
        <f t="shared" si="51"/>
        <v>#REF!</v>
      </c>
      <c r="AF417" s="45">
        <v>46152</v>
      </c>
      <c r="AG417" s="33">
        <f t="shared" si="53"/>
        <v>23</v>
      </c>
      <c r="AH417" s="45"/>
      <c r="AI417" s="39"/>
      <c r="AJ417" s="39"/>
      <c r="AK417" s="39"/>
      <c r="AL417" s="35"/>
      <c r="AM417" s="34"/>
      <c r="AN417" s="34"/>
      <c r="AO417" s="39"/>
      <c r="AP417" s="47"/>
      <c r="AQ417" s="47"/>
      <c r="AR417" s="47"/>
      <c r="AS417" s="47"/>
    </row>
    <row r="418" spans="1:45" ht="12" customHeight="1" x14ac:dyDescent="0.25">
      <c r="A418" s="33">
        <v>417</v>
      </c>
      <c r="B418" s="34"/>
      <c r="C418" s="34" t="s">
        <v>156</v>
      </c>
      <c r="D418" s="35" t="s">
        <v>595</v>
      </c>
      <c r="E418" s="34" t="s">
        <v>71</v>
      </c>
      <c r="F418" s="34" t="s">
        <v>72</v>
      </c>
      <c r="G418" s="16" t="s">
        <v>64</v>
      </c>
      <c r="H418" s="34">
        <v>280</v>
      </c>
      <c r="I418" s="34" t="s">
        <v>54</v>
      </c>
      <c r="J418" s="34" t="s">
        <v>255</v>
      </c>
      <c r="K418" s="35" t="s">
        <v>111</v>
      </c>
      <c r="L418" s="36" t="e">
        <f>VLOOKUP(G418,#REF!,4,0)</f>
        <v>#REF!</v>
      </c>
      <c r="M418" s="37" t="e">
        <f>_xlfn.IFNA(VLOOKUP(G418,#REF!,2,0),"")</f>
        <v>#REF!</v>
      </c>
      <c r="N418" s="38" t="e">
        <f>_xlfn.IFNA(VLOOKUP(G418,#REF!,3,0),"")</f>
        <v>#REF!</v>
      </c>
      <c r="O418" s="39">
        <v>7</v>
      </c>
      <c r="P418" s="79">
        <v>93.545454545454547</v>
      </c>
      <c r="Q418" s="39" t="s">
        <v>10</v>
      </c>
      <c r="R418" s="34">
        <v>4.4000000000000004</v>
      </c>
      <c r="S418" s="38">
        <v>550</v>
      </c>
      <c r="T418" s="40">
        <v>320.83333333333331</v>
      </c>
      <c r="U418" s="41">
        <f t="shared" si="54"/>
        <v>732.43333333333339</v>
      </c>
      <c r="V418" s="42">
        <f t="shared" si="52"/>
        <v>2.6158333333333337</v>
      </c>
      <c r="W418" s="43">
        <f t="shared" si="55"/>
        <v>0.39042288557213933</v>
      </c>
      <c r="X418" s="38"/>
      <c r="Y418" s="38"/>
      <c r="Z418" s="44"/>
      <c r="AA418" s="45">
        <v>46128</v>
      </c>
      <c r="AB418" s="45">
        <v>46168</v>
      </c>
      <c r="AC418" s="45"/>
      <c r="AD418" s="46" t="e">
        <f>IF(ISNA(VLOOKUP(D418,#REF!,5,0)),0,VLOOKUP(D418,#REF!,5,0))</f>
        <v>#REF!</v>
      </c>
      <c r="AE418" s="46" t="e">
        <f t="shared" si="51"/>
        <v>#REF!</v>
      </c>
      <c r="AF418" s="45">
        <v>46180</v>
      </c>
      <c r="AG418" s="76">
        <f t="shared" si="53"/>
        <v>52</v>
      </c>
      <c r="AH418" s="45"/>
      <c r="AI418" s="39"/>
      <c r="AJ418" s="39"/>
      <c r="AK418" s="39"/>
      <c r="AL418" s="35"/>
      <c r="AM418" s="34"/>
      <c r="AN418" s="34"/>
      <c r="AO418" s="39"/>
      <c r="AP418" s="47"/>
      <c r="AQ418" s="47"/>
      <c r="AR418" s="47"/>
      <c r="AS418" s="47"/>
    </row>
    <row r="419" spans="1:45" ht="12" customHeight="1" x14ac:dyDescent="0.25">
      <c r="A419" s="33">
        <v>418</v>
      </c>
      <c r="B419" s="34"/>
      <c r="C419" s="34" t="s">
        <v>156</v>
      </c>
      <c r="D419" s="35" t="s">
        <v>595</v>
      </c>
      <c r="E419" s="34" t="s">
        <v>71</v>
      </c>
      <c r="F419" s="34" t="s">
        <v>72</v>
      </c>
      <c r="G419" s="16" t="s">
        <v>143</v>
      </c>
      <c r="H419" s="34">
        <v>80</v>
      </c>
      <c r="I419" s="34" t="s">
        <v>54</v>
      </c>
      <c r="J419" s="34" t="s">
        <v>255</v>
      </c>
      <c r="K419" s="35" t="s">
        <v>111</v>
      </c>
      <c r="L419" s="36" t="e">
        <f>VLOOKUP(G419,#REF!,4,0)</f>
        <v>#REF!</v>
      </c>
      <c r="M419" s="37" t="e">
        <f>_xlfn.IFNA(VLOOKUP(G419,#REF!,2,0),"")</f>
        <v>#REF!</v>
      </c>
      <c r="N419" s="38" t="e">
        <f>_xlfn.IFNA(VLOOKUP(G419,#REF!,3,0),"")</f>
        <v>#REF!</v>
      </c>
      <c r="O419" s="39">
        <v>2</v>
      </c>
      <c r="P419" s="79">
        <v>26.727272727272727</v>
      </c>
      <c r="Q419" s="39" t="s">
        <v>10</v>
      </c>
      <c r="R419" s="34">
        <v>4.4000000000000004</v>
      </c>
      <c r="S419" s="48">
        <v>550</v>
      </c>
      <c r="T419" s="40">
        <v>91.666666666666671</v>
      </c>
      <c r="U419" s="41">
        <f t="shared" si="54"/>
        <v>209.26666666666668</v>
      </c>
      <c r="V419" s="42">
        <f t="shared" si="52"/>
        <v>2.6158333333333337</v>
      </c>
      <c r="W419" s="43">
        <f t="shared" si="55"/>
        <v>0.39042288557213933</v>
      </c>
      <c r="X419" s="38"/>
      <c r="Y419" s="38"/>
      <c r="Z419" s="44"/>
      <c r="AA419" s="45">
        <v>46128</v>
      </c>
      <c r="AB419" s="45">
        <v>46168</v>
      </c>
      <c r="AC419" s="45"/>
      <c r="AD419" s="46" t="e">
        <f>IF(ISNA(VLOOKUP(D419,#REF!,5,0)),0,VLOOKUP(D419,#REF!,5,0))</f>
        <v>#REF!</v>
      </c>
      <c r="AE419" s="46" t="e">
        <f t="shared" si="51"/>
        <v>#REF!</v>
      </c>
      <c r="AF419" s="45">
        <v>46180</v>
      </c>
      <c r="AG419" s="76">
        <f t="shared" si="53"/>
        <v>52</v>
      </c>
      <c r="AH419" s="45"/>
      <c r="AI419" s="39"/>
      <c r="AJ419" s="39"/>
      <c r="AK419" s="39"/>
      <c r="AL419" s="35"/>
      <c r="AM419" s="34"/>
      <c r="AN419" s="34"/>
      <c r="AO419" s="39"/>
      <c r="AP419" s="47"/>
      <c r="AQ419" s="47"/>
      <c r="AR419" s="47"/>
      <c r="AS419" s="47"/>
    </row>
    <row r="420" spans="1:45" ht="12" customHeight="1" x14ac:dyDescent="0.25">
      <c r="A420" s="33">
        <v>419</v>
      </c>
      <c r="B420" s="34"/>
      <c r="C420" s="34" t="s">
        <v>156</v>
      </c>
      <c r="D420" s="35" t="s">
        <v>595</v>
      </c>
      <c r="E420" s="34" t="s">
        <v>71</v>
      </c>
      <c r="F420" s="34" t="s">
        <v>72</v>
      </c>
      <c r="G420" s="16" t="s">
        <v>98</v>
      </c>
      <c r="H420" s="34">
        <v>80</v>
      </c>
      <c r="I420" s="34" t="s">
        <v>54</v>
      </c>
      <c r="J420" s="34" t="s">
        <v>255</v>
      </c>
      <c r="K420" s="35" t="s">
        <v>111</v>
      </c>
      <c r="L420" s="36" t="e">
        <f>VLOOKUP(G420,#REF!,4,0)</f>
        <v>#REF!</v>
      </c>
      <c r="M420" s="37" t="e">
        <f>_xlfn.IFNA(VLOOKUP(G420,#REF!,2,0),"")</f>
        <v>#REF!</v>
      </c>
      <c r="N420" s="38" t="e">
        <f>_xlfn.IFNA(VLOOKUP(G420,#REF!,3,0),"")</f>
        <v>#REF!</v>
      </c>
      <c r="O420" s="39">
        <v>2</v>
      </c>
      <c r="P420" s="79">
        <v>26.727272727272727</v>
      </c>
      <c r="Q420" s="39" t="s">
        <v>10</v>
      </c>
      <c r="R420" s="34">
        <v>4.4000000000000004</v>
      </c>
      <c r="S420" s="38"/>
      <c r="T420" s="40">
        <v>91.666666666666671</v>
      </c>
      <c r="U420" s="41">
        <f t="shared" si="54"/>
        <v>209.26666666666668</v>
      </c>
      <c r="V420" s="42">
        <f t="shared" si="52"/>
        <v>2.6158333333333337</v>
      </c>
      <c r="W420" s="43">
        <f t="shared" si="55"/>
        <v>0.39042288557213933</v>
      </c>
      <c r="X420" s="38"/>
      <c r="Y420" s="38"/>
      <c r="Z420" s="44"/>
      <c r="AA420" s="45">
        <v>46128</v>
      </c>
      <c r="AB420" s="45">
        <v>46168</v>
      </c>
      <c r="AC420" s="45"/>
      <c r="AD420" s="46" t="e">
        <f>IF(ISNA(VLOOKUP(D420,#REF!,5,0)),0,VLOOKUP(D420,#REF!,5,0))</f>
        <v>#REF!</v>
      </c>
      <c r="AE420" s="46" t="e">
        <f t="shared" si="51"/>
        <v>#REF!</v>
      </c>
      <c r="AF420" s="45">
        <v>46180</v>
      </c>
      <c r="AG420" s="76">
        <f t="shared" si="53"/>
        <v>52</v>
      </c>
      <c r="AH420" s="45"/>
      <c r="AI420" s="39"/>
      <c r="AJ420" s="39"/>
      <c r="AK420" s="39"/>
      <c r="AL420" s="35"/>
      <c r="AM420" s="34"/>
      <c r="AN420" s="34"/>
      <c r="AO420" s="39"/>
      <c r="AP420" s="47"/>
      <c r="AQ420" s="47"/>
      <c r="AR420" s="47"/>
      <c r="AS420" s="47"/>
    </row>
    <row r="421" spans="1:45" ht="12" customHeight="1" x14ac:dyDescent="0.25">
      <c r="A421" s="33">
        <v>420</v>
      </c>
      <c r="B421" s="34" t="s">
        <v>628</v>
      </c>
      <c r="C421" s="34" t="s">
        <v>151</v>
      </c>
      <c r="D421" s="35" t="s">
        <v>596</v>
      </c>
      <c r="E421" s="34" t="s">
        <v>273</v>
      </c>
      <c r="F421" s="34" t="s">
        <v>178</v>
      </c>
      <c r="G421" s="16" t="s">
        <v>68</v>
      </c>
      <c r="H421" s="34">
        <v>240</v>
      </c>
      <c r="I421" s="34" t="s">
        <v>179</v>
      </c>
      <c r="J421" s="34" t="s">
        <v>235</v>
      </c>
      <c r="K421" s="35" t="s">
        <v>180</v>
      </c>
      <c r="L421" s="36" t="e">
        <f>VLOOKUP(G421,#REF!,4,0)</f>
        <v>#REF!</v>
      </c>
      <c r="M421" s="37" t="e">
        <f>_xlfn.IFNA(VLOOKUP(G421,#REF!,2,0),"")</f>
        <v>#REF!</v>
      </c>
      <c r="N421" s="38" t="e">
        <f>_xlfn.IFNA(VLOOKUP(G421,#REF!,3,0),"")</f>
        <v>#REF!</v>
      </c>
      <c r="O421" s="39">
        <v>8</v>
      </c>
      <c r="P421" s="79">
        <v>100</v>
      </c>
      <c r="Q421" s="39" t="s">
        <v>10</v>
      </c>
      <c r="R421" s="34">
        <v>8</v>
      </c>
      <c r="S421" s="38">
        <v>350</v>
      </c>
      <c r="T421" s="40">
        <v>350</v>
      </c>
      <c r="U421" s="41">
        <f t="shared" si="54"/>
        <v>1150</v>
      </c>
      <c r="V421" s="42">
        <f t="shared" si="52"/>
        <v>4.791666666666667</v>
      </c>
      <c r="W421" s="43">
        <f t="shared" si="55"/>
        <v>0.71517412935323388</v>
      </c>
      <c r="X421" s="38"/>
      <c r="Y421" s="38"/>
      <c r="Z421" s="44"/>
      <c r="AA421" s="45">
        <v>46128</v>
      </c>
      <c r="AB421" s="45">
        <v>46161</v>
      </c>
      <c r="AC421" s="45"/>
      <c r="AD421" s="46" t="e">
        <f>IF(ISNA(VLOOKUP(D421,#REF!,5,0)),0,VLOOKUP(D421,#REF!,5,0))</f>
        <v>#REF!</v>
      </c>
      <c r="AE421" s="46" t="e">
        <f t="shared" si="51"/>
        <v>#REF!</v>
      </c>
      <c r="AF421" s="45">
        <v>46177</v>
      </c>
      <c r="AG421" s="76">
        <f t="shared" si="53"/>
        <v>49</v>
      </c>
      <c r="AH421" s="45"/>
      <c r="AI421" s="39"/>
      <c r="AJ421" s="39"/>
      <c r="AK421" s="39"/>
      <c r="AL421" s="35"/>
      <c r="AM421" s="34"/>
      <c r="AN421" s="34"/>
      <c r="AO421" s="39"/>
      <c r="AP421" s="47"/>
      <c r="AQ421" s="47"/>
      <c r="AR421" s="47"/>
      <c r="AS421" s="47"/>
    </row>
    <row r="422" spans="1:45" ht="12" customHeight="1" x14ac:dyDescent="0.25">
      <c r="A422" s="33">
        <v>421</v>
      </c>
      <c r="B422" s="34"/>
      <c r="C422" s="34" t="s">
        <v>597</v>
      </c>
      <c r="D422" s="35" t="s">
        <v>598</v>
      </c>
      <c r="E422" s="34" t="s">
        <v>58</v>
      </c>
      <c r="F422" s="34" t="s">
        <v>0</v>
      </c>
      <c r="G422" s="16" t="s">
        <v>285</v>
      </c>
      <c r="H422" s="34">
        <v>990</v>
      </c>
      <c r="I422" s="34" t="s">
        <v>66</v>
      </c>
      <c r="J422" s="34" t="s">
        <v>3</v>
      </c>
      <c r="K422" s="35" t="s">
        <v>4</v>
      </c>
      <c r="L422" s="36" t="e">
        <f>VLOOKUP(G422,#REF!,4,0)</f>
        <v>#REF!</v>
      </c>
      <c r="M422" s="37" t="e">
        <f>_xlfn.IFNA(VLOOKUP(G422,#REF!,2,0),"")</f>
        <v>#REF!</v>
      </c>
      <c r="N422" s="38" t="e">
        <f>_xlfn.IFNA(VLOOKUP(G422,#REF!,3,0),"")</f>
        <v>#REF!</v>
      </c>
      <c r="O422" s="39">
        <v>33</v>
      </c>
      <c r="P422" s="79">
        <v>559.69306930693074</v>
      </c>
      <c r="Q422" s="39" t="s">
        <v>10</v>
      </c>
      <c r="R422" s="34">
        <v>4.2</v>
      </c>
      <c r="S422" s="38">
        <v>200</v>
      </c>
      <c r="T422" s="40">
        <v>49.624060150375939</v>
      </c>
      <c r="U422" s="41">
        <f t="shared" si="54"/>
        <v>2400.3349512394852</v>
      </c>
      <c r="V422" s="42">
        <f t="shared" si="52"/>
        <v>2.424580758827763</v>
      </c>
      <c r="W422" s="43">
        <f t="shared" si="55"/>
        <v>0.36187772519817357</v>
      </c>
      <c r="X422" s="38"/>
      <c r="Y422" s="38"/>
      <c r="Z422" s="44"/>
      <c r="AA422" s="45">
        <v>46129</v>
      </c>
      <c r="AB422" s="45">
        <v>46151</v>
      </c>
      <c r="AC422" s="45"/>
      <c r="AD422" s="46" t="e">
        <f>IF(ISNA(VLOOKUP(D422,#REF!,5,0)),0,VLOOKUP(D422,#REF!,5,0))</f>
        <v>#REF!</v>
      </c>
      <c r="AE422" s="46" t="e">
        <f t="shared" si="51"/>
        <v>#REF!</v>
      </c>
      <c r="AF422" s="45">
        <v>46160</v>
      </c>
      <c r="AG422" s="33">
        <f t="shared" si="53"/>
        <v>31</v>
      </c>
      <c r="AH422" s="45"/>
      <c r="AI422" s="39"/>
      <c r="AJ422" s="39"/>
      <c r="AK422" s="39"/>
      <c r="AL422" s="35"/>
      <c r="AM422" s="34"/>
      <c r="AN422" s="34"/>
      <c r="AO422" s="39"/>
      <c r="AP422" s="47"/>
      <c r="AQ422" s="47"/>
      <c r="AR422" s="47"/>
      <c r="AS422" s="47"/>
    </row>
    <row r="423" spans="1:45" ht="12" customHeight="1" x14ac:dyDescent="0.25">
      <c r="A423" s="33">
        <v>422</v>
      </c>
      <c r="B423" s="34"/>
      <c r="C423" s="34" t="s">
        <v>597</v>
      </c>
      <c r="D423" s="35" t="s">
        <v>598</v>
      </c>
      <c r="E423" s="34" t="s">
        <v>58</v>
      </c>
      <c r="F423" s="34" t="s">
        <v>0</v>
      </c>
      <c r="G423" s="16" t="s">
        <v>284</v>
      </c>
      <c r="H423" s="34">
        <v>300</v>
      </c>
      <c r="I423" s="34" t="s">
        <v>66</v>
      </c>
      <c r="J423" s="34" t="s">
        <v>3</v>
      </c>
      <c r="K423" s="35" t="s">
        <v>4</v>
      </c>
      <c r="L423" s="36" t="e">
        <f>VLOOKUP(G423,#REF!,4,0)</f>
        <v>#REF!</v>
      </c>
      <c r="M423" s="37" t="e">
        <f>_xlfn.IFNA(VLOOKUP(G423,#REF!,2,0),"")</f>
        <v>#REF!</v>
      </c>
      <c r="N423" s="38" t="e">
        <f>_xlfn.IFNA(VLOOKUP(G423,#REF!,3,0),"")</f>
        <v>#REF!</v>
      </c>
      <c r="O423" s="39">
        <v>10</v>
      </c>
      <c r="P423" s="79">
        <v>169.60396039603961</v>
      </c>
      <c r="Q423" s="39" t="s">
        <v>10</v>
      </c>
      <c r="R423" s="34">
        <v>4.2</v>
      </c>
      <c r="S423" s="48">
        <v>200</v>
      </c>
      <c r="T423" s="40">
        <v>15.037593984962406</v>
      </c>
      <c r="U423" s="41">
        <f t="shared" si="54"/>
        <v>727.37422764832877</v>
      </c>
      <c r="V423" s="42">
        <f t="shared" si="52"/>
        <v>2.4245807588277626</v>
      </c>
      <c r="W423" s="43">
        <f t="shared" si="55"/>
        <v>0.36187772519817352</v>
      </c>
      <c r="X423" s="38"/>
      <c r="Y423" s="38"/>
      <c r="Z423" s="44"/>
      <c r="AA423" s="45">
        <v>46129</v>
      </c>
      <c r="AB423" s="45">
        <v>46151</v>
      </c>
      <c r="AC423" s="45"/>
      <c r="AD423" s="46" t="e">
        <f>IF(ISNA(VLOOKUP(D423,#REF!,5,0)),0,VLOOKUP(D423,#REF!,5,0))</f>
        <v>#REF!</v>
      </c>
      <c r="AE423" s="46" t="e">
        <f t="shared" si="51"/>
        <v>#REF!</v>
      </c>
      <c r="AF423" s="45">
        <v>46160</v>
      </c>
      <c r="AG423" s="33">
        <f t="shared" si="53"/>
        <v>31</v>
      </c>
      <c r="AH423" s="45"/>
      <c r="AI423" s="39"/>
      <c r="AJ423" s="39"/>
      <c r="AK423" s="39"/>
      <c r="AL423" s="35"/>
      <c r="AM423" s="34"/>
      <c r="AN423" s="34"/>
      <c r="AO423" s="39"/>
      <c r="AP423" s="47"/>
      <c r="AQ423" s="47"/>
      <c r="AR423" s="47"/>
      <c r="AS423" s="47"/>
    </row>
    <row r="424" spans="1:45" ht="12" customHeight="1" x14ac:dyDescent="0.25">
      <c r="A424" s="33">
        <v>423</v>
      </c>
      <c r="B424" s="34"/>
      <c r="C424" s="34" t="s">
        <v>597</v>
      </c>
      <c r="D424" s="35" t="s">
        <v>598</v>
      </c>
      <c r="E424" s="34" t="s">
        <v>58</v>
      </c>
      <c r="F424" s="34" t="s">
        <v>0</v>
      </c>
      <c r="G424" s="16" t="s">
        <v>228</v>
      </c>
      <c r="H424" s="34">
        <v>160</v>
      </c>
      <c r="I424" s="34" t="s">
        <v>66</v>
      </c>
      <c r="J424" s="34" t="s">
        <v>3</v>
      </c>
      <c r="K424" s="35" t="s">
        <v>4</v>
      </c>
      <c r="L424" s="36" t="e">
        <f>VLOOKUP(G424,#REF!,4,0)</f>
        <v>#REF!</v>
      </c>
      <c r="M424" s="37" t="e">
        <f>_xlfn.IFNA(VLOOKUP(G424,#REF!,2,0),"")</f>
        <v>#REF!</v>
      </c>
      <c r="N424" s="38" t="e">
        <f>_xlfn.IFNA(VLOOKUP(G424,#REF!,3,0),"")</f>
        <v>#REF!</v>
      </c>
      <c r="O424" s="39">
        <v>8</v>
      </c>
      <c r="P424" s="79">
        <v>135.68316831683168</v>
      </c>
      <c r="Q424" s="39" t="s">
        <v>10</v>
      </c>
      <c r="R424" s="34">
        <v>4.2</v>
      </c>
      <c r="S424" s="38"/>
      <c r="T424" s="40">
        <v>12.030075187969924</v>
      </c>
      <c r="U424" s="41">
        <f t="shared" si="54"/>
        <v>581.89938211866308</v>
      </c>
      <c r="V424" s="42">
        <f t="shared" si="52"/>
        <v>3.6368711382416441</v>
      </c>
      <c r="W424" s="43">
        <f t="shared" si="55"/>
        <v>0.54281658779726027</v>
      </c>
      <c r="X424" s="38"/>
      <c r="Y424" s="38"/>
      <c r="Z424" s="44"/>
      <c r="AA424" s="45">
        <v>46129</v>
      </c>
      <c r="AB424" s="45">
        <v>46151</v>
      </c>
      <c r="AC424" s="45"/>
      <c r="AD424" s="46" t="e">
        <f>IF(ISNA(VLOOKUP(D424,#REF!,5,0)),0,VLOOKUP(D424,#REF!,5,0))</f>
        <v>#REF!</v>
      </c>
      <c r="AE424" s="46" t="e">
        <f t="shared" si="51"/>
        <v>#REF!</v>
      </c>
      <c r="AF424" s="45">
        <v>46160</v>
      </c>
      <c r="AG424" s="33">
        <f t="shared" si="53"/>
        <v>31</v>
      </c>
      <c r="AH424" s="45"/>
      <c r="AI424" s="39"/>
      <c r="AJ424" s="39"/>
      <c r="AK424" s="39"/>
      <c r="AL424" s="35"/>
      <c r="AM424" s="34"/>
      <c r="AN424" s="34"/>
      <c r="AO424" s="39"/>
      <c r="AP424" s="47"/>
      <c r="AQ424" s="47"/>
      <c r="AR424" s="47"/>
      <c r="AS424" s="47"/>
    </row>
    <row r="425" spans="1:45" ht="12" customHeight="1" x14ac:dyDescent="0.25">
      <c r="A425" s="33">
        <v>424</v>
      </c>
      <c r="B425" s="34"/>
      <c r="C425" s="34" t="s">
        <v>597</v>
      </c>
      <c r="D425" s="35" t="s">
        <v>598</v>
      </c>
      <c r="E425" s="34" t="s">
        <v>58</v>
      </c>
      <c r="F425" s="34" t="s">
        <v>0</v>
      </c>
      <c r="G425" s="16" t="s">
        <v>514</v>
      </c>
      <c r="H425" s="34">
        <v>1200</v>
      </c>
      <c r="I425" s="34" t="s">
        <v>66</v>
      </c>
      <c r="J425" s="34" t="s">
        <v>3</v>
      </c>
      <c r="K425" s="35" t="s">
        <v>4</v>
      </c>
      <c r="L425" s="36" t="e">
        <f>VLOOKUP(G425,#REF!,4,0)</f>
        <v>#REF!</v>
      </c>
      <c r="M425" s="37" t="e">
        <f>_xlfn.IFNA(VLOOKUP(G425,#REF!,2,0),"")</f>
        <v>#REF!</v>
      </c>
      <c r="N425" s="38" t="e">
        <f>_xlfn.IFNA(VLOOKUP(G425,#REF!,3,0),"")</f>
        <v>#REF!</v>
      </c>
      <c r="O425" s="39">
        <v>40</v>
      </c>
      <c r="P425" s="79">
        <v>678.41584158415844</v>
      </c>
      <c r="Q425" s="39" t="s">
        <v>10</v>
      </c>
      <c r="R425" s="34">
        <v>4.2</v>
      </c>
      <c r="S425" s="38"/>
      <c r="T425" s="40">
        <v>60.150375939849624</v>
      </c>
      <c r="U425" s="41">
        <f t="shared" si="54"/>
        <v>2909.4969105933151</v>
      </c>
      <c r="V425" s="42">
        <f t="shared" si="52"/>
        <v>2.4245807588277626</v>
      </c>
      <c r="W425" s="43">
        <f t="shared" si="55"/>
        <v>0.36187772519817352</v>
      </c>
      <c r="X425" s="38"/>
      <c r="Y425" s="38"/>
      <c r="Z425" s="44"/>
      <c r="AA425" s="45">
        <v>46129</v>
      </c>
      <c r="AB425" s="45">
        <v>46151</v>
      </c>
      <c r="AC425" s="45"/>
      <c r="AD425" s="46" t="e">
        <f>IF(ISNA(VLOOKUP(D425,#REF!,5,0)),0,VLOOKUP(D425,#REF!,5,0))</f>
        <v>#REF!</v>
      </c>
      <c r="AE425" s="46" t="e">
        <f t="shared" si="51"/>
        <v>#REF!</v>
      </c>
      <c r="AF425" s="45">
        <v>46160</v>
      </c>
      <c r="AG425" s="33">
        <f t="shared" si="53"/>
        <v>31</v>
      </c>
      <c r="AH425" s="45"/>
      <c r="AI425" s="39"/>
      <c r="AJ425" s="39"/>
      <c r="AK425" s="39"/>
      <c r="AL425" s="35"/>
      <c r="AM425" s="34"/>
      <c r="AN425" s="34"/>
      <c r="AO425" s="39"/>
      <c r="AP425" s="47"/>
      <c r="AQ425" s="47"/>
      <c r="AR425" s="47"/>
      <c r="AS425" s="47"/>
    </row>
    <row r="426" spans="1:45" ht="12" customHeight="1" x14ac:dyDescent="0.25">
      <c r="A426" s="33">
        <v>425</v>
      </c>
      <c r="B426" s="34"/>
      <c r="C426" s="34" t="s">
        <v>597</v>
      </c>
      <c r="D426" s="35" t="s">
        <v>598</v>
      </c>
      <c r="E426" s="34" t="s">
        <v>58</v>
      </c>
      <c r="F426" s="34" t="s">
        <v>0</v>
      </c>
      <c r="G426" s="16" t="s">
        <v>222</v>
      </c>
      <c r="H426" s="34">
        <v>300</v>
      </c>
      <c r="I426" s="34" t="s">
        <v>66</v>
      </c>
      <c r="J426" s="34" t="s">
        <v>3</v>
      </c>
      <c r="K426" s="35" t="s">
        <v>4</v>
      </c>
      <c r="L426" s="36" t="e">
        <f>VLOOKUP(G426,#REF!,4,0)</f>
        <v>#REF!</v>
      </c>
      <c r="M426" s="37" t="e">
        <f>_xlfn.IFNA(VLOOKUP(G426,#REF!,2,0),"")</f>
        <v>#REF!</v>
      </c>
      <c r="N426" s="38" t="e">
        <f>_xlfn.IFNA(VLOOKUP(G426,#REF!,3,0),"")</f>
        <v>#REF!</v>
      </c>
      <c r="O426" s="39">
        <v>10</v>
      </c>
      <c r="P426" s="79">
        <v>169.60396039603961</v>
      </c>
      <c r="Q426" s="39" t="s">
        <v>10</v>
      </c>
      <c r="R426" s="34">
        <v>4.2</v>
      </c>
      <c r="S426" s="38"/>
      <c r="T426" s="40">
        <v>15.037593984962406</v>
      </c>
      <c r="U426" s="41">
        <f t="shared" si="54"/>
        <v>727.37422764832877</v>
      </c>
      <c r="V426" s="42">
        <f t="shared" si="52"/>
        <v>2.4245807588277626</v>
      </c>
      <c r="W426" s="43">
        <f t="shared" si="55"/>
        <v>0.36187772519817352</v>
      </c>
      <c r="X426" s="38"/>
      <c r="Y426" s="38"/>
      <c r="Z426" s="44"/>
      <c r="AA426" s="45">
        <v>46129</v>
      </c>
      <c r="AB426" s="45">
        <v>46151</v>
      </c>
      <c r="AC426" s="45"/>
      <c r="AD426" s="46" t="e">
        <f>IF(ISNA(VLOOKUP(D426,#REF!,5,0)),0,VLOOKUP(D426,#REF!,5,0))</f>
        <v>#REF!</v>
      </c>
      <c r="AE426" s="46" t="e">
        <f t="shared" si="51"/>
        <v>#REF!</v>
      </c>
      <c r="AF426" s="45">
        <v>46160</v>
      </c>
      <c r="AG426" s="33">
        <f t="shared" si="53"/>
        <v>31</v>
      </c>
      <c r="AH426" s="45"/>
      <c r="AI426" s="39"/>
      <c r="AJ426" s="39"/>
      <c r="AK426" s="39"/>
      <c r="AL426" s="35"/>
      <c r="AM426" s="34"/>
      <c r="AN426" s="34"/>
      <c r="AO426" s="39"/>
      <c r="AP426" s="47"/>
      <c r="AQ426" s="47"/>
      <c r="AR426" s="47"/>
      <c r="AS426" s="47"/>
    </row>
    <row r="427" spans="1:45" ht="12" customHeight="1" x14ac:dyDescent="0.25">
      <c r="A427" s="33">
        <v>426</v>
      </c>
      <c r="B427" s="34"/>
      <c r="C427" s="34" t="s">
        <v>154</v>
      </c>
      <c r="D427" s="35" t="s">
        <v>599</v>
      </c>
      <c r="E427" s="34" t="s">
        <v>58</v>
      </c>
      <c r="F427" s="34" t="s">
        <v>0</v>
      </c>
      <c r="G427" s="16" t="s">
        <v>220</v>
      </c>
      <c r="H427" s="34">
        <v>32</v>
      </c>
      <c r="I427" s="34" t="s">
        <v>62</v>
      </c>
      <c r="J427" s="34" t="s">
        <v>3</v>
      </c>
      <c r="K427" s="35" t="s">
        <v>7</v>
      </c>
      <c r="L427" s="36" t="e">
        <f>VLOOKUP(G427,#REF!,4,0)</f>
        <v>#REF!</v>
      </c>
      <c r="M427" s="37" t="e">
        <f>_xlfn.IFNA(VLOOKUP(G427,#REF!,2,0),"")</f>
        <v>#REF!</v>
      </c>
      <c r="N427" s="38" t="e">
        <f>_xlfn.IFNA(VLOOKUP(G427,#REF!,3,0),"")</f>
        <v>#REF!</v>
      </c>
      <c r="O427" s="39">
        <v>2</v>
      </c>
      <c r="P427" s="79">
        <v>27.754716981132077</v>
      </c>
      <c r="Q427" s="39" t="s">
        <v>10</v>
      </c>
      <c r="R427" s="34">
        <v>3.8</v>
      </c>
      <c r="S427" s="38">
        <v>200</v>
      </c>
      <c r="T427" s="40">
        <v>3.225806451612903</v>
      </c>
      <c r="U427" s="41">
        <f t="shared" si="54"/>
        <v>108.69373097991479</v>
      </c>
      <c r="V427" s="42">
        <f t="shared" si="52"/>
        <v>3.3966790931223372</v>
      </c>
      <c r="W427" s="43">
        <f t="shared" si="55"/>
        <v>0.50696702882422939</v>
      </c>
      <c r="X427" s="38"/>
      <c r="Y427" s="38"/>
      <c r="Z427" s="44"/>
      <c r="AA427" s="45">
        <v>46129</v>
      </c>
      <c r="AB427" s="45">
        <v>46150</v>
      </c>
      <c r="AC427" s="45"/>
      <c r="AD427" s="46" t="e">
        <f>IF(ISNA(VLOOKUP(D427,#REF!,5,0)),0,VLOOKUP(D427,#REF!,5,0))</f>
        <v>#REF!</v>
      </c>
      <c r="AE427" s="46" t="e">
        <f t="shared" si="51"/>
        <v>#REF!</v>
      </c>
      <c r="AF427" s="45">
        <v>46166</v>
      </c>
      <c r="AG427" s="33">
        <f t="shared" si="53"/>
        <v>37</v>
      </c>
      <c r="AH427" s="45"/>
      <c r="AI427" s="39"/>
      <c r="AJ427" s="39"/>
      <c r="AK427" s="39"/>
      <c r="AL427" s="35"/>
      <c r="AM427" s="34"/>
      <c r="AN427" s="34"/>
      <c r="AO427" s="39"/>
      <c r="AP427" s="47"/>
      <c r="AQ427" s="47"/>
      <c r="AR427" s="47"/>
      <c r="AS427" s="47"/>
    </row>
    <row r="428" spans="1:45" ht="12" customHeight="1" x14ac:dyDescent="0.25">
      <c r="A428" s="33">
        <v>427</v>
      </c>
      <c r="B428" s="34"/>
      <c r="C428" s="34" t="s">
        <v>154</v>
      </c>
      <c r="D428" s="35" t="s">
        <v>599</v>
      </c>
      <c r="E428" s="34" t="s">
        <v>58</v>
      </c>
      <c r="F428" s="34" t="s">
        <v>0</v>
      </c>
      <c r="G428" s="16" t="s">
        <v>64</v>
      </c>
      <c r="H428" s="34">
        <v>2000</v>
      </c>
      <c r="I428" s="34" t="s">
        <v>62</v>
      </c>
      <c r="J428" s="34" t="s">
        <v>3</v>
      </c>
      <c r="K428" s="35" t="s">
        <v>7</v>
      </c>
      <c r="L428" s="36" t="e">
        <f>VLOOKUP(G428,#REF!,4,0)</f>
        <v>#REF!</v>
      </c>
      <c r="M428" s="37" t="e">
        <f>_xlfn.IFNA(VLOOKUP(G428,#REF!,2,0),"")</f>
        <v>#REF!</v>
      </c>
      <c r="N428" s="38" t="e">
        <f>_xlfn.IFNA(VLOOKUP(G428,#REF!,3,0),"")</f>
        <v>#REF!</v>
      </c>
      <c r="O428" s="39">
        <v>50</v>
      </c>
      <c r="P428" s="79">
        <v>693.86792452830196</v>
      </c>
      <c r="Q428" s="39" t="s">
        <v>10</v>
      </c>
      <c r="R428" s="34">
        <v>3.8</v>
      </c>
      <c r="S428" s="48">
        <v>200</v>
      </c>
      <c r="T428" s="40">
        <v>80.645161290322577</v>
      </c>
      <c r="U428" s="41">
        <f t="shared" si="54"/>
        <v>2717.34327449787</v>
      </c>
      <c r="V428" s="42">
        <f t="shared" si="52"/>
        <v>1.3586716372489349</v>
      </c>
      <c r="W428" s="43">
        <f t="shared" si="55"/>
        <v>0.20278681152969177</v>
      </c>
      <c r="X428" s="38"/>
      <c r="Y428" s="38"/>
      <c r="Z428" s="44"/>
      <c r="AA428" s="45">
        <v>46129</v>
      </c>
      <c r="AB428" s="45">
        <v>46150</v>
      </c>
      <c r="AC428" s="45"/>
      <c r="AD428" s="46" t="e">
        <f>IF(ISNA(VLOOKUP(D428,#REF!,5,0)),0,VLOOKUP(D428,#REF!,5,0))</f>
        <v>#REF!</v>
      </c>
      <c r="AE428" s="46" t="e">
        <f t="shared" si="51"/>
        <v>#REF!</v>
      </c>
      <c r="AF428" s="45">
        <v>46166</v>
      </c>
      <c r="AG428" s="33">
        <f t="shared" si="53"/>
        <v>37</v>
      </c>
      <c r="AH428" s="45"/>
      <c r="AI428" s="39"/>
      <c r="AJ428" s="39"/>
      <c r="AK428" s="39"/>
      <c r="AL428" s="35"/>
      <c r="AM428" s="34"/>
      <c r="AN428" s="34"/>
      <c r="AO428" s="39"/>
      <c r="AP428" s="47"/>
      <c r="AQ428" s="47"/>
      <c r="AR428" s="47"/>
      <c r="AS428" s="47"/>
    </row>
    <row r="429" spans="1:45" ht="12" customHeight="1" x14ac:dyDescent="0.25">
      <c r="A429" s="33">
        <v>428</v>
      </c>
      <c r="B429" s="34"/>
      <c r="C429" s="34" t="s">
        <v>154</v>
      </c>
      <c r="D429" s="35" t="s">
        <v>599</v>
      </c>
      <c r="E429" s="34" t="s">
        <v>58</v>
      </c>
      <c r="F429" s="34" t="s">
        <v>0</v>
      </c>
      <c r="G429" s="16" t="s">
        <v>97</v>
      </c>
      <c r="H429" s="34">
        <v>320</v>
      </c>
      <c r="I429" s="34" t="s">
        <v>62</v>
      </c>
      <c r="J429" s="34" t="s">
        <v>3</v>
      </c>
      <c r="K429" s="35" t="s">
        <v>7</v>
      </c>
      <c r="L429" s="36" t="e">
        <f>VLOOKUP(G429,#REF!,4,0)</f>
        <v>#REF!</v>
      </c>
      <c r="M429" s="37" t="e">
        <f>_xlfn.IFNA(VLOOKUP(G429,#REF!,2,0),"")</f>
        <v>#REF!</v>
      </c>
      <c r="N429" s="38" t="e">
        <f>_xlfn.IFNA(VLOOKUP(G429,#REF!,3,0),"")</f>
        <v>#REF!</v>
      </c>
      <c r="O429" s="39">
        <v>8</v>
      </c>
      <c r="P429" s="79">
        <v>111.01886792452831</v>
      </c>
      <c r="Q429" s="39" t="s">
        <v>10</v>
      </c>
      <c r="R429" s="34">
        <v>3.8</v>
      </c>
      <c r="S429" s="38"/>
      <c r="T429" s="40">
        <v>12.903225806451612</v>
      </c>
      <c r="U429" s="41">
        <f t="shared" si="54"/>
        <v>434.77492391965916</v>
      </c>
      <c r="V429" s="42">
        <f t="shared" si="52"/>
        <v>1.3586716372489349</v>
      </c>
      <c r="W429" s="43">
        <f t="shared" si="55"/>
        <v>0.20278681152969177</v>
      </c>
      <c r="X429" s="38"/>
      <c r="Y429" s="38"/>
      <c r="Z429" s="44"/>
      <c r="AA429" s="45">
        <v>46129</v>
      </c>
      <c r="AB429" s="45">
        <v>46150</v>
      </c>
      <c r="AC429" s="45"/>
      <c r="AD429" s="46" t="e">
        <f>IF(ISNA(VLOOKUP(D429,#REF!,5,0)),0,VLOOKUP(D429,#REF!,5,0))</f>
        <v>#REF!</v>
      </c>
      <c r="AE429" s="46" t="e">
        <f t="shared" si="51"/>
        <v>#REF!</v>
      </c>
      <c r="AF429" s="45">
        <v>46166</v>
      </c>
      <c r="AG429" s="33">
        <f t="shared" si="53"/>
        <v>37</v>
      </c>
      <c r="AH429" s="45"/>
      <c r="AI429" s="39"/>
      <c r="AJ429" s="39"/>
      <c r="AK429" s="39"/>
      <c r="AL429" s="35"/>
      <c r="AM429" s="34"/>
      <c r="AN429" s="34"/>
      <c r="AO429" s="39"/>
      <c r="AP429" s="47"/>
      <c r="AQ429" s="47"/>
      <c r="AR429" s="47"/>
      <c r="AS429" s="47"/>
    </row>
    <row r="430" spans="1:45" ht="12" customHeight="1" x14ac:dyDescent="0.25">
      <c r="A430" s="33">
        <v>429</v>
      </c>
      <c r="B430" s="34"/>
      <c r="C430" s="34" t="s">
        <v>154</v>
      </c>
      <c r="D430" s="35" t="s">
        <v>599</v>
      </c>
      <c r="E430" s="34" t="s">
        <v>58</v>
      </c>
      <c r="F430" s="34" t="s">
        <v>0</v>
      </c>
      <c r="G430" s="16" t="s">
        <v>65</v>
      </c>
      <c r="H430" s="34">
        <v>680</v>
      </c>
      <c r="I430" s="34" t="s">
        <v>62</v>
      </c>
      <c r="J430" s="34" t="s">
        <v>3</v>
      </c>
      <c r="K430" s="35" t="s">
        <v>7</v>
      </c>
      <c r="L430" s="36" t="e">
        <f>VLOOKUP(G430,#REF!,4,0)</f>
        <v>#REF!</v>
      </c>
      <c r="M430" s="37" t="e">
        <f>_xlfn.IFNA(VLOOKUP(G430,#REF!,2,0),"")</f>
        <v>#REF!</v>
      </c>
      <c r="N430" s="38" t="e">
        <f>_xlfn.IFNA(VLOOKUP(G430,#REF!,3,0),"")</f>
        <v>#REF!</v>
      </c>
      <c r="O430" s="39">
        <v>17</v>
      </c>
      <c r="P430" s="79">
        <v>235.91509433962267</v>
      </c>
      <c r="Q430" s="39" t="s">
        <v>10</v>
      </c>
      <c r="R430" s="34">
        <v>3.8</v>
      </c>
      <c r="S430" s="38"/>
      <c r="T430" s="40">
        <v>27.419354838709676</v>
      </c>
      <c r="U430" s="41">
        <f t="shared" si="54"/>
        <v>923.89671332927571</v>
      </c>
      <c r="V430" s="42">
        <f t="shared" si="52"/>
        <v>1.3586716372489349</v>
      </c>
      <c r="W430" s="43">
        <f t="shared" si="55"/>
        <v>0.20278681152969177</v>
      </c>
      <c r="X430" s="38"/>
      <c r="Y430" s="38"/>
      <c r="Z430" s="44"/>
      <c r="AA430" s="45">
        <v>46129</v>
      </c>
      <c r="AB430" s="45">
        <v>46150</v>
      </c>
      <c r="AC430" s="45"/>
      <c r="AD430" s="46" t="e">
        <f>IF(ISNA(VLOOKUP(D430,#REF!,5,0)),0,VLOOKUP(D430,#REF!,5,0))</f>
        <v>#REF!</v>
      </c>
      <c r="AE430" s="46" t="e">
        <f t="shared" si="51"/>
        <v>#REF!</v>
      </c>
      <c r="AF430" s="45">
        <v>46166</v>
      </c>
      <c r="AG430" s="33">
        <f t="shared" si="53"/>
        <v>37</v>
      </c>
      <c r="AH430" s="45"/>
      <c r="AI430" s="39"/>
      <c r="AJ430" s="39"/>
      <c r="AK430" s="39"/>
      <c r="AL430" s="35"/>
      <c r="AM430" s="34"/>
      <c r="AN430" s="34"/>
      <c r="AO430" s="39"/>
      <c r="AP430" s="47"/>
      <c r="AQ430" s="47"/>
      <c r="AR430" s="47"/>
      <c r="AS430" s="47"/>
    </row>
    <row r="431" spans="1:45" ht="12" customHeight="1" x14ac:dyDescent="0.25">
      <c r="A431" s="33">
        <v>430</v>
      </c>
      <c r="B431" s="34"/>
      <c r="C431" s="34" t="s">
        <v>154</v>
      </c>
      <c r="D431" s="35" t="s">
        <v>599</v>
      </c>
      <c r="E431" s="34" t="s">
        <v>58</v>
      </c>
      <c r="F431" s="34" t="s">
        <v>0</v>
      </c>
      <c r="G431" s="16" t="s">
        <v>251</v>
      </c>
      <c r="H431" s="34">
        <v>660</v>
      </c>
      <c r="I431" s="34" t="s">
        <v>62</v>
      </c>
      <c r="J431" s="34" t="s">
        <v>3</v>
      </c>
      <c r="K431" s="35" t="s">
        <v>7</v>
      </c>
      <c r="L431" s="36" t="e">
        <f>VLOOKUP(G431,#REF!,4,0)</f>
        <v>#REF!</v>
      </c>
      <c r="M431" s="37" t="e">
        <f>_xlfn.IFNA(VLOOKUP(G431,#REF!,2,0),"")</f>
        <v>#REF!</v>
      </c>
      <c r="N431" s="38" t="e">
        <f>_xlfn.IFNA(VLOOKUP(G431,#REF!,3,0),"")</f>
        <v>#REF!</v>
      </c>
      <c r="O431" s="39">
        <v>22</v>
      </c>
      <c r="P431" s="79">
        <v>305.30188679245282</v>
      </c>
      <c r="Q431" s="39" t="s">
        <v>10</v>
      </c>
      <c r="R431" s="34">
        <v>3.8</v>
      </c>
      <c r="S431" s="38"/>
      <c r="T431" s="40">
        <v>35.483870967741936</v>
      </c>
      <c r="U431" s="41">
        <f t="shared" si="54"/>
        <v>1195.6310407790627</v>
      </c>
      <c r="V431" s="42">
        <f t="shared" si="52"/>
        <v>1.8115621829985797</v>
      </c>
      <c r="W431" s="43">
        <f t="shared" si="55"/>
        <v>0.27038241537292235</v>
      </c>
      <c r="X431" s="38"/>
      <c r="Y431" s="38"/>
      <c r="Z431" s="44"/>
      <c r="AA431" s="45">
        <v>46129</v>
      </c>
      <c r="AB431" s="45">
        <v>46150</v>
      </c>
      <c r="AC431" s="45"/>
      <c r="AD431" s="46" t="e">
        <f>IF(ISNA(VLOOKUP(D431,#REF!,5,0)),0,VLOOKUP(D431,#REF!,5,0))</f>
        <v>#REF!</v>
      </c>
      <c r="AE431" s="46" t="e">
        <f t="shared" si="51"/>
        <v>#REF!</v>
      </c>
      <c r="AF431" s="45">
        <v>46166</v>
      </c>
      <c r="AG431" s="33">
        <f t="shared" si="53"/>
        <v>37</v>
      </c>
      <c r="AH431" s="45"/>
      <c r="AI431" s="39"/>
      <c r="AJ431" s="39"/>
      <c r="AK431" s="39"/>
      <c r="AL431" s="35"/>
      <c r="AM431" s="34"/>
      <c r="AN431" s="34"/>
      <c r="AO431" s="39"/>
      <c r="AP431" s="47"/>
      <c r="AQ431" s="47"/>
      <c r="AR431" s="47"/>
      <c r="AS431" s="47"/>
    </row>
    <row r="432" spans="1:45" ht="12" customHeight="1" x14ac:dyDescent="0.25">
      <c r="A432" s="33">
        <v>431</v>
      </c>
      <c r="B432" s="34"/>
      <c r="C432" s="34" t="s">
        <v>154</v>
      </c>
      <c r="D432" s="35" t="s">
        <v>599</v>
      </c>
      <c r="E432" s="34" t="s">
        <v>58</v>
      </c>
      <c r="F432" s="34" t="s">
        <v>0</v>
      </c>
      <c r="G432" s="16" t="s">
        <v>252</v>
      </c>
      <c r="H432" s="34">
        <v>210</v>
      </c>
      <c r="I432" s="34" t="s">
        <v>62</v>
      </c>
      <c r="J432" s="34" t="s">
        <v>3</v>
      </c>
      <c r="K432" s="35" t="s">
        <v>7</v>
      </c>
      <c r="L432" s="36" t="e">
        <f>VLOOKUP(G432,#REF!,4,0)</f>
        <v>#REF!</v>
      </c>
      <c r="M432" s="37" t="e">
        <f>_xlfn.IFNA(VLOOKUP(G432,#REF!,2,0),"")</f>
        <v>#REF!</v>
      </c>
      <c r="N432" s="38" t="e">
        <f>_xlfn.IFNA(VLOOKUP(G432,#REF!,3,0),"")</f>
        <v>#REF!</v>
      </c>
      <c r="O432" s="39">
        <v>7</v>
      </c>
      <c r="P432" s="79">
        <v>97.14150943396227</v>
      </c>
      <c r="Q432" s="39" t="s">
        <v>10</v>
      </c>
      <c r="R432" s="34">
        <v>3.8</v>
      </c>
      <c r="S432" s="38"/>
      <c r="T432" s="40">
        <v>11.290322580645162</v>
      </c>
      <c r="U432" s="41">
        <f t="shared" si="54"/>
        <v>380.42805842970176</v>
      </c>
      <c r="V432" s="42">
        <f t="shared" si="52"/>
        <v>1.8115621829985797</v>
      </c>
      <c r="W432" s="43">
        <f t="shared" si="55"/>
        <v>0.27038241537292235</v>
      </c>
      <c r="X432" s="38"/>
      <c r="Y432" s="38"/>
      <c r="Z432" s="44"/>
      <c r="AA432" s="45">
        <v>46129</v>
      </c>
      <c r="AB432" s="45">
        <v>46150</v>
      </c>
      <c r="AC432" s="45"/>
      <c r="AD432" s="46" t="e">
        <f>IF(ISNA(VLOOKUP(D432,#REF!,5,0)),0,VLOOKUP(D432,#REF!,5,0))</f>
        <v>#REF!</v>
      </c>
      <c r="AE432" s="46" t="e">
        <f t="shared" si="51"/>
        <v>#REF!</v>
      </c>
      <c r="AF432" s="45">
        <v>46166</v>
      </c>
      <c r="AG432" s="33">
        <f t="shared" si="53"/>
        <v>37</v>
      </c>
      <c r="AH432" s="45"/>
      <c r="AI432" s="39"/>
      <c r="AJ432" s="39"/>
      <c r="AK432" s="39"/>
      <c r="AL432" s="35"/>
      <c r="AM432" s="34"/>
      <c r="AN432" s="34"/>
      <c r="AO432" s="39"/>
      <c r="AP432" s="47"/>
      <c r="AQ432" s="47"/>
      <c r="AR432" s="47"/>
      <c r="AS432" s="47"/>
    </row>
    <row r="433" spans="1:45" ht="12" customHeight="1" x14ac:dyDescent="0.25">
      <c r="A433" s="33">
        <v>432</v>
      </c>
      <c r="B433" s="34"/>
      <c r="C433" s="34" t="s">
        <v>155</v>
      </c>
      <c r="D433" s="35" t="s">
        <v>600</v>
      </c>
      <c r="E433" s="34" t="s">
        <v>260</v>
      </c>
      <c r="F433" s="34" t="s">
        <v>0</v>
      </c>
      <c r="G433" s="16" t="s">
        <v>279</v>
      </c>
      <c r="H433" s="34">
        <v>80</v>
      </c>
      <c r="I433" s="34" t="s">
        <v>54</v>
      </c>
      <c r="J433" s="34" t="s">
        <v>3</v>
      </c>
      <c r="K433" s="35" t="s">
        <v>22</v>
      </c>
      <c r="L433" s="36" t="e">
        <f>VLOOKUP(G433,#REF!,4,0)</f>
        <v>#REF!</v>
      </c>
      <c r="M433" s="37" t="e">
        <f>_xlfn.IFNA(VLOOKUP(G433,#REF!,2,0),"")</f>
        <v>#REF!</v>
      </c>
      <c r="N433" s="38" t="e">
        <f>_xlfn.IFNA(VLOOKUP(G433,#REF!,3,0),"")</f>
        <v>#REF!</v>
      </c>
      <c r="O433" s="39">
        <v>4</v>
      </c>
      <c r="P433" s="79">
        <v>52</v>
      </c>
      <c r="Q433" s="39" t="s">
        <v>10</v>
      </c>
      <c r="R433" s="34">
        <v>4.0999999999999996</v>
      </c>
      <c r="S433" s="38">
        <v>200</v>
      </c>
      <c r="T433" s="40">
        <v>29.62962962962963</v>
      </c>
      <c r="U433" s="41">
        <f t="shared" si="54"/>
        <v>242.82962962962961</v>
      </c>
      <c r="V433" s="42">
        <f t="shared" si="52"/>
        <v>3.0353703703703703</v>
      </c>
      <c r="W433" s="43">
        <f t="shared" si="55"/>
        <v>0.45304035378662244</v>
      </c>
      <c r="X433" s="38"/>
      <c r="Y433" s="38"/>
      <c r="Z433" s="44"/>
      <c r="AA433" s="45">
        <v>46129</v>
      </c>
      <c r="AB433" s="45">
        <v>46152</v>
      </c>
      <c r="AC433" s="45"/>
      <c r="AD433" s="46" t="e">
        <f>IF(ISNA(VLOOKUP(D433,#REF!,5,0)),0,VLOOKUP(D433,#REF!,5,0))</f>
        <v>#REF!</v>
      </c>
      <c r="AE433" s="46" t="e">
        <f t="shared" si="51"/>
        <v>#REF!</v>
      </c>
      <c r="AF433" s="45">
        <v>46164</v>
      </c>
      <c r="AG433" s="33">
        <f t="shared" si="53"/>
        <v>35</v>
      </c>
      <c r="AH433" s="45"/>
      <c r="AI433" s="39"/>
      <c r="AJ433" s="39"/>
      <c r="AK433" s="39"/>
      <c r="AL433" s="35"/>
      <c r="AM433" s="34"/>
      <c r="AN433" s="34"/>
      <c r="AO433" s="39"/>
      <c r="AP433" s="47"/>
      <c r="AQ433" s="47"/>
      <c r="AR433" s="47"/>
      <c r="AS433" s="47"/>
    </row>
    <row r="434" spans="1:45" ht="12" customHeight="1" x14ac:dyDescent="0.25">
      <c r="A434" s="33">
        <v>433</v>
      </c>
      <c r="B434" s="34"/>
      <c r="C434" s="34" t="s">
        <v>152</v>
      </c>
      <c r="D434" s="35" t="s">
        <v>601</v>
      </c>
      <c r="E434" s="34" t="s">
        <v>470</v>
      </c>
      <c r="F434" s="34" t="s">
        <v>0</v>
      </c>
      <c r="G434" s="16" t="s">
        <v>434</v>
      </c>
      <c r="H434" s="34">
        <v>780</v>
      </c>
      <c r="I434" s="34" t="s">
        <v>54</v>
      </c>
      <c r="J434" s="34" t="s">
        <v>3</v>
      </c>
      <c r="K434" s="35" t="s">
        <v>22</v>
      </c>
      <c r="L434" s="36" t="e">
        <f>VLOOKUP(G434,#REF!,4,0)</f>
        <v>#REF!</v>
      </c>
      <c r="M434" s="37" t="e">
        <f>_xlfn.IFNA(VLOOKUP(G434,#REF!,2,0),"")</f>
        <v>#REF!</v>
      </c>
      <c r="N434" s="38" t="e">
        <f>_xlfn.IFNA(VLOOKUP(G434,#REF!,3,0),"")</f>
        <v>#REF!</v>
      </c>
      <c r="O434" s="39">
        <v>39</v>
      </c>
      <c r="P434" s="79">
        <v>538.57000000000005</v>
      </c>
      <c r="Q434" s="39" t="s">
        <v>10</v>
      </c>
      <c r="R434" s="34">
        <v>4.0999999999999996</v>
      </c>
      <c r="S434" s="38">
        <v>200</v>
      </c>
      <c r="T434" s="40">
        <v>123.80952380952381</v>
      </c>
      <c r="U434" s="41">
        <f t="shared" si="54"/>
        <v>2331.946523809524</v>
      </c>
      <c r="V434" s="42">
        <f t="shared" si="52"/>
        <v>2.9896750305250306</v>
      </c>
      <c r="W434" s="43">
        <f t="shared" si="55"/>
        <v>0.44622015380970603</v>
      </c>
      <c r="X434" s="38"/>
      <c r="Y434" s="38"/>
      <c r="Z434" s="44"/>
      <c r="AA434" s="45">
        <v>46129</v>
      </c>
      <c r="AB434" s="45">
        <v>46152</v>
      </c>
      <c r="AC434" s="45"/>
      <c r="AD434" s="46" t="e">
        <f>IF(ISNA(VLOOKUP(D434,#REF!,5,0)),0,VLOOKUP(D434,#REF!,5,0))</f>
        <v>#REF!</v>
      </c>
      <c r="AE434" s="46" t="e">
        <f t="shared" si="51"/>
        <v>#REF!</v>
      </c>
      <c r="AF434" s="45">
        <v>46161</v>
      </c>
      <c r="AG434" s="33">
        <f t="shared" si="53"/>
        <v>32</v>
      </c>
      <c r="AH434" s="45"/>
      <c r="AI434" s="39"/>
      <c r="AJ434" s="39"/>
      <c r="AK434" s="39"/>
      <c r="AL434" s="35"/>
      <c r="AM434" s="34"/>
      <c r="AN434" s="34"/>
      <c r="AO434" s="39"/>
      <c r="AP434" s="47"/>
      <c r="AQ434" s="47"/>
      <c r="AR434" s="47"/>
      <c r="AS434" s="47"/>
    </row>
    <row r="435" spans="1:45" ht="12" customHeight="1" x14ac:dyDescent="0.25">
      <c r="A435" s="33">
        <v>434</v>
      </c>
      <c r="B435" s="34"/>
      <c r="C435" s="34" t="s">
        <v>593</v>
      </c>
      <c r="D435" s="35" t="s">
        <v>602</v>
      </c>
      <c r="E435" s="34" t="s">
        <v>58</v>
      </c>
      <c r="F435" s="34" t="s">
        <v>0</v>
      </c>
      <c r="G435" s="16" t="s">
        <v>284</v>
      </c>
      <c r="H435" s="34">
        <v>300</v>
      </c>
      <c r="I435" s="34" t="s">
        <v>54</v>
      </c>
      <c r="J435" s="34" t="s">
        <v>2</v>
      </c>
      <c r="K435" s="35" t="s">
        <v>7</v>
      </c>
      <c r="L435" s="36" t="e">
        <f>VLOOKUP(G435,#REF!,4,0)</f>
        <v>#REF!</v>
      </c>
      <c r="M435" s="37" t="e">
        <f>_xlfn.IFNA(VLOOKUP(G435,#REF!,2,0),"")</f>
        <v>#REF!</v>
      </c>
      <c r="N435" s="38" t="e">
        <f>_xlfn.IFNA(VLOOKUP(G435,#REF!,3,0),"")</f>
        <v>#REF!</v>
      </c>
      <c r="O435" s="39">
        <v>10</v>
      </c>
      <c r="P435" s="79">
        <v>164.5</v>
      </c>
      <c r="Q435" s="39" t="s">
        <v>10</v>
      </c>
      <c r="R435" s="34">
        <v>7.9</v>
      </c>
      <c r="S435" s="38">
        <v>200</v>
      </c>
      <c r="T435" s="40">
        <v>55.555555555555557</v>
      </c>
      <c r="U435" s="41">
        <f t="shared" si="54"/>
        <v>1355.1055555555556</v>
      </c>
      <c r="V435" s="42">
        <f t="shared" si="52"/>
        <v>4.517018518518519</v>
      </c>
      <c r="W435" s="43">
        <f t="shared" si="55"/>
        <v>0.6741818684355998</v>
      </c>
      <c r="X435" s="38"/>
      <c r="Y435" s="38"/>
      <c r="Z435" s="44"/>
      <c r="AA435" s="45">
        <v>46129</v>
      </c>
      <c r="AB435" s="45">
        <v>46145</v>
      </c>
      <c r="AC435" s="45"/>
      <c r="AD435" s="46" t="e">
        <f>IF(ISNA(VLOOKUP(D435,#REF!,5,0)),0,VLOOKUP(D435,#REF!,5,0))</f>
        <v>#REF!</v>
      </c>
      <c r="AE435" s="46" t="e">
        <f t="shared" si="51"/>
        <v>#REF!</v>
      </c>
      <c r="AF435" s="45">
        <v>46156</v>
      </c>
      <c r="AG435" s="33">
        <f t="shared" si="53"/>
        <v>27</v>
      </c>
      <c r="AH435" s="45"/>
      <c r="AI435" s="39"/>
      <c r="AJ435" s="39"/>
      <c r="AK435" s="39"/>
      <c r="AL435" s="35"/>
      <c r="AM435" s="34"/>
      <c r="AN435" s="34"/>
      <c r="AO435" s="39"/>
      <c r="AP435" s="47"/>
      <c r="AQ435" s="47"/>
      <c r="AR435" s="47"/>
      <c r="AS435" s="47"/>
    </row>
    <row r="436" spans="1:45" ht="12" customHeight="1" x14ac:dyDescent="0.25">
      <c r="A436" s="33">
        <v>435</v>
      </c>
      <c r="B436" s="34"/>
      <c r="C436" s="34" t="s">
        <v>593</v>
      </c>
      <c r="D436" s="35" t="s">
        <v>602</v>
      </c>
      <c r="E436" s="34" t="s">
        <v>58</v>
      </c>
      <c r="F436" s="34" t="s">
        <v>0</v>
      </c>
      <c r="G436" s="16" t="s">
        <v>252</v>
      </c>
      <c r="H436" s="34">
        <v>300</v>
      </c>
      <c r="I436" s="34" t="s">
        <v>54</v>
      </c>
      <c r="J436" s="34" t="s">
        <v>2</v>
      </c>
      <c r="K436" s="35" t="s">
        <v>7</v>
      </c>
      <c r="L436" s="36" t="e">
        <f>VLOOKUP(G436,#REF!,4,0)</f>
        <v>#REF!</v>
      </c>
      <c r="M436" s="37" t="e">
        <f>_xlfn.IFNA(VLOOKUP(G436,#REF!,2,0),"")</f>
        <v>#REF!</v>
      </c>
      <c r="N436" s="38" t="e">
        <f>_xlfn.IFNA(VLOOKUP(G436,#REF!,3,0),"")</f>
        <v>#REF!</v>
      </c>
      <c r="O436" s="39">
        <v>10</v>
      </c>
      <c r="P436" s="79">
        <v>164.5</v>
      </c>
      <c r="Q436" s="39" t="s">
        <v>10</v>
      </c>
      <c r="R436" s="34">
        <v>7.9</v>
      </c>
      <c r="S436" s="48">
        <v>200</v>
      </c>
      <c r="T436" s="40">
        <v>55.555555555555557</v>
      </c>
      <c r="U436" s="41">
        <f t="shared" si="54"/>
        <v>1355.1055555555556</v>
      </c>
      <c r="V436" s="42">
        <f t="shared" si="52"/>
        <v>4.517018518518519</v>
      </c>
      <c r="W436" s="43">
        <f t="shared" si="55"/>
        <v>0.6741818684355998</v>
      </c>
      <c r="X436" s="38"/>
      <c r="Y436" s="38"/>
      <c r="Z436" s="44"/>
      <c r="AA436" s="45">
        <v>46129</v>
      </c>
      <c r="AB436" s="45">
        <v>46145</v>
      </c>
      <c r="AC436" s="45"/>
      <c r="AD436" s="46" t="e">
        <f>IF(ISNA(VLOOKUP(D436,#REF!,5,0)),0,VLOOKUP(D436,#REF!,5,0))</f>
        <v>#REF!</v>
      </c>
      <c r="AE436" s="46" t="e">
        <f t="shared" si="51"/>
        <v>#REF!</v>
      </c>
      <c r="AF436" s="45">
        <v>46156</v>
      </c>
      <c r="AG436" s="33">
        <f t="shared" si="53"/>
        <v>27</v>
      </c>
      <c r="AH436" s="45"/>
      <c r="AI436" s="39"/>
      <c r="AJ436" s="39"/>
      <c r="AK436" s="39"/>
      <c r="AL436" s="35"/>
      <c r="AM436" s="34"/>
      <c r="AN436" s="34"/>
      <c r="AO436" s="39"/>
      <c r="AP436" s="47"/>
      <c r="AQ436" s="47"/>
      <c r="AR436" s="47"/>
      <c r="AS436" s="47"/>
    </row>
    <row r="437" spans="1:45" ht="12" customHeight="1" x14ac:dyDescent="0.25">
      <c r="A437" s="33">
        <v>436</v>
      </c>
      <c r="B437" s="34"/>
      <c r="C437" s="34" t="s">
        <v>152</v>
      </c>
      <c r="D437" s="35" t="s">
        <v>603</v>
      </c>
      <c r="E437" s="34" t="s">
        <v>470</v>
      </c>
      <c r="F437" s="34" t="s">
        <v>0</v>
      </c>
      <c r="G437" s="16" t="s">
        <v>294</v>
      </c>
      <c r="H437" s="34">
        <v>216</v>
      </c>
      <c r="I437" s="34" t="s">
        <v>54</v>
      </c>
      <c r="J437" s="34" t="s">
        <v>3</v>
      </c>
      <c r="K437" s="35" t="s">
        <v>22</v>
      </c>
      <c r="L437" s="36" t="e">
        <f>VLOOKUP(G437,#REF!,4,0)</f>
        <v>#REF!</v>
      </c>
      <c r="M437" s="37" t="e">
        <f>_xlfn.IFNA(VLOOKUP(G437,#REF!,2,0),"")</f>
        <v>#REF!</v>
      </c>
      <c r="N437" s="38" t="e">
        <f>_xlfn.IFNA(VLOOKUP(G437,#REF!,3,0),"")</f>
        <v>#REF!</v>
      </c>
      <c r="O437" s="39">
        <v>24</v>
      </c>
      <c r="P437" s="79">
        <v>331.43</v>
      </c>
      <c r="Q437" s="39" t="s">
        <v>10</v>
      </c>
      <c r="R437" s="34">
        <v>4.0999999999999996</v>
      </c>
      <c r="S437" s="38">
        <v>200</v>
      </c>
      <c r="T437" s="40">
        <v>76.19047619047619</v>
      </c>
      <c r="U437" s="41">
        <f t="shared" si="54"/>
        <v>1435.053476190476</v>
      </c>
      <c r="V437" s="42">
        <f t="shared" si="52"/>
        <v>6.6437660934744258</v>
      </c>
      <c r="W437" s="43">
        <f t="shared" si="55"/>
        <v>0.99160687962304861</v>
      </c>
      <c r="X437" s="38"/>
      <c r="Y437" s="38"/>
      <c r="Z437" s="44"/>
      <c r="AA437" s="45">
        <v>46129</v>
      </c>
      <c r="AB437" s="45">
        <v>46152</v>
      </c>
      <c r="AC437" s="45"/>
      <c r="AD437" s="46" t="e">
        <f>IF(ISNA(VLOOKUP(D437,#REF!,5,0)),0,VLOOKUP(D437,#REF!,5,0))</f>
        <v>#REF!</v>
      </c>
      <c r="AE437" s="46" t="e">
        <f t="shared" si="51"/>
        <v>#REF!</v>
      </c>
      <c r="AF437" s="45">
        <v>46161</v>
      </c>
      <c r="AG437" s="33">
        <f t="shared" si="53"/>
        <v>32</v>
      </c>
      <c r="AH437" s="45"/>
      <c r="AI437" s="39"/>
      <c r="AJ437" s="39"/>
      <c r="AK437" s="39"/>
      <c r="AL437" s="35"/>
      <c r="AM437" s="34"/>
      <c r="AN437" s="34"/>
      <c r="AO437" s="39"/>
      <c r="AP437" s="47"/>
      <c r="AQ437" s="47"/>
      <c r="AR437" s="47"/>
      <c r="AS437" s="47"/>
    </row>
    <row r="438" spans="1:45" ht="12" customHeight="1" x14ac:dyDescent="0.25">
      <c r="A438" s="33">
        <v>437</v>
      </c>
      <c r="B438" s="34"/>
      <c r="C438" s="34" t="s">
        <v>604</v>
      </c>
      <c r="D438" s="35" t="s">
        <v>605</v>
      </c>
      <c r="E438" s="34" t="s">
        <v>172</v>
      </c>
      <c r="F438" s="34" t="s">
        <v>0</v>
      </c>
      <c r="G438" s="16" t="s">
        <v>264</v>
      </c>
      <c r="H438" s="34">
        <v>480</v>
      </c>
      <c r="I438" s="34" t="s">
        <v>218</v>
      </c>
      <c r="J438" s="34" t="s">
        <v>3</v>
      </c>
      <c r="K438" s="35" t="s">
        <v>5</v>
      </c>
      <c r="L438" s="36" t="e">
        <f>VLOOKUP(G438,#REF!,4,0)</f>
        <v>#REF!</v>
      </c>
      <c r="M438" s="37" t="e">
        <f>_xlfn.IFNA(VLOOKUP(G438,#REF!,2,0),"")</f>
        <v>#REF!</v>
      </c>
      <c r="N438" s="38" t="e">
        <f>_xlfn.IFNA(VLOOKUP(G438,#REF!,3,0),"")</f>
        <v>#REF!</v>
      </c>
      <c r="O438" s="39">
        <v>30</v>
      </c>
      <c r="P438" s="79">
        <v>1.6445783132530121</v>
      </c>
      <c r="Q438" s="39" t="s">
        <v>420</v>
      </c>
      <c r="R438" s="34">
        <v>1020</v>
      </c>
      <c r="S438" s="38">
        <v>180</v>
      </c>
      <c r="T438" s="40">
        <v>50.943396226415096</v>
      </c>
      <c r="U438" s="41">
        <f t="shared" si="54"/>
        <v>1728.4132757444875</v>
      </c>
      <c r="V438" s="42">
        <f t="shared" si="52"/>
        <v>3.6008609911343488</v>
      </c>
      <c r="W438" s="43">
        <f t="shared" si="55"/>
        <v>0.53744193897527592</v>
      </c>
      <c r="X438" s="38"/>
      <c r="Y438" s="38"/>
      <c r="Z438" s="44"/>
      <c r="AA438" s="45">
        <v>46129</v>
      </c>
      <c r="AB438" s="45">
        <v>46151</v>
      </c>
      <c r="AC438" s="45"/>
      <c r="AD438" s="46" t="e">
        <f>IF(ISNA(VLOOKUP(D438,#REF!,5,0)),0,VLOOKUP(D438,#REF!,5,0))</f>
        <v>#REF!</v>
      </c>
      <c r="AE438" s="46" t="e">
        <f t="shared" si="51"/>
        <v>#REF!</v>
      </c>
      <c r="AF438" s="45">
        <v>46163</v>
      </c>
      <c r="AG438" s="33">
        <f t="shared" si="53"/>
        <v>34</v>
      </c>
      <c r="AH438" s="45"/>
      <c r="AI438" s="39"/>
      <c r="AJ438" s="39"/>
      <c r="AK438" s="39"/>
      <c r="AL438" s="35"/>
      <c r="AM438" s="34"/>
      <c r="AN438" s="34"/>
      <c r="AO438" s="39"/>
      <c r="AP438" s="47"/>
      <c r="AQ438" s="47"/>
      <c r="AR438" s="47"/>
      <c r="AS438" s="47"/>
    </row>
    <row r="439" spans="1:45" ht="12" customHeight="1" x14ac:dyDescent="0.25">
      <c r="A439" s="33">
        <v>438</v>
      </c>
      <c r="B439" s="34"/>
      <c r="C439" s="34" t="s">
        <v>604</v>
      </c>
      <c r="D439" s="35" t="s">
        <v>605</v>
      </c>
      <c r="E439" s="34" t="s">
        <v>172</v>
      </c>
      <c r="F439" s="34" t="s">
        <v>0</v>
      </c>
      <c r="G439" s="16" t="s">
        <v>266</v>
      </c>
      <c r="H439" s="34">
        <v>240</v>
      </c>
      <c r="I439" s="34" t="s">
        <v>218</v>
      </c>
      <c r="J439" s="34" t="s">
        <v>3</v>
      </c>
      <c r="K439" s="35" t="s">
        <v>5</v>
      </c>
      <c r="L439" s="36" t="e">
        <f>VLOOKUP(G439,#REF!,4,0)</f>
        <v>#REF!</v>
      </c>
      <c r="M439" s="37" t="e">
        <f>_xlfn.IFNA(VLOOKUP(G439,#REF!,2,0),"")</f>
        <v>#REF!</v>
      </c>
      <c r="N439" s="38" t="e">
        <f>_xlfn.IFNA(VLOOKUP(G439,#REF!,3,0),"")</f>
        <v>#REF!</v>
      </c>
      <c r="O439" s="39">
        <v>15</v>
      </c>
      <c r="P439" s="79">
        <v>0.82228915662650603</v>
      </c>
      <c r="Q439" s="39" t="s">
        <v>420</v>
      </c>
      <c r="R439" s="34">
        <v>1020</v>
      </c>
      <c r="S439" s="48">
        <v>180</v>
      </c>
      <c r="T439" s="40">
        <v>25.471698113207548</v>
      </c>
      <c r="U439" s="41">
        <f t="shared" si="54"/>
        <v>864.20663787224373</v>
      </c>
      <c r="V439" s="42">
        <f t="shared" si="52"/>
        <v>3.6008609911343488</v>
      </c>
      <c r="W439" s="43">
        <f t="shared" si="55"/>
        <v>0.53744193897527592</v>
      </c>
      <c r="X439" s="38"/>
      <c r="Y439" s="38"/>
      <c r="Z439" s="44"/>
      <c r="AA439" s="45">
        <v>46129</v>
      </c>
      <c r="AB439" s="45">
        <v>46151</v>
      </c>
      <c r="AC439" s="45"/>
      <c r="AD439" s="46" t="e">
        <f>IF(ISNA(VLOOKUP(D439,#REF!,5,0)),0,VLOOKUP(D439,#REF!,5,0))</f>
        <v>#REF!</v>
      </c>
      <c r="AE439" s="46" t="e">
        <f t="shared" ref="AE439:AE470" si="56">AD439*H439</f>
        <v>#REF!</v>
      </c>
      <c r="AF439" s="45">
        <v>46163</v>
      </c>
      <c r="AG439" s="33">
        <f t="shared" si="53"/>
        <v>34</v>
      </c>
      <c r="AH439" s="45"/>
      <c r="AI439" s="39"/>
      <c r="AJ439" s="39"/>
      <c r="AK439" s="39"/>
      <c r="AL439" s="35"/>
      <c r="AM439" s="34"/>
      <c r="AN439" s="34"/>
      <c r="AO439" s="39"/>
      <c r="AP439" s="47"/>
      <c r="AQ439" s="47"/>
      <c r="AR439" s="47"/>
      <c r="AS439" s="47"/>
    </row>
    <row r="440" spans="1:45" ht="12" customHeight="1" x14ac:dyDescent="0.25">
      <c r="A440" s="33">
        <v>439</v>
      </c>
      <c r="B440" s="34"/>
      <c r="C440" s="34" t="s">
        <v>604</v>
      </c>
      <c r="D440" s="35" t="s">
        <v>605</v>
      </c>
      <c r="E440" s="34" t="s">
        <v>172</v>
      </c>
      <c r="F440" s="34" t="s">
        <v>0</v>
      </c>
      <c r="G440" s="16" t="s">
        <v>82</v>
      </c>
      <c r="H440" s="34">
        <v>400</v>
      </c>
      <c r="I440" s="34" t="s">
        <v>218</v>
      </c>
      <c r="J440" s="34" t="s">
        <v>3</v>
      </c>
      <c r="K440" s="35" t="s">
        <v>5</v>
      </c>
      <c r="L440" s="36" t="e">
        <f>VLOOKUP(G440,#REF!,4,0)</f>
        <v>#REF!</v>
      </c>
      <c r="M440" s="37" t="e">
        <f>_xlfn.IFNA(VLOOKUP(G440,#REF!,2,0),"")</f>
        <v>#REF!</v>
      </c>
      <c r="N440" s="38" t="e">
        <f>_xlfn.IFNA(VLOOKUP(G440,#REF!,3,0),"")</f>
        <v>#REF!</v>
      </c>
      <c r="O440" s="39">
        <v>25</v>
      </c>
      <c r="P440" s="79">
        <v>1.3704819277108433</v>
      </c>
      <c r="Q440" s="39" t="s">
        <v>420</v>
      </c>
      <c r="R440" s="34">
        <v>1020</v>
      </c>
      <c r="S440" s="38"/>
      <c r="T440" s="40">
        <v>42.452830188679243</v>
      </c>
      <c r="U440" s="41">
        <f t="shared" si="54"/>
        <v>1440.3443964537394</v>
      </c>
      <c r="V440" s="42">
        <f t="shared" si="52"/>
        <v>3.6008609911343483</v>
      </c>
      <c r="W440" s="43">
        <f t="shared" si="55"/>
        <v>0.53744193897527581</v>
      </c>
      <c r="X440" s="38"/>
      <c r="Y440" s="38"/>
      <c r="Z440" s="44"/>
      <c r="AA440" s="45">
        <v>46129</v>
      </c>
      <c r="AB440" s="45">
        <v>46151</v>
      </c>
      <c r="AC440" s="45"/>
      <c r="AD440" s="46" t="e">
        <f>IF(ISNA(VLOOKUP(D440,#REF!,5,0)),0,VLOOKUP(D440,#REF!,5,0))</f>
        <v>#REF!</v>
      </c>
      <c r="AE440" s="46" t="e">
        <f t="shared" si="56"/>
        <v>#REF!</v>
      </c>
      <c r="AF440" s="45">
        <v>46163</v>
      </c>
      <c r="AG440" s="33">
        <f t="shared" si="53"/>
        <v>34</v>
      </c>
      <c r="AH440" s="45"/>
      <c r="AI440" s="39"/>
      <c r="AJ440" s="39"/>
      <c r="AK440" s="39"/>
      <c r="AL440" s="35"/>
      <c r="AM440" s="34"/>
      <c r="AN440" s="34"/>
      <c r="AO440" s="39"/>
      <c r="AP440" s="47"/>
      <c r="AQ440" s="47"/>
      <c r="AR440" s="47"/>
      <c r="AS440" s="47"/>
    </row>
    <row r="441" spans="1:45" ht="12" customHeight="1" x14ac:dyDescent="0.25">
      <c r="A441" s="33">
        <v>440</v>
      </c>
      <c r="B441" s="34"/>
      <c r="C441" s="34" t="s">
        <v>604</v>
      </c>
      <c r="D441" s="35" t="s">
        <v>605</v>
      </c>
      <c r="E441" s="34" t="s">
        <v>172</v>
      </c>
      <c r="F441" s="34" t="s">
        <v>0</v>
      </c>
      <c r="G441" s="16" t="s">
        <v>123</v>
      </c>
      <c r="H441" s="34">
        <v>208</v>
      </c>
      <c r="I441" s="34" t="s">
        <v>218</v>
      </c>
      <c r="J441" s="34" t="s">
        <v>3</v>
      </c>
      <c r="K441" s="35" t="s">
        <v>5</v>
      </c>
      <c r="L441" s="36" t="e">
        <f>VLOOKUP(G441,#REF!,4,0)</f>
        <v>#REF!</v>
      </c>
      <c r="M441" s="37" t="e">
        <f>_xlfn.IFNA(VLOOKUP(G441,#REF!,2,0),"")</f>
        <v>#REF!</v>
      </c>
      <c r="N441" s="38" t="e">
        <f>_xlfn.IFNA(VLOOKUP(G441,#REF!,3,0),"")</f>
        <v>#REF!</v>
      </c>
      <c r="O441" s="39">
        <v>13</v>
      </c>
      <c r="P441" s="79">
        <v>0.71265060240963851</v>
      </c>
      <c r="Q441" s="39" t="s">
        <v>420</v>
      </c>
      <c r="R441" s="34">
        <v>1020</v>
      </c>
      <c r="S441" s="38"/>
      <c r="T441" s="40">
        <v>22.075471698113208</v>
      </c>
      <c r="U441" s="41">
        <f t="shared" si="54"/>
        <v>748.97908615594451</v>
      </c>
      <c r="V441" s="42">
        <f t="shared" si="52"/>
        <v>3.6008609911343488</v>
      </c>
      <c r="W441" s="43">
        <f t="shared" si="55"/>
        <v>0.53744193897527592</v>
      </c>
      <c r="X441" s="38"/>
      <c r="Y441" s="38"/>
      <c r="Z441" s="44"/>
      <c r="AA441" s="45">
        <v>46129</v>
      </c>
      <c r="AB441" s="45">
        <v>46151</v>
      </c>
      <c r="AC441" s="45"/>
      <c r="AD441" s="46" t="e">
        <f>IF(ISNA(VLOOKUP(D441,#REF!,5,0)),0,VLOOKUP(D441,#REF!,5,0))</f>
        <v>#REF!</v>
      </c>
      <c r="AE441" s="46" t="e">
        <f t="shared" si="56"/>
        <v>#REF!</v>
      </c>
      <c r="AF441" s="45">
        <v>46163</v>
      </c>
      <c r="AG441" s="33">
        <f t="shared" si="53"/>
        <v>34</v>
      </c>
      <c r="AH441" s="45"/>
      <c r="AI441" s="39"/>
      <c r="AJ441" s="39"/>
      <c r="AK441" s="39"/>
      <c r="AL441" s="35"/>
      <c r="AM441" s="34"/>
      <c r="AN441" s="34"/>
      <c r="AO441" s="39"/>
      <c r="AP441" s="47"/>
      <c r="AQ441" s="47"/>
      <c r="AR441" s="47"/>
      <c r="AS441" s="47"/>
    </row>
    <row r="442" spans="1:45" ht="12" customHeight="1" x14ac:dyDescent="0.25">
      <c r="A442" s="33">
        <v>441</v>
      </c>
      <c r="B442" s="34"/>
      <c r="C442" s="34" t="s">
        <v>597</v>
      </c>
      <c r="D442" s="35" t="s">
        <v>606</v>
      </c>
      <c r="E442" s="34" t="s">
        <v>58</v>
      </c>
      <c r="F442" s="34" t="s">
        <v>0</v>
      </c>
      <c r="G442" s="16" t="s">
        <v>240</v>
      </c>
      <c r="H442" s="34">
        <v>180</v>
      </c>
      <c r="I442" s="34" t="s">
        <v>66</v>
      </c>
      <c r="J442" s="34" t="s">
        <v>3</v>
      </c>
      <c r="K442" s="35" t="s">
        <v>4</v>
      </c>
      <c r="L442" s="36" t="e">
        <f>VLOOKUP(G442,#REF!,4,0)</f>
        <v>#REF!</v>
      </c>
      <c r="M442" s="37" t="e">
        <f>_xlfn.IFNA(VLOOKUP(G442,#REF!,2,0),"")</f>
        <v>#REF!</v>
      </c>
      <c r="N442" s="38" t="e">
        <f>_xlfn.IFNA(VLOOKUP(G442,#REF!,3,0),"")</f>
        <v>#REF!</v>
      </c>
      <c r="O442" s="39">
        <v>15</v>
      </c>
      <c r="P442" s="79">
        <v>261.09375</v>
      </c>
      <c r="Q442" s="39" t="s">
        <v>10</v>
      </c>
      <c r="R442" s="34">
        <v>4.8</v>
      </c>
      <c r="S442" s="38">
        <v>200</v>
      </c>
      <c r="T442" s="40">
        <v>22.556390977443609</v>
      </c>
      <c r="U442" s="41">
        <f t="shared" si="54"/>
        <v>1275.8063909774437</v>
      </c>
      <c r="V442" s="42">
        <f t="shared" si="52"/>
        <v>7.0878132832080203</v>
      </c>
      <c r="W442" s="43">
        <f t="shared" si="55"/>
        <v>1.0578825795832867</v>
      </c>
      <c r="X442" s="38"/>
      <c r="Y442" s="38"/>
      <c r="Z442" s="44"/>
      <c r="AA442" s="45">
        <v>46129</v>
      </c>
      <c r="AB442" s="45">
        <v>46151</v>
      </c>
      <c r="AC442" s="45"/>
      <c r="AD442" s="46" t="e">
        <f>IF(ISNA(VLOOKUP(D442,#REF!,5,0)),0,VLOOKUP(D442,#REF!,5,0))</f>
        <v>#REF!</v>
      </c>
      <c r="AE442" s="46" t="e">
        <f t="shared" si="56"/>
        <v>#REF!</v>
      </c>
      <c r="AF442" s="45">
        <v>46160</v>
      </c>
      <c r="AG442" s="33">
        <f t="shared" si="53"/>
        <v>31</v>
      </c>
      <c r="AH442" s="45"/>
      <c r="AI442" s="39"/>
      <c r="AJ442" s="39"/>
      <c r="AK442" s="39"/>
      <c r="AL442" s="35"/>
      <c r="AM442" s="34"/>
      <c r="AN442" s="34"/>
      <c r="AO442" s="39"/>
      <c r="AP442" s="47"/>
      <c r="AQ442" s="47"/>
      <c r="AR442" s="47"/>
      <c r="AS442" s="47"/>
    </row>
    <row r="443" spans="1:45" ht="12" customHeight="1" x14ac:dyDescent="0.25">
      <c r="A443" s="33">
        <v>442</v>
      </c>
      <c r="B443" s="34"/>
      <c r="C443" s="34" t="s">
        <v>597</v>
      </c>
      <c r="D443" s="35" t="s">
        <v>606</v>
      </c>
      <c r="E443" s="34" t="s">
        <v>58</v>
      </c>
      <c r="F443" s="34" t="s">
        <v>0</v>
      </c>
      <c r="G443" s="16" t="s">
        <v>241</v>
      </c>
      <c r="H443" s="34">
        <v>204</v>
      </c>
      <c r="I443" s="34" t="s">
        <v>66</v>
      </c>
      <c r="J443" s="34" t="s">
        <v>3</v>
      </c>
      <c r="K443" s="35" t="s">
        <v>4</v>
      </c>
      <c r="L443" s="36" t="e">
        <f>VLOOKUP(G443,#REF!,4,0)</f>
        <v>#REF!</v>
      </c>
      <c r="M443" s="37" t="e">
        <f>_xlfn.IFNA(VLOOKUP(G443,#REF!,2,0),"")</f>
        <v>#REF!</v>
      </c>
      <c r="N443" s="38" t="e">
        <f>_xlfn.IFNA(VLOOKUP(G443,#REF!,3,0),"")</f>
        <v>#REF!</v>
      </c>
      <c r="O443" s="39">
        <v>17</v>
      </c>
      <c r="P443" s="79">
        <v>295.90625</v>
      </c>
      <c r="Q443" s="39" t="s">
        <v>10</v>
      </c>
      <c r="R443" s="34">
        <v>4.8</v>
      </c>
      <c r="S443" s="48">
        <v>200</v>
      </c>
      <c r="T443" s="40">
        <v>25.563909774436091</v>
      </c>
      <c r="U443" s="41">
        <f t="shared" si="54"/>
        <v>1445.913909774436</v>
      </c>
      <c r="V443" s="42">
        <f t="shared" si="52"/>
        <v>7.0878132832080194</v>
      </c>
      <c r="W443" s="43">
        <f t="shared" si="55"/>
        <v>1.0578825795832865</v>
      </c>
      <c r="X443" s="38"/>
      <c r="Y443" s="38"/>
      <c r="Z443" s="44"/>
      <c r="AA443" s="45">
        <v>46129</v>
      </c>
      <c r="AB443" s="45">
        <v>46151</v>
      </c>
      <c r="AC443" s="45"/>
      <c r="AD443" s="46" t="e">
        <f>IF(ISNA(VLOOKUP(D443,#REF!,5,0)),0,VLOOKUP(D443,#REF!,5,0))</f>
        <v>#REF!</v>
      </c>
      <c r="AE443" s="46" t="e">
        <f t="shared" si="56"/>
        <v>#REF!</v>
      </c>
      <c r="AF443" s="45">
        <v>46160</v>
      </c>
      <c r="AG443" s="33">
        <f t="shared" si="53"/>
        <v>31</v>
      </c>
      <c r="AH443" s="45"/>
      <c r="AI443" s="39"/>
      <c r="AJ443" s="39"/>
      <c r="AK443" s="39"/>
      <c r="AL443" s="35"/>
      <c r="AM443" s="34"/>
      <c r="AN443" s="34"/>
      <c r="AO443" s="39"/>
      <c r="AP443" s="47"/>
      <c r="AQ443" s="47"/>
      <c r="AR443" s="47"/>
      <c r="AS443" s="47"/>
    </row>
    <row r="444" spans="1:45" ht="12" customHeight="1" x14ac:dyDescent="0.25">
      <c r="A444" s="33">
        <v>443</v>
      </c>
      <c r="B444" s="34"/>
      <c r="C444" s="34" t="s">
        <v>607</v>
      </c>
      <c r="D444" s="35" t="s">
        <v>608</v>
      </c>
      <c r="E444" s="34" t="s">
        <v>58</v>
      </c>
      <c r="F444" s="34" t="s">
        <v>0</v>
      </c>
      <c r="G444" s="16" t="s">
        <v>53</v>
      </c>
      <c r="H444" s="34">
        <v>480</v>
      </c>
      <c r="I444" s="34" t="s">
        <v>62</v>
      </c>
      <c r="J444" s="34" t="s">
        <v>3</v>
      </c>
      <c r="K444" s="35" t="s">
        <v>4</v>
      </c>
      <c r="L444" s="36" t="e">
        <f>VLOOKUP(G444,#REF!,4,0)</f>
        <v>#REF!</v>
      </c>
      <c r="M444" s="37" t="e">
        <f>_xlfn.IFNA(VLOOKUP(G444,#REF!,2,0),"")</f>
        <v>#REF!</v>
      </c>
      <c r="N444" s="38" t="e">
        <f>_xlfn.IFNA(VLOOKUP(G444,#REF!,3,0),"")</f>
        <v>#REF!</v>
      </c>
      <c r="O444" s="39">
        <v>40</v>
      </c>
      <c r="P444" s="79">
        <v>574.13793103448279</v>
      </c>
      <c r="Q444" s="39" t="s">
        <v>10</v>
      </c>
      <c r="R444" s="34">
        <v>4.0999999999999996</v>
      </c>
      <c r="S444" s="38">
        <v>200</v>
      </c>
      <c r="T444" s="40">
        <v>68.965517241379317</v>
      </c>
      <c r="U444" s="41">
        <f t="shared" si="54"/>
        <v>2422.9310344827586</v>
      </c>
      <c r="V444" s="42">
        <f t="shared" si="52"/>
        <v>5.0477729885057467</v>
      </c>
      <c r="W444" s="43">
        <f t="shared" si="55"/>
        <v>0.75339895350832042</v>
      </c>
      <c r="X444" s="38"/>
      <c r="Y444" s="38"/>
      <c r="Z444" s="44"/>
      <c r="AA444" s="45">
        <v>46129</v>
      </c>
      <c r="AB444" s="45">
        <v>46150</v>
      </c>
      <c r="AC444" s="45"/>
      <c r="AD444" s="46" t="e">
        <f>IF(ISNA(VLOOKUP(D444,#REF!,5,0)),0,VLOOKUP(D444,#REF!,5,0))</f>
        <v>#REF!</v>
      </c>
      <c r="AE444" s="46" t="e">
        <f t="shared" si="56"/>
        <v>#REF!</v>
      </c>
      <c r="AF444" s="45">
        <v>46163</v>
      </c>
      <c r="AG444" s="33">
        <f t="shared" si="53"/>
        <v>34</v>
      </c>
      <c r="AH444" s="45"/>
      <c r="AI444" s="39"/>
      <c r="AJ444" s="39"/>
      <c r="AK444" s="39"/>
      <c r="AL444" s="35"/>
      <c r="AM444" s="34"/>
      <c r="AN444" s="34"/>
      <c r="AO444" s="39"/>
      <c r="AP444" s="47"/>
      <c r="AQ444" s="47"/>
      <c r="AR444" s="47"/>
      <c r="AS444" s="47"/>
    </row>
    <row r="445" spans="1:45" ht="12" customHeight="1" x14ac:dyDescent="0.25">
      <c r="A445" s="33">
        <v>444</v>
      </c>
      <c r="B445" s="34"/>
      <c r="C445" s="34" t="s">
        <v>607</v>
      </c>
      <c r="D445" s="35" t="s">
        <v>608</v>
      </c>
      <c r="E445" s="34" t="s">
        <v>58</v>
      </c>
      <c r="F445" s="34" t="s">
        <v>0</v>
      </c>
      <c r="G445" s="16" t="s">
        <v>57</v>
      </c>
      <c r="H445" s="34">
        <v>756</v>
      </c>
      <c r="I445" s="34" t="s">
        <v>62</v>
      </c>
      <c r="J445" s="34" t="s">
        <v>3</v>
      </c>
      <c r="K445" s="35" t="s">
        <v>4</v>
      </c>
      <c r="L445" s="36" t="e">
        <f>VLOOKUP(G445,#REF!,4,0)</f>
        <v>#REF!</v>
      </c>
      <c r="M445" s="37" t="e">
        <f>_xlfn.IFNA(VLOOKUP(G445,#REF!,2,0),"")</f>
        <v>#REF!</v>
      </c>
      <c r="N445" s="38" t="e">
        <f>_xlfn.IFNA(VLOOKUP(G445,#REF!,3,0),"")</f>
        <v>#REF!</v>
      </c>
      <c r="O445" s="39">
        <v>63</v>
      </c>
      <c r="P445" s="79">
        <v>904.26724137931035</v>
      </c>
      <c r="Q445" s="39" t="s">
        <v>10</v>
      </c>
      <c r="R445" s="34">
        <v>4.0999999999999996</v>
      </c>
      <c r="S445" s="48">
        <v>200</v>
      </c>
      <c r="T445" s="40">
        <v>108.62068965517241</v>
      </c>
      <c r="U445" s="41">
        <f t="shared" si="54"/>
        <v>3816.1163793103447</v>
      </c>
      <c r="V445" s="42">
        <f t="shared" si="52"/>
        <v>5.0477729885057467</v>
      </c>
      <c r="W445" s="43">
        <f t="shared" si="55"/>
        <v>0.75339895350832042</v>
      </c>
      <c r="X445" s="38"/>
      <c r="Y445" s="38"/>
      <c r="Z445" s="44"/>
      <c r="AA445" s="45">
        <v>46129</v>
      </c>
      <c r="AB445" s="45">
        <v>46150</v>
      </c>
      <c r="AC445" s="45"/>
      <c r="AD445" s="46" t="e">
        <f>IF(ISNA(VLOOKUP(D445,#REF!,5,0)),0,VLOOKUP(D445,#REF!,5,0))</f>
        <v>#REF!</v>
      </c>
      <c r="AE445" s="46" t="e">
        <f t="shared" si="56"/>
        <v>#REF!</v>
      </c>
      <c r="AF445" s="45">
        <v>46163</v>
      </c>
      <c r="AG445" s="33">
        <f t="shared" si="53"/>
        <v>34</v>
      </c>
      <c r="AH445" s="45"/>
      <c r="AI445" s="39"/>
      <c r="AJ445" s="39"/>
      <c r="AK445" s="39"/>
      <c r="AL445" s="35"/>
      <c r="AM445" s="34"/>
      <c r="AN445" s="34"/>
      <c r="AO445" s="39"/>
      <c r="AP445" s="47"/>
      <c r="AQ445" s="47"/>
      <c r="AR445" s="47"/>
      <c r="AS445" s="47"/>
    </row>
    <row r="446" spans="1:45" ht="12" customHeight="1" x14ac:dyDescent="0.25">
      <c r="A446" s="33">
        <v>445</v>
      </c>
      <c r="B446" s="34"/>
      <c r="C446" s="34" t="s">
        <v>607</v>
      </c>
      <c r="D446" s="35" t="s">
        <v>608</v>
      </c>
      <c r="E446" s="34" t="s">
        <v>58</v>
      </c>
      <c r="F446" s="34" t="s">
        <v>0</v>
      </c>
      <c r="G446" s="16" t="s">
        <v>238</v>
      </c>
      <c r="H446" s="34">
        <v>416</v>
      </c>
      <c r="I446" s="34" t="s">
        <v>62</v>
      </c>
      <c r="J446" s="34" t="s">
        <v>3</v>
      </c>
      <c r="K446" s="35" t="s">
        <v>4</v>
      </c>
      <c r="L446" s="36" t="e">
        <f>VLOOKUP(G446,#REF!,4,0)</f>
        <v>#REF!</v>
      </c>
      <c r="M446" s="37" t="e">
        <f>_xlfn.IFNA(VLOOKUP(G446,#REF!,2,0),"")</f>
        <v>#REF!</v>
      </c>
      <c r="N446" s="38" t="e">
        <f>_xlfn.IFNA(VLOOKUP(G446,#REF!,3,0),"")</f>
        <v>#REF!</v>
      </c>
      <c r="O446" s="39">
        <v>13</v>
      </c>
      <c r="P446" s="79">
        <v>186.59482758620689</v>
      </c>
      <c r="Q446" s="39" t="s">
        <v>10</v>
      </c>
      <c r="R446" s="34">
        <v>4.0999999999999996</v>
      </c>
      <c r="S446" s="38"/>
      <c r="T446" s="40">
        <v>22.413793103448278</v>
      </c>
      <c r="U446" s="41">
        <f t="shared" si="54"/>
        <v>787.4525862068964</v>
      </c>
      <c r="V446" s="42">
        <f t="shared" si="52"/>
        <v>1.8929148706896548</v>
      </c>
      <c r="W446" s="43">
        <f t="shared" si="55"/>
        <v>0.28252460756562009</v>
      </c>
      <c r="X446" s="38"/>
      <c r="Y446" s="38"/>
      <c r="Z446" s="44"/>
      <c r="AA446" s="45">
        <v>46129</v>
      </c>
      <c r="AB446" s="45">
        <v>46150</v>
      </c>
      <c r="AC446" s="45"/>
      <c r="AD446" s="46" t="e">
        <f>IF(ISNA(VLOOKUP(D446,#REF!,5,0)),0,VLOOKUP(D446,#REF!,5,0))</f>
        <v>#REF!</v>
      </c>
      <c r="AE446" s="46" t="e">
        <f t="shared" si="56"/>
        <v>#REF!</v>
      </c>
      <c r="AF446" s="45">
        <v>46163</v>
      </c>
      <c r="AG446" s="33">
        <f t="shared" si="53"/>
        <v>34</v>
      </c>
      <c r="AH446" s="45"/>
      <c r="AI446" s="39"/>
      <c r="AJ446" s="39"/>
      <c r="AK446" s="39"/>
      <c r="AL446" s="35"/>
      <c r="AM446" s="34"/>
      <c r="AN446" s="34"/>
      <c r="AO446" s="39"/>
      <c r="AP446" s="47"/>
      <c r="AQ446" s="47"/>
      <c r="AR446" s="47"/>
      <c r="AS446" s="47"/>
    </row>
    <row r="447" spans="1:45" ht="12" customHeight="1" x14ac:dyDescent="0.25">
      <c r="A447" s="33">
        <v>446</v>
      </c>
      <c r="B447" s="34"/>
      <c r="C447" s="34" t="s">
        <v>153</v>
      </c>
      <c r="D447" s="35" t="s">
        <v>609</v>
      </c>
      <c r="E447" s="34" t="s">
        <v>51</v>
      </c>
      <c r="F447" s="34" t="s">
        <v>52</v>
      </c>
      <c r="G447" s="16" t="s">
        <v>53</v>
      </c>
      <c r="H447" s="34">
        <v>48</v>
      </c>
      <c r="I447" s="34" t="s">
        <v>66</v>
      </c>
      <c r="J447" s="34" t="s">
        <v>55</v>
      </c>
      <c r="K447" s="35" t="s">
        <v>563</v>
      </c>
      <c r="L447" s="36" t="e">
        <f>VLOOKUP(G447,#REF!,4,0)</f>
        <v>#REF!</v>
      </c>
      <c r="M447" s="37" t="e">
        <f>_xlfn.IFNA(VLOOKUP(G447,#REF!,2,0),"")</f>
        <v>#REF!</v>
      </c>
      <c r="N447" s="38" t="e">
        <f>_xlfn.IFNA(VLOOKUP(G447,#REF!,3,0),"")</f>
        <v>#REF!</v>
      </c>
      <c r="O447" s="39">
        <v>4</v>
      </c>
      <c r="P447" s="79">
        <v>57.714285714285715</v>
      </c>
      <c r="Q447" s="39" t="s">
        <v>10</v>
      </c>
      <c r="R447" s="34">
        <v>5.4</v>
      </c>
      <c r="S447" s="38">
        <v>250</v>
      </c>
      <c r="T447" s="40">
        <v>25.641025641025642</v>
      </c>
      <c r="U447" s="41">
        <f t="shared" si="54"/>
        <v>337.29816849816854</v>
      </c>
      <c r="V447" s="42">
        <f t="shared" si="52"/>
        <v>7.0270451770451778</v>
      </c>
      <c r="W447" s="43">
        <f t="shared" si="55"/>
        <v>1.0488127129918177</v>
      </c>
      <c r="X447" s="38"/>
      <c r="Y447" s="38"/>
      <c r="Z447" s="44"/>
      <c r="AA447" s="45">
        <v>46129</v>
      </c>
      <c r="AB447" s="45">
        <v>46168</v>
      </c>
      <c r="AC447" s="45"/>
      <c r="AD447" s="46" t="e">
        <f>IF(ISNA(VLOOKUP(D447,#REF!,5,0)),0,VLOOKUP(D447,#REF!,5,0))</f>
        <v>#REF!</v>
      </c>
      <c r="AE447" s="46" t="e">
        <f t="shared" si="56"/>
        <v>#REF!</v>
      </c>
      <c r="AF447" s="45">
        <v>46172</v>
      </c>
      <c r="AG447" s="76">
        <f t="shared" si="53"/>
        <v>43</v>
      </c>
      <c r="AH447" s="45"/>
      <c r="AI447" s="39"/>
      <c r="AJ447" s="39"/>
      <c r="AK447" s="39"/>
      <c r="AL447" s="35"/>
      <c r="AM447" s="34"/>
      <c r="AN447" s="34"/>
      <c r="AO447" s="39"/>
      <c r="AP447" s="47"/>
      <c r="AQ447" s="47"/>
      <c r="AR447" s="47"/>
      <c r="AS447" s="47"/>
    </row>
    <row r="448" spans="1:45" ht="12" customHeight="1" x14ac:dyDescent="0.25">
      <c r="A448" s="33">
        <v>447</v>
      </c>
      <c r="B448" s="34"/>
      <c r="C448" s="34" t="s">
        <v>153</v>
      </c>
      <c r="D448" s="35" t="s">
        <v>609</v>
      </c>
      <c r="E448" s="34" t="s">
        <v>51</v>
      </c>
      <c r="F448" s="34" t="s">
        <v>52</v>
      </c>
      <c r="G448" s="16" t="s">
        <v>57</v>
      </c>
      <c r="H448" s="34">
        <v>36</v>
      </c>
      <c r="I448" s="34" t="s">
        <v>66</v>
      </c>
      <c r="J448" s="34" t="s">
        <v>55</v>
      </c>
      <c r="K448" s="35" t="s">
        <v>563</v>
      </c>
      <c r="L448" s="36" t="e">
        <f>VLOOKUP(G448,#REF!,4,0)</f>
        <v>#REF!</v>
      </c>
      <c r="M448" s="37" t="e">
        <f>_xlfn.IFNA(VLOOKUP(G448,#REF!,2,0),"")</f>
        <v>#REF!</v>
      </c>
      <c r="N448" s="38" t="e">
        <f>_xlfn.IFNA(VLOOKUP(G448,#REF!,3,0),"")</f>
        <v>#REF!</v>
      </c>
      <c r="O448" s="39">
        <v>3</v>
      </c>
      <c r="P448" s="79">
        <v>43.285714285714285</v>
      </c>
      <c r="Q448" s="39" t="s">
        <v>10</v>
      </c>
      <c r="R448" s="34">
        <v>5.4</v>
      </c>
      <c r="S448" s="48">
        <v>250</v>
      </c>
      <c r="T448" s="40">
        <v>19.23076923076923</v>
      </c>
      <c r="U448" s="41">
        <f t="shared" si="54"/>
        <v>252.97362637362639</v>
      </c>
      <c r="V448" s="42">
        <f t="shared" si="52"/>
        <v>7.0270451770451778</v>
      </c>
      <c r="W448" s="43">
        <f t="shared" si="55"/>
        <v>1.0488127129918177</v>
      </c>
      <c r="X448" s="38"/>
      <c r="Y448" s="38"/>
      <c r="Z448" s="44"/>
      <c r="AA448" s="45">
        <v>46129</v>
      </c>
      <c r="AB448" s="45">
        <v>46168</v>
      </c>
      <c r="AC448" s="45"/>
      <c r="AD448" s="46" t="e">
        <f>IF(ISNA(VLOOKUP(D448,#REF!,5,0)),0,VLOOKUP(D448,#REF!,5,0))</f>
        <v>#REF!</v>
      </c>
      <c r="AE448" s="46" t="e">
        <f t="shared" si="56"/>
        <v>#REF!</v>
      </c>
      <c r="AF448" s="45">
        <v>46172</v>
      </c>
      <c r="AG448" s="76">
        <f t="shared" si="53"/>
        <v>43</v>
      </c>
      <c r="AH448" s="45"/>
      <c r="AI448" s="39"/>
      <c r="AJ448" s="39"/>
      <c r="AK448" s="39"/>
      <c r="AL448" s="35"/>
      <c r="AM448" s="34"/>
      <c r="AN448" s="34"/>
      <c r="AO448" s="39"/>
      <c r="AP448" s="47"/>
      <c r="AQ448" s="47"/>
      <c r="AR448" s="47"/>
      <c r="AS448" s="47"/>
    </row>
    <row r="449" spans="1:45" ht="12" customHeight="1" x14ac:dyDescent="0.25">
      <c r="A449" s="33">
        <v>448</v>
      </c>
      <c r="B449" s="34" t="s">
        <v>629</v>
      </c>
      <c r="C449" s="34" t="s">
        <v>604</v>
      </c>
      <c r="D449" s="35" t="s">
        <v>610</v>
      </c>
      <c r="E449" s="34" t="s">
        <v>58</v>
      </c>
      <c r="F449" s="34" t="s">
        <v>0</v>
      </c>
      <c r="G449" s="16" t="s">
        <v>88</v>
      </c>
      <c r="H449" s="34">
        <v>1170</v>
      </c>
      <c r="I449" s="34" t="s">
        <v>218</v>
      </c>
      <c r="J449" s="34" t="s">
        <v>3</v>
      </c>
      <c r="K449" s="35" t="s">
        <v>5</v>
      </c>
      <c r="L449" s="36" t="e">
        <f>VLOOKUP(G449,#REF!,4,0)</f>
        <v>#REF!</v>
      </c>
      <c r="M449" s="37" t="e">
        <f>_xlfn.IFNA(VLOOKUP(G449,#REF!,2,0),"")</f>
        <v>#REF!</v>
      </c>
      <c r="N449" s="38" t="e">
        <f>_xlfn.IFNA(VLOOKUP(G449,#REF!,3,0),"")</f>
        <v>#REF!</v>
      </c>
      <c r="O449" s="39">
        <v>13</v>
      </c>
      <c r="P449" s="79">
        <v>0.72</v>
      </c>
      <c r="Q449" s="39" t="s">
        <v>420</v>
      </c>
      <c r="R449" s="34">
        <v>1220</v>
      </c>
      <c r="S449" s="38">
        <v>180</v>
      </c>
      <c r="T449" s="40">
        <v>22.075471698113208</v>
      </c>
      <c r="U449" s="41">
        <f t="shared" si="54"/>
        <v>900.47547169811321</v>
      </c>
      <c r="V449" s="42">
        <f t="shared" si="52"/>
        <v>0.76963715529753263</v>
      </c>
      <c r="W449" s="43">
        <f t="shared" si="55"/>
        <v>0.11487121720858695</v>
      </c>
      <c r="X449" s="38"/>
      <c r="Y449" s="38"/>
      <c r="Z449" s="44"/>
      <c r="AA449" s="45">
        <v>46129</v>
      </c>
      <c r="AB449" s="45">
        <v>46151</v>
      </c>
      <c r="AC449" s="45"/>
      <c r="AD449" s="46" t="e">
        <f>IF(ISNA(VLOOKUP(D449,#REF!,5,0)),0,VLOOKUP(D449,#REF!,5,0))</f>
        <v>#REF!</v>
      </c>
      <c r="AE449" s="46" t="e">
        <f t="shared" si="56"/>
        <v>#REF!</v>
      </c>
      <c r="AF449" s="45">
        <v>46163</v>
      </c>
      <c r="AG449" s="33">
        <f t="shared" si="53"/>
        <v>34</v>
      </c>
      <c r="AH449" s="45"/>
      <c r="AI449" s="39"/>
      <c r="AJ449" s="39"/>
      <c r="AK449" s="39"/>
      <c r="AL449" s="35"/>
      <c r="AM449" s="34"/>
      <c r="AN449" s="34"/>
      <c r="AO449" s="39"/>
      <c r="AP449" s="47"/>
      <c r="AQ449" s="47"/>
      <c r="AR449" s="47"/>
      <c r="AS449" s="47"/>
    </row>
    <row r="450" spans="1:45" ht="12" customHeight="1" x14ac:dyDescent="0.25">
      <c r="A450" s="33">
        <v>449</v>
      </c>
      <c r="B450" s="34"/>
      <c r="C450" s="34" t="s">
        <v>604</v>
      </c>
      <c r="D450" s="35" t="s">
        <v>611</v>
      </c>
      <c r="E450" s="34" t="s">
        <v>61</v>
      </c>
      <c r="F450" s="34" t="s">
        <v>0</v>
      </c>
      <c r="G450" s="16" t="s">
        <v>329</v>
      </c>
      <c r="H450" s="34">
        <v>304</v>
      </c>
      <c r="I450" s="34" t="s">
        <v>218</v>
      </c>
      <c r="J450" s="34" t="s">
        <v>3</v>
      </c>
      <c r="K450" s="35" t="s">
        <v>5</v>
      </c>
      <c r="L450" s="36" t="e">
        <f>VLOOKUP(G450,#REF!,4,0)</f>
        <v>#REF!</v>
      </c>
      <c r="M450" s="37" t="e">
        <f>_xlfn.IFNA(VLOOKUP(G450,#REF!,2,0),"")</f>
        <v>#REF!</v>
      </c>
      <c r="N450" s="38" t="e">
        <f>_xlfn.IFNA(VLOOKUP(G450,#REF!,3,0),"")</f>
        <v>#REF!</v>
      </c>
      <c r="O450" s="39">
        <v>4</v>
      </c>
      <c r="P450" s="79">
        <v>0.22000000000000003</v>
      </c>
      <c r="Q450" s="39" t="s">
        <v>420</v>
      </c>
      <c r="R450" s="34">
        <v>1220</v>
      </c>
      <c r="S450" s="48">
        <v>180</v>
      </c>
      <c r="T450" s="40">
        <v>6.7924528301886795</v>
      </c>
      <c r="U450" s="41">
        <f t="shared" si="54"/>
        <v>275.1924528301887</v>
      </c>
      <c r="V450" s="42">
        <f t="shared" ref="V450:V470" si="57">U450/H450</f>
        <v>0.90523833167825229</v>
      </c>
      <c r="W450" s="43">
        <f t="shared" si="55"/>
        <v>0.13511019875794811</v>
      </c>
      <c r="X450" s="38"/>
      <c r="Y450" s="38"/>
      <c r="Z450" s="44"/>
      <c r="AA450" s="45">
        <v>46129</v>
      </c>
      <c r="AB450" s="45">
        <v>46151</v>
      </c>
      <c r="AC450" s="45"/>
      <c r="AD450" s="46" t="e">
        <f>IF(ISNA(VLOOKUP(D450,#REF!,5,0)),0,VLOOKUP(D450,#REF!,5,0))</f>
        <v>#REF!</v>
      </c>
      <c r="AE450" s="46" t="e">
        <f t="shared" si="56"/>
        <v>#REF!</v>
      </c>
      <c r="AF450" s="45">
        <v>46163</v>
      </c>
      <c r="AG450" s="33">
        <f t="shared" ref="AG450:AG513" si="58">AF450-AA450</f>
        <v>34</v>
      </c>
      <c r="AH450" s="45"/>
      <c r="AI450" s="39"/>
      <c r="AJ450" s="39"/>
      <c r="AK450" s="39"/>
      <c r="AL450" s="35"/>
      <c r="AM450" s="34"/>
      <c r="AN450" s="34"/>
      <c r="AO450" s="39"/>
      <c r="AP450" s="47"/>
      <c r="AQ450" s="47"/>
      <c r="AR450" s="47"/>
      <c r="AS450" s="47"/>
    </row>
    <row r="451" spans="1:45" ht="12" customHeight="1" x14ac:dyDescent="0.25">
      <c r="A451" s="33">
        <v>450</v>
      </c>
      <c r="B451" s="34"/>
      <c r="C451" s="34" t="s">
        <v>604</v>
      </c>
      <c r="D451" s="35" t="s">
        <v>611</v>
      </c>
      <c r="E451" s="34" t="s">
        <v>61</v>
      </c>
      <c r="F451" s="34" t="s">
        <v>0</v>
      </c>
      <c r="G451" s="16" t="s">
        <v>174</v>
      </c>
      <c r="H451" s="34">
        <v>180</v>
      </c>
      <c r="I451" s="34" t="s">
        <v>218</v>
      </c>
      <c r="J451" s="34" t="s">
        <v>3</v>
      </c>
      <c r="K451" s="35" t="s">
        <v>5</v>
      </c>
      <c r="L451" s="36" t="e">
        <f>VLOOKUP(G451,#REF!,4,0)</f>
        <v>#REF!</v>
      </c>
      <c r="M451" s="37" t="e">
        <f>_xlfn.IFNA(VLOOKUP(G451,#REF!,2,0),"")</f>
        <v>#REF!</v>
      </c>
      <c r="N451" s="38" t="e">
        <f>_xlfn.IFNA(VLOOKUP(G451,#REF!,3,0),"")</f>
        <v>#REF!</v>
      </c>
      <c r="O451" s="39">
        <v>2</v>
      </c>
      <c r="P451" s="79">
        <v>0.11000000000000001</v>
      </c>
      <c r="Q451" s="39" t="s">
        <v>420</v>
      </c>
      <c r="R451" s="34">
        <v>1220</v>
      </c>
      <c r="S451" s="38"/>
      <c r="T451" s="40">
        <v>3.3962264150943398</v>
      </c>
      <c r="U451" s="41">
        <f t="shared" si="54"/>
        <v>137.59622641509435</v>
      </c>
      <c r="V451" s="42">
        <f t="shared" si="57"/>
        <v>0.76442348008385752</v>
      </c>
      <c r="W451" s="43">
        <f t="shared" si="55"/>
        <v>0.11409305672893395</v>
      </c>
      <c r="X451" s="38"/>
      <c r="Y451" s="38"/>
      <c r="Z451" s="44"/>
      <c r="AA451" s="45">
        <v>46129</v>
      </c>
      <c r="AB451" s="45">
        <v>46151</v>
      </c>
      <c r="AC451" s="45"/>
      <c r="AD451" s="46" t="e">
        <f>IF(ISNA(VLOOKUP(D451,#REF!,5,0)),0,VLOOKUP(D451,#REF!,5,0))</f>
        <v>#REF!</v>
      </c>
      <c r="AE451" s="46" t="e">
        <f t="shared" si="56"/>
        <v>#REF!</v>
      </c>
      <c r="AF451" s="45">
        <v>46163</v>
      </c>
      <c r="AG451" s="33">
        <f t="shared" si="58"/>
        <v>34</v>
      </c>
      <c r="AH451" s="45"/>
      <c r="AI451" s="39"/>
      <c r="AJ451" s="39"/>
      <c r="AK451" s="39"/>
      <c r="AL451" s="35"/>
      <c r="AM451" s="34"/>
      <c r="AN451" s="34"/>
      <c r="AO451" s="39"/>
      <c r="AP451" s="47"/>
      <c r="AQ451" s="47"/>
      <c r="AR451" s="47"/>
      <c r="AS451" s="47"/>
    </row>
    <row r="452" spans="1:45" ht="12" customHeight="1" x14ac:dyDescent="0.25">
      <c r="A452" s="33">
        <v>451</v>
      </c>
      <c r="B452" s="34"/>
      <c r="C452" s="34" t="s">
        <v>604</v>
      </c>
      <c r="D452" s="35" t="s">
        <v>611</v>
      </c>
      <c r="E452" s="34" t="s">
        <v>61</v>
      </c>
      <c r="F452" s="34" t="s">
        <v>0</v>
      </c>
      <c r="G452" s="16" t="s">
        <v>175</v>
      </c>
      <c r="H452" s="34">
        <v>180</v>
      </c>
      <c r="I452" s="34" t="s">
        <v>218</v>
      </c>
      <c r="J452" s="34" t="s">
        <v>3</v>
      </c>
      <c r="K452" s="35" t="s">
        <v>5</v>
      </c>
      <c r="L452" s="36" t="e">
        <f>VLOOKUP(G452,#REF!,4,0)</f>
        <v>#REF!</v>
      </c>
      <c r="M452" s="37" t="e">
        <f>_xlfn.IFNA(VLOOKUP(G452,#REF!,2,0),"")</f>
        <v>#REF!</v>
      </c>
      <c r="N452" s="38" t="e">
        <f>_xlfn.IFNA(VLOOKUP(G452,#REF!,3,0),"")</f>
        <v>#REF!</v>
      </c>
      <c r="O452" s="39">
        <v>2</v>
      </c>
      <c r="P452" s="79">
        <v>0.11000000000000001</v>
      </c>
      <c r="Q452" s="39" t="s">
        <v>420</v>
      </c>
      <c r="R452" s="34">
        <v>1220</v>
      </c>
      <c r="S452" s="38"/>
      <c r="T452" s="40">
        <v>3.3962264150943398</v>
      </c>
      <c r="U452" s="41">
        <f t="shared" si="54"/>
        <v>137.59622641509435</v>
      </c>
      <c r="V452" s="42">
        <f t="shared" si="57"/>
        <v>0.76442348008385752</v>
      </c>
      <c r="W452" s="43">
        <f t="shared" si="55"/>
        <v>0.11409305672893395</v>
      </c>
      <c r="X452" s="38"/>
      <c r="Y452" s="38"/>
      <c r="Z452" s="44"/>
      <c r="AA452" s="45">
        <v>46129</v>
      </c>
      <c r="AB452" s="45">
        <v>46151</v>
      </c>
      <c r="AC452" s="45"/>
      <c r="AD452" s="46" t="e">
        <f>IF(ISNA(VLOOKUP(D452,#REF!,5,0)),0,VLOOKUP(D452,#REF!,5,0))</f>
        <v>#REF!</v>
      </c>
      <c r="AE452" s="46" t="e">
        <f t="shared" si="56"/>
        <v>#REF!</v>
      </c>
      <c r="AF452" s="45">
        <v>46163</v>
      </c>
      <c r="AG452" s="33">
        <f t="shared" si="58"/>
        <v>34</v>
      </c>
      <c r="AH452" s="45"/>
      <c r="AI452" s="39"/>
      <c r="AJ452" s="39"/>
      <c r="AK452" s="39"/>
      <c r="AL452" s="35"/>
      <c r="AM452" s="34"/>
      <c r="AN452" s="34"/>
      <c r="AO452" s="39"/>
      <c r="AP452" s="47"/>
      <c r="AQ452" s="47"/>
      <c r="AR452" s="47"/>
      <c r="AS452" s="47"/>
    </row>
    <row r="453" spans="1:45" ht="12" customHeight="1" x14ac:dyDescent="0.25">
      <c r="A453" s="33">
        <v>452</v>
      </c>
      <c r="B453" s="34"/>
      <c r="C453" s="34" t="s">
        <v>604</v>
      </c>
      <c r="D453" s="35" t="s">
        <v>611</v>
      </c>
      <c r="E453" s="34" t="s">
        <v>61</v>
      </c>
      <c r="F453" s="34" t="s">
        <v>0</v>
      </c>
      <c r="G453" s="16" t="s">
        <v>121</v>
      </c>
      <c r="H453" s="34">
        <v>180</v>
      </c>
      <c r="I453" s="34" t="s">
        <v>218</v>
      </c>
      <c r="J453" s="34" t="s">
        <v>3</v>
      </c>
      <c r="K453" s="35" t="s">
        <v>5</v>
      </c>
      <c r="L453" s="36" t="e">
        <f>VLOOKUP(G453,#REF!,4,0)</f>
        <v>#REF!</v>
      </c>
      <c r="M453" s="37" t="e">
        <f>_xlfn.IFNA(VLOOKUP(G453,#REF!,2,0),"")</f>
        <v>#REF!</v>
      </c>
      <c r="N453" s="38" t="e">
        <f>_xlfn.IFNA(VLOOKUP(G453,#REF!,3,0),"")</f>
        <v>#REF!</v>
      </c>
      <c r="O453" s="39">
        <v>2</v>
      </c>
      <c r="P453" s="79">
        <v>0.11000000000000001</v>
      </c>
      <c r="Q453" s="39" t="s">
        <v>420</v>
      </c>
      <c r="R453" s="34">
        <v>1220</v>
      </c>
      <c r="S453" s="38"/>
      <c r="T453" s="40">
        <v>3.3962264150943398</v>
      </c>
      <c r="U453" s="41">
        <f t="shared" si="54"/>
        <v>137.59622641509435</v>
      </c>
      <c r="V453" s="42">
        <f t="shared" si="57"/>
        <v>0.76442348008385752</v>
      </c>
      <c r="W453" s="43">
        <f t="shared" si="55"/>
        <v>0.11409305672893395</v>
      </c>
      <c r="X453" s="38"/>
      <c r="Y453" s="38"/>
      <c r="Z453" s="44"/>
      <c r="AA453" s="45">
        <v>46129</v>
      </c>
      <c r="AB453" s="45">
        <v>46151</v>
      </c>
      <c r="AC453" s="45"/>
      <c r="AD453" s="46" t="e">
        <f>IF(ISNA(VLOOKUP(D453,#REF!,5,0)),0,VLOOKUP(D453,#REF!,5,0))</f>
        <v>#REF!</v>
      </c>
      <c r="AE453" s="46" t="e">
        <f t="shared" si="56"/>
        <v>#REF!</v>
      </c>
      <c r="AF453" s="45">
        <v>46163</v>
      </c>
      <c r="AG453" s="33">
        <f t="shared" si="58"/>
        <v>34</v>
      </c>
      <c r="AH453" s="45"/>
      <c r="AI453" s="39"/>
      <c r="AJ453" s="39"/>
      <c r="AK453" s="39"/>
      <c r="AL453" s="35"/>
      <c r="AM453" s="34"/>
      <c r="AN453" s="34"/>
      <c r="AO453" s="39"/>
      <c r="AP453" s="47"/>
      <c r="AQ453" s="47"/>
      <c r="AR453" s="47"/>
      <c r="AS453" s="47"/>
    </row>
    <row r="454" spans="1:45" ht="12" customHeight="1" x14ac:dyDescent="0.25">
      <c r="A454" s="33">
        <v>453</v>
      </c>
      <c r="B454" s="34"/>
      <c r="C454" s="34" t="s">
        <v>612</v>
      </c>
      <c r="D454" s="35" t="s">
        <v>613</v>
      </c>
      <c r="E454" s="34" t="s">
        <v>61</v>
      </c>
      <c r="F454" s="34" t="s">
        <v>0</v>
      </c>
      <c r="G454" s="16" t="s">
        <v>293</v>
      </c>
      <c r="H454" s="34">
        <v>512</v>
      </c>
      <c r="I454" s="34" t="s">
        <v>218</v>
      </c>
      <c r="J454" s="34" t="s">
        <v>3</v>
      </c>
      <c r="K454" s="35" t="s">
        <v>5</v>
      </c>
      <c r="L454" s="36" t="e">
        <f>VLOOKUP(G454,#REF!,4,0)</f>
        <v>#REF!</v>
      </c>
      <c r="M454" s="37" t="e">
        <f>_xlfn.IFNA(VLOOKUP(G454,#REF!,2,0),"")</f>
        <v>#REF!</v>
      </c>
      <c r="N454" s="38" t="e">
        <f>_xlfn.IFNA(VLOOKUP(G454,#REF!,3,0),"")</f>
        <v>#REF!</v>
      </c>
      <c r="O454" s="39">
        <v>8</v>
      </c>
      <c r="P454" s="79">
        <v>0.31384615384615383</v>
      </c>
      <c r="Q454" s="39" t="s">
        <v>420</v>
      </c>
      <c r="R454" s="34">
        <v>1220</v>
      </c>
      <c r="S454" s="38">
        <v>180</v>
      </c>
      <c r="T454" s="40">
        <v>46.451612903225808</v>
      </c>
      <c r="U454" s="41">
        <f t="shared" si="54"/>
        <v>429.34392059553346</v>
      </c>
      <c r="V454" s="42">
        <f t="shared" si="57"/>
        <v>0.83856234491315129</v>
      </c>
      <c r="W454" s="43">
        <f t="shared" si="55"/>
        <v>0.12515855894226138</v>
      </c>
      <c r="X454" s="38"/>
      <c r="Y454" s="38"/>
      <c r="Z454" s="44"/>
      <c r="AA454" s="45">
        <v>46129</v>
      </c>
      <c r="AB454" s="45">
        <v>46151</v>
      </c>
      <c r="AC454" s="45"/>
      <c r="AD454" s="46" t="e">
        <f>IF(ISNA(VLOOKUP(D454,#REF!,5,0)),0,VLOOKUP(D454,#REF!,5,0))</f>
        <v>#REF!</v>
      </c>
      <c r="AE454" s="46" t="e">
        <f t="shared" si="56"/>
        <v>#REF!</v>
      </c>
      <c r="AF454" s="45">
        <v>46163</v>
      </c>
      <c r="AG454" s="33">
        <f t="shared" si="58"/>
        <v>34</v>
      </c>
      <c r="AH454" s="45"/>
      <c r="AI454" s="39"/>
      <c r="AJ454" s="39"/>
      <c r="AK454" s="39"/>
      <c r="AL454" s="35"/>
      <c r="AM454" s="34"/>
      <c r="AN454" s="34"/>
      <c r="AO454" s="39"/>
      <c r="AP454" s="47"/>
      <c r="AQ454" s="47"/>
      <c r="AR454" s="47"/>
      <c r="AS454" s="47"/>
    </row>
    <row r="455" spans="1:45" ht="12" customHeight="1" x14ac:dyDescent="0.25">
      <c r="A455" s="33">
        <v>454</v>
      </c>
      <c r="B455" s="34"/>
      <c r="C455" s="34" t="s">
        <v>612</v>
      </c>
      <c r="D455" s="35" t="s">
        <v>613</v>
      </c>
      <c r="E455" s="34" t="s">
        <v>61</v>
      </c>
      <c r="F455" s="34" t="s">
        <v>0</v>
      </c>
      <c r="G455" s="16" t="s">
        <v>225</v>
      </c>
      <c r="H455" s="34">
        <v>128</v>
      </c>
      <c r="I455" s="34" t="s">
        <v>218</v>
      </c>
      <c r="J455" s="34" t="s">
        <v>3</v>
      </c>
      <c r="K455" s="35" t="s">
        <v>5</v>
      </c>
      <c r="L455" s="36" t="e">
        <f>VLOOKUP(G455,#REF!,4,0)</f>
        <v>#REF!</v>
      </c>
      <c r="M455" s="37" t="e">
        <f>_xlfn.IFNA(VLOOKUP(G455,#REF!,2,0),"")</f>
        <v>#REF!</v>
      </c>
      <c r="N455" s="38" t="e">
        <f>_xlfn.IFNA(VLOOKUP(G455,#REF!,3,0),"")</f>
        <v>#REF!</v>
      </c>
      <c r="O455" s="39">
        <v>2</v>
      </c>
      <c r="P455" s="79">
        <v>7.8461538461538458E-2</v>
      </c>
      <c r="Q455" s="39" t="s">
        <v>420</v>
      </c>
      <c r="R455" s="34">
        <v>1220</v>
      </c>
      <c r="S455" s="48">
        <v>180</v>
      </c>
      <c r="T455" s="40">
        <v>11.612903225806452</v>
      </c>
      <c r="U455" s="41">
        <f t="shared" si="54"/>
        <v>107.33598014888337</v>
      </c>
      <c r="V455" s="42">
        <f t="shared" si="57"/>
        <v>0.83856234491315129</v>
      </c>
      <c r="W455" s="43">
        <f t="shared" si="55"/>
        <v>0.12515855894226138</v>
      </c>
      <c r="X455" s="38"/>
      <c r="Y455" s="38"/>
      <c r="Z455" s="44"/>
      <c r="AA455" s="45">
        <v>46129</v>
      </c>
      <c r="AB455" s="45">
        <v>46151</v>
      </c>
      <c r="AC455" s="45"/>
      <c r="AD455" s="46" t="e">
        <f>IF(ISNA(VLOOKUP(D455,#REF!,5,0)),0,VLOOKUP(D455,#REF!,5,0))</f>
        <v>#REF!</v>
      </c>
      <c r="AE455" s="46" t="e">
        <f t="shared" si="56"/>
        <v>#REF!</v>
      </c>
      <c r="AF455" s="45">
        <v>46163</v>
      </c>
      <c r="AG455" s="33">
        <f t="shared" si="58"/>
        <v>34</v>
      </c>
      <c r="AH455" s="45"/>
      <c r="AI455" s="39"/>
      <c r="AJ455" s="39"/>
      <c r="AK455" s="39"/>
      <c r="AL455" s="35"/>
      <c r="AM455" s="34"/>
      <c r="AN455" s="34"/>
      <c r="AO455" s="39"/>
      <c r="AP455" s="47"/>
      <c r="AQ455" s="47"/>
      <c r="AR455" s="47"/>
      <c r="AS455" s="47"/>
    </row>
    <row r="456" spans="1:45" ht="12" customHeight="1" x14ac:dyDescent="0.25">
      <c r="A456" s="33">
        <v>455</v>
      </c>
      <c r="B456" s="34"/>
      <c r="C456" s="34" t="s">
        <v>612</v>
      </c>
      <c r="D456" s="35" t="s">
        <v>613</v>
      </c>
      <c r="E456" s="34" t="s">
        <v>61</v>
      </c>
      <c r="F456" s="34" t="s">
        <v>0</v>
      </c>
      <c r="G456" s="16" t="s">
        <v>277</v>
      </c>
      <c r="H456" s="34">
        <v>256</v>
      </c>
      <c r="I456" s="34" t="s">
        <v>218</v>
      </c>
      <c r="J456" s="34" t="s">
        <v>3</v>
      </c>
      <c r="K456" s="35" t="s">
        <v>5</v>
      </c>
      <c r="L456" s="36" t="e">
        <f>VLOOKUP(G456,#REF!,4,0)</f>
        <v>#REF!</v>
      </c>
      <c r="M456" s="37" t="e">
        <f>_xlfn.IFNA(VLOOKUP(G456,#REF!,2,0),"")</f>
        <v>#REF!</v>
      </c>
      <c r="N456" s="38" t="e">
        <f>_xlfn.IFNA(VLOOKUP(G456,#REF!,3,0),"")</f>
        <v>#REF!</v>
      </c>
      <c r="O456" s="39">
        <v>4</v>
      </c>
      <c r="P456" s="79">
        <v>0.15692307692307692</v>
      </c>
      <c r="Q456" s="39" t="s">
        <v>420</v>
      </c>
      <c r="R456" s="34">
        <v>1220</v>
      </c>
      <c r="S456" s="38"/>
      <c r="T456" s="40">
        <v>23.225806451612904</v>
      </c>
      <c r="U456" s="41">
        <f t="shared" si="54"/>
        <v>214.67196029776673</v>
      </c>
      <c r="V456" s="42">
        <f t="shared" si="57"/>
        <v>0.83856234491315129</v>
      </c>
      <c r="W456" s="43">
        <f t="shared" si="55"/>
        <v>0.12515855894226138</v>
      </c>
      <c r="X456" s="38"/>
      <c r="Y456" s="38"/>
      <c r="Z456" s="44"/>
      <c r="AA456" s="45">
        <v>46129</v>
      </c>
      <c r="AB456" s="45">
        <v>46151</v>
      </c>
      <c r="AC456" s="45"/>
      <c r="AD456" s="46" t="e">
        <f>IF(ISNA(VLOOKUP(D456,#REF!,5,0)),0,VLOOKUP(D456,#REF!,5,0))</f>
        <v>#REF!</v>
      </c>
      <c r="AE456" s="46" t="e">
        <f t="shared" si="56"/>
        <v>#REF!</v>
      </c>
      <c r="AF456" s="45">
        <v>46163</v>
      </c>
      <c r="AG456" s="33">
        <f t="shared" si="58"/>
        <v>34</v>
      </c>
      <c r="AH456" s="45"/>
      <c r="AI456" s="39"/>
      <c r="AJ456" s="39"/>
      <c r="AK456" s="39"/>
      <c r="AL456" s="35"/>
      <c r="AM456" s="34"/>
      <c r="AN456" s="34"/>
      <c r="AO456" s="39"/>
      <c r="AP456" s="47"/>
      <c r="AQ456" s="47"/>
      <c r="AR456" s="47"/>
      <c r="AS456" s="47"/>
    </row>
    <row r="457" spans="1:45" ht="12" customHeight="1" x14ac:dyDescent="0.25">
      <c r="A457" s="33">
        <v>456</v>
      </c>
      <c r="B457" s="34"/>
      <c r="C457" s="34" t="s">
        <v>612</v>
      </c>
      <c r="D457" s="35" t="s">
        <v>613</v>
      </c>
      <c r="E457" s="34" t="s">
        <v>61</v>
      </c>
      <c r="F457" s="34" t="s">
        <v>0</v>
      </c>
      <c r="G457" s="16" t="s">
        <v>253</v>
      </c>
      <c r="H457" s="34">
        <v>512</v>
      </c>
      <c r="I457" s="34" t="s">
        <v>218</v>
      </c>
      <c r="J457" s="34" t="s">
        <v>3</v>
      </c>
      <c r="K457" s="35" t="s">
        <v>5</v>
      </c>
      <c r="L457" s="36" t="e">
        <f>VLOOKUP(G457,#REF!,4,0)</f>
        <v>#REF!</v>
      </c>
      <c r="M457" s="37" t="e">
        <f>_xlfn.IFNA(VLOOKUP(G457,#REF!,2,0),"")</f>
        <v>#REF!</v>
      </c>
      <c r="N457" s="38" t="e">
        <f>_xlfn.IFNA(VLOOKUP(G457,#REF!,3,0),"")</f>
        <v>#REF!</v>
      </c>
      <c r="O457" s="39">
        <v>8</v>
      </c>
      <c r="P457" s="79">
        <v>0.31384615384615383</v>
      </c>
      <c r="Q457" s="39" t="s">
        <v>420</v>
      </c>
      <c r="R457" s="34">
        <v>1220</v>
      </c>
      <c r="S457" s="38"/>
      <c r="T457" s="40">
        <v>46.451612903225808</v>
      </c>
      <c r="U457" s="41">
        <f t="shared" si="54"/>
        <v>429.34392059553346</v>
      </c>
      <c r="V457" s="42">
        <f t="shared" si="57"/>
        <v>0.83856234491315129</v>
      </c>
      <c r="W457" s="43">
        <f t="shared" si="55"/>
        <v>0.12515855894226138</v>
      </c>
      <c r="X457" s="38"/>
      <c r="Y457" s="38"/>
      <c r="Z457" s="44"/>
      <c r="AA457" s="45">
        <v>46129</v>
      </c>
      <c r="AB457" s="45">
        <v>46151</v>
      </c>
      <c r="AC457" s="45"/>
      <c r="AD457" s="46" t="e">
        <f>IF(ISNA(VLOOKUP(D457,#REF!,5,0)),0,VLOOKUP(D457,#REF!,5,0))</f>
        <v>#REF!</v>
      </c>
      <c r="AE457" s="46" t="e">
        <f t="shared" si="56"/>
        <v>#REF!</v>
      </c>
      <c r="AF457" s="45">
        <v>46163</v>
      </c>
      <c r="AG457" s="33">
        <f t="shared" si="58"/>
        <v>34</v>
      </c>
      <c r="AH457" s="45"/>
      <c r="AI457" s="39"/>
      <c r="AJ457" s="39"/>
      <c r="AK457" s="39"/>
      <c r="AL457" s="35"/>
      <c r="AM457" s="34"/>
      <c r="AN457" s="34"/>
      <c r="AO457" s="39"/>
      <c r="AP457" s="47"/>
      <c r="AQ457" s="47"/>
      <c r="AR457" s="47"/>
      <c r="AS457" s="47"/>
    </row>
    <row r="458" spans="1:45" ht="12" customHeight="1" x14ac:dyDescent="0.25">
      <c r="A458" s="33">
        <v>457</v>
      </c>
      <c r="B458" s="34"/>
      <c r="C458" s="34" t="s">
        <v>612</v>
      </c>
      <c r="D458" s="35" t="s">
        <v>613</v>
      </c>
      <c r="E458" s="34" t="s">
        <v>61</v>
      </c>
      <c r="F458" s="34" t="s">
        <v>0</v>
      </c>
      <c r="G458" s="16" t="s">
        <v>254</v>
      </c>
      <c r="H458" s="34">
        <v>128</v>
      </c>
      <c r="I458" s="34" t="s">
        <v>218</v>
      </c>
      <c r="J458" s="34" t="s">
        <v>3</v>
      </c>
      <c r="K458" s="35" t="s">
        <v>5</v>
      </c>
      <c r="L458" s="36" t="e">
        <f>VLOOKUP(G458,#REF!,4,0)</f>
        <v>#REF!</v>
      </c>
      <c r="M458" s="37" t="e">
        <f>_xlfn.IFNA(VLOOKUP(G458,#REF!,2,0),"")</f>
        <v>#REF!</v>
      </c>
      <c r="N458" s="38" t="e">
        <f>_xlfn.IFNA(VLOOKUP(G458,#REF!,3,0),"")</f>
        <v>#REF!</v>
      </c>
      <c r="O458" s="39">
        <v>2</v>
      </c>
      <c r="P458" s="79">
        <v>7.8461538461538458E-2</v>
      </c>
      <c r="Q458" s="39" t="s">
        <v>420</v>
      </c>
      <c r="R458" s="34">
        <v>1220</v>
      </c>
      <c r="S458" s="38"/>
      <c r="T458" s="40">
        <v>11.612903225806452</v>
      </c>
      <c r="U458" s="41">
        <f t="shared" si="54"/>
        <v>107.33598014888337</v>
      </c>
      <c r="V458" s="42">
        <f t="shared" si="57"/>
        <v>0.83856234491315129</v>
      </c>
      <c r="W458" s="43">
        <f t="shared" si="55"/>
        <v>0.12515855894226138</v>
      </c>
      <c r="X458" s="38"/>
      <c r="Y458" s="38"/>
      <c r="Z458" s="44"/>
      <c r="AA458" s="45">
        <v>46129</v>
      </c>
      <c r="AB458" s="45">
        <v>46151</v>
      </c>
      <c r="AC458" s="45"/>
      <c r="AD458" s="46" t="e">
        <f>IF(ISNA(VLOOKUP(D458,#REF!,5,0)),0,VLOOKUP(D458,#REF!,5,0))</f>
        <v>#REF!</v>
      </c>
      <c r="AE458" s="46" t="e">
        <f t="shared" si="56"/>
        <v>#REF!</v>
      </c>
      <c r="AF458" s="45">
        <v>46163</v>
      </c>
      <c r="AG458" s="33">
        <f t="shared" si="58"/>
        <v>34</v>
      </c>
      <c r="AH458" s="45"/>
      <c r="AI458" s="39"/>
      <c r="AJ458" s="39"/>
      <c r="AK458" s="39"/>
      <c r="AL458" s="35"/>
      <c r="AM458" s="34"/>
      <c r="AN458" s="34"/>
      <c r="AO458" s="39"/>
      <c r="AP458" s="47"/>
      <c r="AQ458" s="47"/>
      <c r="AR458" s="47"/>
      <c r="AS458" s="47"/>
    </row>
    <row r="459" spans="1:45" ht="12" customHeight="1" x14ac:dyDescent="0.25">
      <c r="A459" s="33">
        <v>458</v>
      </c>
      <c r="B459" s="34"/>
      <c r="C459" s="34" t="s">
        <v>612</v>
      </c>
      <c r="D459" s="35" t="s">
        <v>613</v>
      </c>
      <c r="E459" s="34" t="s">
        <v>61</v>
      </c>
      <c r="F459" s="34" t="s">
        <v>0</v>
      </c>
      <c r="G459" s="16" t="s">
        <v>227</v>
      </c>
      <c r="H459" s="34">
        <v>64</v>
      </c>
      <c r="I459" s="34" t="s">
        <v>218</v>
      </c>
      <c r="J459" s="34" t="s">
        <v>3</v>
      </c>
      <c r="K459" s="35" t="s">
        <v>5</v>
      </c>
      <c r="L459" s="36" t="e">
        <f>VLOOKUP(G459,#REF!,4,0)</f>
        <v>#REF!</v>
      </c>
      <c r="M459" s="37" t="e">
        <f>_xlfn.IFNA(VLOOKUP(G459,#REF!,2,0),"")</f>
        <v>#REF!</v>
      </c>
      <c r="N459" s="38" t="e">
        <f>_xlfn.IFNA(VLOOKUP(G459,#REF!,3,0),"")</f>
        <v>#REF!</v>
      </c>
      <c r="O459" s="39">
        <v>1</v>
      </c>
      <c r="P459" s="79">
        <v>3.9230769230769229E-2</v>
      </c>
      <c r="Q459" s="39" t="s">
        <v>420</v>
      </c>
      <c r="R459" s="34">
        <v>1220</v>
      </c>
      <c r="S459" s="38"/>
      <c r="T459" s="40">
        <v>5.806451612903226</v>
      </c>
      <c r="U459" s="41">
        <f t="shared" si="54"/>
        <v>53.667990074441683</v>
      </c>
      <c r="V459" s="42">
        <f t="shared" si="57"/>
        <v>0.83856234491315129</v>
      </c>
      <c r="W459" s="43">
        <f t="shared" si="55"/>
        <v>0.12515855894226138</v>
      </c>
      <c r="X459" s="38"/>
      <c r="Y459" s="38"/>
      <c r="Z459" s="44"/>
      <c r="AA459" s="45">
        <v>46129</v>
      </c>
      <c r="AB459" s="45">
        <v>46151</v>
      </c>
      <c r="AC459" s="45"/>
      <c r="AD459" s="46" t="e">
        <f>IF(ISNA(VLOOKUP(D459,#REF!,5,0)),0,VLOOKUP(D459,#REF!,5,0))</f>
        <v>#REF!</v>
      </c>
      <c r="AE459" s="46" t="e">
        <f t="shared" si="56"/>
        <v>#REF!</v>
      </c>
      <c r="AF459" s="45">
        <v>46163</v>
      </c>
      <c r="AG459" s="33">
        <f t="shared" si="58"/>
        <v>34</v>
      </c>
      <c r="AH459" s="45"/>
      <c r="AI459" s="39"/>
      <c r="AJ459" s="39"/>
      <c r="AK459" s="39"/>
      <c r="AL459" s="35"/>
      <c r="AM459" s="34"/>
      <c r="AN459" s="34"/>
      <c r="AO459" s="39"/>
      <c r="AP459" s="47"/>
      <c r="AQ459" s="47"/>
      <c r="AR459" s="47"/>
      <c r="AS459" s="47"/>
    </row>
    <row r="460" spans="1:45" ht="12" customHeight="1" x14ac:dyDescent="0.25">
      <c r="A460" s="33">
        <v>459</v>
      </c>
      <c r="B460" s="34"/>
      <c r="C460" s="34" t="s">
        <v>612</v>
      </c>
      <c r="D460" s="35" t="s">
        <v>613</v>
      </c>
      <c r="E460" s="34" t="s">
        <v>61</v>
      </c>
      <c r="F460" s="34" t="s">
        <v>0</v>
      </c>
      <c r="G460" s="16" t="s">
        <v>226</v>
      </c>
      <c r="H460" s="34">
        <v>64</v>
      </c>
      <c r="I460" s="34" t="s">
        <v>218</v>
      </c>
      <c r="J460" s="34" t="s">
        <v>3</v>
      </c>
      <c r="K460" s="35" t="s">
        <v>5</v>
      </c>
      <c r="L460" s="36" t="e">
        <f>VLOOKUP(G460,#REF!,4,0)</f>
        <v>#REF!</v>
      </c>
      <c r="M460" s="37" t="e">
        <f>_xlfn.IFNA(VLOOKUP(G460,#REF!,2,0),"")</f>
        <v>#REF!</v>
      </c>
      <c r="N460" s="38" t="e">
        <f>_xlfn.IFNA(VLOOKUP(G460,#REF!,3,0),"")</f>
        <v>#REF!</v>
      </c>
      <c r="O460" s="39">
        <v>1</v>
      </c>
      <c r="P460" s="79">
        <v>3.9230769230769229E-2</v>
      </c>
      <c r="Q460" s="39" t="s">
        <v>420</v>
      </c>
      <c r="R460" s="34">
        <v>1220</v>
      </c>
      <c r="S460" s="38"/>
      <c r="T460" s="40">
        <v>5.806451612903226</v>
      </c>
      <c r="U460" s="41">
        <f t="shared" si="54"/>
        <v>53.667990074441683</v>
      </c>
      <c r="V460" s="42">
        <f t="shared" si="57"/>
        <v>0.83856234491315129</v>
      </c>
      <c r="W460" s="43">
        <f t="shared" si="55"/>
        <v>0.12515855894226138</v>
      </c>
      <c r="X460" s="38"/>
      <c r="Y460" s="38"/>
      <c r="Z460" s="44"/>
      <c r="AA460" s="45">
        <v>46129</v>
      </c>
      <c r="AB460" s="45">
        <v>46151</v>
      </c>
      <c r="AC460" s="45"/>
      <c r="AD460" s="46" t="e">
        <f>IF(ISNA(VLOOKUP(D460,#REF!,5,0)),0,VLOOKUP(D460,#REF!,5,0))</f>
        <v>#REF!</v>
      </c>
      <c r="AE460" s="46" t="e">
        <f t="shared" si="56"/>
        <v>#REF!</v>
      </c>
      <c r="AF460" s="45">
        <v>46163</v>
      </c>
      <c r="AG460" s="33">
        <f t="shared" si="58"/>
        <v>34</v>
      </c>
      <c r="AH460" s="45"/>
      <c r="AI460" s="39"/>
      <c r="AJ460" s="39"/>
      <c r="AK460" s="39"/>
      <c r="AL460" s="35"/>
      <c r="AM460" s="34"/>
      <c r="AN460" s="34"/>
      <c r="AO460" s="39"/>
      <c r="AP460" s="47"/>
      <c r="AQ460" s="47"/>
      <c r="AR460" s="47"/>
      <c r="AS460" s="47"/>
    </row>
    <row r="461" spans="1:45" ht="12" customHeight="1" x14ac:dyDescent="0.25">
      <c r="A461" s="33">
        <v>460</v>
      </c>
      <c r="B461" s="34"/>
      <c r="C461" s="34" t="s">
        <v>612</v>
      </c>
      <c r="D461" s="35" t="s">
        <v>614</v>
      </c>
      <c r="E461" s="34" t="s">
        <v>58</v>
      </c>
      <c r="F461" s="34" t="s">
        <v>0</v>
      </c>
      <c r="G461" s="16" t="s">
        <v>615</v>
      </c>
      <c r="H461" s="34">
        <v>100</v>
      </c>
      <c r="I461" s="34" t="s">
        <v>218</v>
      </c>
      <c r="J461" s="34" t="s">
        <v>3</v>
      </c>
      <c r="K461" s="35" t="s">
        <v>5</v>
      </c>
      <c r="L461" s="36" t="e">
        <f>VLOOKUP(G461,#REF!,4,0)</f>
        <v>#REF!</v>
      </c>
      <c r="M461" s="37" t="e">
        <f>_xlfn.IFNA(VLOOKUP(G461,#REF!,2,0),"")</f>
        <v>#REF!</v>
      </c>
      <c r="N461" s="38" t="e">
        <f>_xlfn.IFNA(VLOOKUP(G461,#REF!,3,0),"")</f>
        <v>#REF!</v>
      </c>
      <c r="O461" s="39">
        <v>5</v>
      </c>
      <c r="P461" s="79">
        <v>0.2</v>
      </c>
      <c r="Q461" s="39" t="s">
        <v>420</v>
      </c>
      <c r="R461" s="34">
        <v>1220</v>
      </c>
      <c r="S461" s="38"/>
      <c r="T461" s="40">
        <v>29.032258064516128</v>
      </c>
      <c r="U461" s="41">
        <f t="shared" si="54"/>
        <v>273.0322580645161</v>
      </c>
      <c r="V461" s="42">
        <f t="shared" si="57"/>
        <v>2.730322580645161</v>
      </c>
      <c r="W461" s="43">
        <f t="shared" si="55"/>
        <v>0.40751083293211354</v>
      </c>
      <c r="X461" s="38"/>
      <c r="Y461" s="38"/>
      <c r="Z461" s="44"/>
      <c r="AA461" s="45">
        <v>46129</v>
      </c>
      <c r="AB461" s="45">
        <v>46151</v>
      </c>
      <c r="AC461" s="45"/>
      <c r="AD461" s="46" t="e">
        <f>IF(ISNA(VLOOKUP(D461,#REF!,5,0)),0,VLOOKUP(D461,#REF!,5,0))</f>
        <v>#REF!</v>
      </c>
      <c r="AE461" s="46" t="e">
        <f t="shared" si="56"/>
        <v>#REF!</v>
      </c>
      <c r="AF461" s="45">
        <v>46163</v>
      </c>
      <c r="AG461" s="33">
        <f t="shared" si="58"/>
        <v>34</v>
      </c>
      <c r="AH461" s="45"/>
      <c r="AI461" s="39"/>
      <c r="AJ461" s="39"/>
      <c r="AK461" s="39"/>
      <c r="AL461" s="35"/>
      <c r="AM461" s="34"/>
      <c r="AN461" s="34"/>
      <c r="AO461" s="39"/>
      <c r="AP461" s="47"/>
      <c r="AQ461" s="47"/>
      <c r="AR461" s="47"/>
      <c r="AS461" s="47"/>
    </row>
    <row r="462" spans="1:45" ht="12" customHeight="1" x14ac:dyDescent="0.25">
      <c r="A462" s="33">
        <v>461</v>
      </c>
      <c r="B462" s="34"/>
      <c r="C462" s="34" t="s">
        <v>153</v>
      </c>
      <c r="D462" s="35" t="s">
        <v>616</v>
      </c>
      <c r="E462" s="34" t="s">
        <v>230</v>
      </c>
      <c r="F462" s="34" t="s">
        <v>52</v>
      </c>
      <c r="G462" s="16" t="s">
        <v>85</v>
      </c>
      <c r="H462" s="34">
        <v>84</v>
      </c>
      <c r="I462" s="34" t="s">
        <v>66</v>
      </c>
      <c r="J462" s="34" t="s">
        <v>55</v>
      </c>
      <c r="K462" s="35" t="s">
        <v>563</v>
      </c>
      <c r="L462" s="36" t="e">
        <f>VLOOKUP(G462,#REF!,4,0)</f>
        <v>#REF!</v>
      </c>
      <c r="M462" s="37" t="e">
        <f>_xlfn.IFNA(VLOOKUP(G462,#REF!,2,0),"")</f>
        <v>#REF!</v>
      </c>
      <c r="N462" s="38" t="e">
        <f>_xlfn.IFNA(VLOOKUP(G462,#REF!,3,0),"")</f>
        <v>#REF!</v>
      </c>
      <c r="O462" s="39">
        <v>7</v>
      </c>
      <c r="P462" s="79">
        <v>96.25</v>
      </c>
      <c r="Q462" s="39" t="s">
        <v>10</v>
      </c>
      <c r="R462" s="34">
        <v>5.4</v>
      </c>
      <c r="S462" s="38">
        <v>250</v>
      </c>
      <c r="T462" s="40">
        <v>44.871794871794869</v>
      </c>
      <c r="U462" s="41">
        <f t="shared" si="54"/>
        <v>564.62179487179492</v>
      </c>
      <c r="V462" s="42">
        <f t="shared" si="57"/>
        <v>6.721688034188035</v>
      </c>
      <c r="W462" s="43">
        <f t="shared" si="55"/>
        <v>1.0032370200280649</v>
      </c>
      <c r="X462" s="38"/>
      <c r="Y462" s="38"/>
      <c r="Z462" s="44"/>
      <c r="AA462" s="45">
        <v>46129</v>
      </c>
      <c r="AB462" s="45">
        <v>46168</v>
      </c>
      <c r="AC462" s="45"/>
      <c r="AD462" s="46" t="e">
        <f>IF(ISNA(VLOOKUP(D462,#REF!,5,0)),0,VLOOKUP(D462,#REF!,5,0))</f>
        <v>#REF!</v>
      </c>
      <c r="AE462" s="46" t="e">
        <f t="shared" si="56"/>
        <v>#REF!</v>
      </c>
      <c r="AF462" s="45">
        <v>46171</v>
      </c>
      <c r="AG462" s="33">
        <f t="shared" si="58"/>
        <v>42</v>
      </c>
      <c r="AH462" s="45"/>
      <c r="AI462" s="39"/>
      <c r="AJ462" s="39"/>
      <c r="AK462" s="39"/>
      <c r="AL462" s="35"/>
      <c r="AM462" s="34"/>
      <c r="AN462" s="34"/>
      <c r="AO462" s="39"/>
      <c r="AP462" s="47"/>
      <c r="AQ462" s="47"/>
      <c r="AR462" s="47"/>
      <c r="AS462" s="47"/>
    </row>
    <row r="463" spans="1:45" ht="12" customHeight="1" x14ac:dyDescent="0.25">
      <c r="A463" s="33">
        <v>462</v>
      </c>
      <c r="B463" s="34"/>
      <c r="C463" s="34" t="s">
        <v>153</v>
      </c>
      <c r="D463" s="35" t="s">
        <v>616</v>
      </c>
      <c r="E463" s="34" t="s">
        <v>230</v>
      </c>
      <c r="F463" s="34" t="s">
        <v>52</v>
      </c>
      <c r="G463" s="16" t="s">
        <v>236</v>
      </c>
      <c r="H463" s="34">
        <v>60</v>
      </c>
      <c r="I463" s="34" t="s">
        <v>66</v>
      </c>
      <c r="J463" s="34" t="s">
        <v>55</v>
      </c>
      <c r="K463" s="35" t="s">
        <v>563</v>
      </c>
      <c r="L463" s="36" t="e">
        <f>VLOOKUP(G463,#REF!,4,0)</f>
        <v>#REF!</v>
      </c>
      <c r="M463" s="37" t="e">
        <f>_xlfn.IFNA(VLOOKUP(G463,#REF!,2,0),"")</f>
        <v>#REF!</v>
      </c>
      <c r="N463" s="38" t="e">
        <f>_xlfn.IFNA(VLOOKUP(G463,#REF!,3,0),"")</f>
        <v>#REF!</v>
      </c>
      <c r="O463" s="39">
        <v>5</v>
      </c>
      <c r="P463" s="79">
        <v>68.75</v>
      </c>
      <c r="Q463" s="39" t="s">
        <v>10</v>
      </c>
      <c r="R463" s="34">
        <v>5.4</v>
      </c>
      <c r="S463" s="48">
        <v>250</v>
      </c>
      <c r="T463" s="40">
        <v>32.051282051282051</v>
      </c>
      <c r="U463" s="41">
        <f t="shared" si="54"/>
        <v>403.30128205128204</v>
      </c>
      <c r="V463" s="42">
        <f t="shared" si="57"/>
        <v>6.7216880341880341</v>
      </c>
      <c r="W463" s="43">
        <f t="shared" si="55"/>
        <v>1.0032370200280647</v>
      </c>
      <c r="X463" s="38"/>
      <c r="Y463" s="38"/>
      <c r="Z463" s="44"/>
      <c r="AA463" s="45">
        <v>46129</v>
      </c>
      <c r="AB463" s="45">
        <v>46168</v>
      </c>
      <c r="AC463" s="45"/>
      <c r="AD463" s="46" t="e">
        <f>IF(ISNA(VLOOKUP(D463,#REF!,5,0)),0,VLOOKUP(D463,#REF!,5,0))</f>
        <v>#REF!</v>
      </c>
      <c r="AE463" s="46" t="e">
        <f t="shared" si="56"/>
        <v>#REF!</v>
      </c>
      <c r="AF463" s="45">
        <v>46171</v>
      </c>
      <c r="AG463" s="33">
        <f t="shared" si="58"/>
        <v>42</v>
      </c>
      <c r="AH463" s="45"/>
      <c r="AI463" s="39"/>
      <c r="AJ463" s="39"/>
      <c r="AK463" s="39"/>
      <c r="AL463" s="35"/>
      <c r="AM463" s="34"/>
      <c r="AN463" s="34"/>
      <c r="AO463" s="39"/>
      <c r="AP463" s="47"/>
      <c r="AQ463" s="47"/>
      <c r="AR463" s="47"/>
      <c r="AS463" s="47"/>
    </row>
    <row r="464" spans="1:45" ht="12" customHeight="1" x14ac:dyDescent="0.25">
      <c r="A464" s="33">
        <v>463</v>
      </c>
      <c r="B464" s="34"/>
      <c r="C464" s="34" t="s">
        <v>153</v>
      </c>
      <c r="D464" s="35" t="s">
        <v>616</v>
      </c>
      <c r="E464" s="34" t="s">
        <v>230</v>
      </c>
      <c r="F464" s="34" t="s">
        <v>52</v>
      </c>
      <c r="G464" s="16" t="s">
        <v>86</v>
      </c>
      <c r="H464" s="34">
        <v>240</v>
      </c>
      <c r="I464" s="34" t="s">
        <v>66</v>
      </c>
      <c r="J464" s="34" t="s">
        <v>55</v>
      </c>
      <c r="K464" s="35" t="s">
        <v>563</v>
      </c>
      <c r="L464" s="36" t="e">
        <f>VLOOKUP(G464,#REF!,4,0)</f>
        <v>#REF!</v>
      </c>
      <c r="M464" s="37" t="e">
        <f>_xlfn.IFNA(VLOOKUP(G464,#REF!,2,0),"")</f>
        <v>#REF!</v>
      </c>
      <c r="N464" s="38" t="e">
        <f>_xlfn.IFNA(VLOOKUP(G464,#REF!,3,0),"")</f>
        <v>#REF!</v>
      </c>
      <c r="O464" s="39">
        <v>20</v>
      </c>
      <c r="P464" s="79">
        <v>275</v>
      </c>
      <c r="Q464" s="39" t="s">
        <v>10</v>
      </c>
      <c r="R464" s="34">
        <v>5.4</v>
      </c>
      <c r="S464" s="38"/>
      <c r="T464" s="40">
        <v>128.2051282051282</v>
      </c>
      <c r="U464" s="41">
        <f t="shared" si="54"/>
        <v>1613.2051282051282</v>
      </c>
      <c r="V464" s="42">
        <f t="shared" si="57"/>
        <v>6.7216880341880341</v>
      </c>
      <c r="W464" s="43">
        <f t="shared" si="55"/>
        <v>1.0032370200280647</v>
      </c>
      <c r="X464" s="38"/>
      <c r="Y464" s="38"/>
      <c r="Z464" s="44"/>
      <c r="AA464" s="45">
        <v>46129</v>
      </c>
      <c r="AB464" s="45">
        <v>46168</v>
      </c>
      <c r="AC464" s="45"/>
      <c r="AD464" s="46" t="e">
        <f>IF(ISNA(VLOOKUP(D464,#REF!,5,0)),0,VLOOKUP(D464,#REF!,5,0))</f>
        <v>#REF!</v>
      </c>
      <c r="AE464" s="46" t="e">
        <f t="shared" si="56"/>
        <v>#REF!</v>
      </c>
      <c r="AF464" s="45">
        <v>46171</v>
      </c>
      <c r="AG464" s="33">
        <f t="shared" si="58"/>
        <v>42</v>
      </c>
      <c r="AH464" s="45"/>
      <c r="AI464" s="39"/>
      <c r="AJ464" s="39"/>
      <c r="AK464" s="39"/>
      <c r="AL464" s="35"/>
      <c r="AM464" s="34"/>
      <c r="AN464" s="34"/>
      <c r="AO464" s="39"/>
      <c r="AP464" s="47"/>
      <c r="AQ464" s="47"/>
      <c r="AR464" s="47"/>
      <c r="AS464" s="47"/>
    </row>
    <row r="465" spans="1:45" ht="12" customHeight="1" x14ac:dyDescent="0.25">
      <c r="A465" s="33">
        <v>464</v>
      </c>
      <c r="B465" s="34"/>
      <c r="C465" s="34" t="s">
        <v>617</v>
      </c>
      <c r="D465" s="35" t="s">
        <v>618</v>
      </c>
      <c r="E465" s="34" t="s">
        <v>61</v>
      </c>
      <c r="F465" s="34" t="s">
        <v>0</v>
      </c>
      <c r="G465" s="16" t="s">
        <v>167</v>
      </c>
      <c r="H465" s="34">
        <v>72</v>
      </c>
      <c r="I465" s="34" t="s">
        <v>54</v>
      </c>
      <c r="J465" s="34" t="s">
        <v>263</v>
      </c>
      <c r="K465" s="35" t="s">
        <v>14</v>
      </c>
      <c r="L465" s="36" t="e">
        <f>VLOOKUP(G465,#REF!,4,0)</f>
        <v>#REF!</v>
      </c>
      <c r="M465" s="37" t="e">
        <f>_xlfn.IFNA(VLOOKUP(G465,#REF!,2,0),"")</f>
        <v>#REF!</v>
      </c>
      <c r="N465" s="38" t="e">
        <f>_xlfn.IFNA(VLOOKUP(G465,#REF!,3,0),"")</f>
        <v>#REF!</v>
      </c>
      <c r="O465" s="39">
        <v>18</v>
      </c>
      <c r="P465" s="79">
        <v>425</v>
      </c>
      <c r="Q465" s="39" t="s">
        <v>10</v>
      </c>
      <c r="R465" s="34">
        <v>5.7</v>
      </c>
      <c r="S465" s="38">
        <v>200</v>
      </c>
      <c r="T465" s="40">
        <v>200</v>
      </c>
      <c r="U465" s="41">
        <f t="shared" si="54"/>
        <v>2622.5</v>
      </c>
      <c r="V465" s="42">
        <f t="shared" si="57"/>
        <v>36.423611111111114</v>
      </c>
      <c r="W465" s="43">
        <f t="shared" si="55"/>
        <v>5.4363598673300171</v>
      </c>
      <c r="X465" s="38"/>
      <c r="Y465" s="38"/>
      <c r="Z465" s="44"/>
      <c r="AA465" s="45">
        <v>46129</v>
      </c>
      <c r="AB465" s="45">
        <v>46164</v>
      </c>
      <c r="AC465" s="45"/>
      <c r="AD465" s="46" t="e">
        <f>IF(ISNA(VLOOKUP(D465,#REF!,5,0)),0,VLOOKUP(D465,#REF!,5,0))</f>
        <v>#REF!</v>
      </c>
      <c r="AE465" s="46" t="e">
        <f t="shared" si="56"/>
        <v>#REF!</v>
      </c>
      <c r="AF465" s="45">
        <v>46184</v>
      </c>
      <c r="AG465" s="76">
        <f t="shared" si="58"/>
        <v>55</v>
      </c>
      <c r="AH465" s="45"/>
      <c r="AI465" s="39"/>
      <c r="AJ465" s="39"/>
      <c r="AK465" s="39"/>
      <c r="AL465" s="35"/>
      <c r="AM465" s="34"/>
      <c r="AN465" s="34"/>
      <c r="AO465" s="39"/>
      <c r="AP465" s="47"/>
      <c r="AQ465" s="47"/>
      <c r="AR465" s="47"/>
      <c r="AS465" s="47"/>
    </row>
    <row r="466" spans="1:45" ht="12" customHeight="1" x14ac:dyDescent="0.25">
      <c r="A466" s="33">
        <v>465</v>
      </c>
      <c r="B466" s="34"/>
      <c r="C466" s="34" t="s">
        <v>619</v>
      </c>
      <c r="D466" s="35" t="s">
        <v>620</v>
      </c>
      <c r="E466" s="34" t="s">
        <v>61</v>
      </c>
      <c r="F466" s="34" t="s">
        <v>0</v>
      </c>
      <c r="G466" s="16" t="s">
        <v>167</v>
      </c>
      <c r="H466" s="34">
        <v>72</v>
      </c>
      <c r="I466" s="34" t="s">
        <v>62</v>
      </c>
      <c r="J466" s="34" t="s">
        <v>3</v>
      </c>
      <c r="K466" s="35" t="s">
        <v>621</v>
      </c>
      <c r="L466" s="36" t="e">
        <f>VLOOKUP(G466,#REF!,4,0)</f>
        <v>#REF!</v>
      </c>
      <c r="M466" s="37" t="e">
        <f>_xlfn.IFNA(VLOOKUP(G466,#REF!,2,0),"")</f>
        <v>#REF!</v>
      </c>
      <c r="N466" s="38" t="e">
        <f>_xlfn.IFNA(VLOOKUP(G466,#REF!,3,0),"")</f>
        <v>#REF!</v>
      </c>
      <c r="O466" s="39">
        <v>18</v>
      </c>
      <c r="P466" s="79">
        <v>438</v>
      </c>
      <c r="Q466" s="39" t="s">
        <v>10</v>
      </c>
      <c r="R466" s="34">
        <v>5.2</v>
      </c>
      <c r="S466" s="38">
        <v>200</v>
      </c>
      <c r="T466" s="40">
        <v>100</v>
      </c>
      <c r="U466" s="41">
        <f t="shared" si="54"/>
        <v>2377.6</v>
      </c>
      <c r="V466" s="42">
        <f t="shared" si="57"/>
        <v>33.022222222222219</v>
      </c>
      <c r="W466" s="43">
        <f t="shared" si="55"/>
        <v>4.9286898839137638</v>
      </c>
      <c r="X466" s="38"/>
      <c r="Y466" s="38"/>
      <c r="Z466" s="44"/>
      <c r="AA466" s="45">
        <v>46129</v>
      </c>
      <c r="AB466" s="45">
        <v>46171</v>
      </c>
      <c r="AC466" s="45"/>
      <c r="AD466" s="46" t="e">
        <f>IF(ISNA(VLOOKUP(D466,#REF!,5,0)),0,VLOOKUP(D466,#REF!,5,0))</f>
        <v>#REF!</v>
      </c>
      <c r="AE466" s="46" t="e">
        <f t="shared" si="56"/>
        <v>#REF!</v>
      </c>
      <c r="AF466" s="45"/>
      <c r="AG466" s="76">
        <f t="shared" si="58"/>
        <v>-46129</v>
      </c>
      <c r="AH466" s="45"/>
      <c r="AI466" s="39"/>
      <c r="AJ466" s="39"/>
      <c r="AK466" s="39"/>
      <c r="AL466" s="35"/>
      <c r="AM466" s="34"/>
      <c r="AN466" s="34"/>
      <c r="AO466" s="39"/>
      <c r="AP466" s="47"/>
      <c r="AQ466" s="47"/>
      <c r="AR466" s="47"/>
      <c r="AS466" s="47"/>
    </row>
    <row r="467" spans="1:45" ht="12" customHeight="1" x14ac:dyDescent="0.25">
      <c r="A467" s="33">
        <v>466</v>
      </c>
      <c r="B467" s="34"/>
      <c r="C467" s="34" t="s">
        <v>619</v>
      </c>
      <c r="D467" s="35" t="s">
        <v>622</v>
      </c>
      <c r="E467" s="34" t="s">
        <v>61</v>
      </c>
      <c r="F467" s="34" t="s">
        <v>0</v>
      </c>
      <c r="G467" s="16" t="s">
        <v>167</v>
      </c>
      <c r="H467" s="34">
        <v>72</v>
      </c>
      <c r="I467" s="34" t="s">
        <v>62</v>
      </c>
      <c r="J467" s="34" t="s">
        <v>3</v>
      </c>
      <c r="K467" s="35" t="s">
        <v>406</v>
      </c>
      <c r="L467" s="36" t="e">
        <f>VLOOKUP(G467,#REF!,4,0)</f>
        <v>#REF!</v>
      </c>
      <c r="M467" s="37" t="e">
        <f>_xlfn.IFNA(VLOOKUP(G467,#REF!,2,0),"")</f>
        <v>#REF!</v>
      </c>
      <c r="N467" s="38" t="e">
        <f>_xlfn.IFNA(VLOOKUP(G467,#REF!,3,0),"")</f>
        <v>#REF!</v>
      </c>
      <c r="O467" s="39">
        <v>18</v>
      </c>
      <c r="P467" s="79">
        <v>438</v>
      </c>
      <c r="Q467" s="39" t="s">
        <v>10</v>
      </c>
      <c r="R467" s="34">
        <v>5</v>
      </c>
      <c r="S467" s="48">
        <v>200</v>
      </c>
      <c r="T467" s="40">
        <v>100</v>
      </c>
      <c r="U467" s="41">
        <f t="shared" si="54"/>
        <v>2290</v>
      </c>
      <c r="V467" s="42">
        <f t="shared" si="57"/>
        <v>31.805555555555557</v>
      </c>
      <c r="W467" s="43">
        <f t="shared" si="55"/>
        <v>4.74709784411277</v>
      </c>
      <c r="X467" s="38"/>
      <c r="Y467" s="38"/>
      <c r="Z467" s="44"/>
      <c r="AA467" s="45">
        <v>46129</v>
      </c>
      <c r="AB467" s="45">
        <v>46171</v>
      </c>
      <c r="AC467" s="45"/>
      <c r="AD467" s="46" t="e">
        <f>IF(ISNA(VLOOKUP(D467,#REF!,5,0)),0,VLOOKUP(D467,#REF!,5,0))</f>
        <v>#REF!</v>
      </c>
      <c r="AE467" s="46" t="e">
        <f t="shared" si="56"/>
        <v>#REF!</v>
      </c>
      <c r="AF467" s="45"/>
      <c r="AG467" s="76">
        <f t="shared" si="58"/>
        <v>-46129</v>
      </c>
      <c r="AH467" s="45"/>
      <c r="AI467" s="39"/>
      <c r="AJ467" s="39"/>
      <c r="AK467" s="39"/>
      <c r="AL467" s="35"/>
      <c r="AM467" s="34"/>
      <c r="AN467" s="34"/>
      <c r="AO467" s="39"/>
      <c r="AP467" s="47"/>
      <c r="AQ467" s="47"/>
      <c r="AR467" s="47"/>
      <c r="AS467" s="47"/>
    </row>
    <row r="468" spans="1:45" ht="12" customHeight="1" x14ac:dyDescent="0.25">
      <c r="A468" s="33">
        <v>467</v>
      </c>
      <c r="B468" s="34"/>
      <c r="C468" s="34" t="s">
        <v>623</v>
      </c>
      <c r="D468" s="35" t="s">
        <v>624</v>
      </c>
      <c r="E468" s="34" t="s">
        <v>61</v>
      </c>
      <c r="F468" s="34" t="s">
        <v>0</v>
      </c>
      <c r="G468" s="16" t="s">
        <v>167</v>
      </c>
      <c r="H468" s="34">
        <v>72</v>
      </c>
      <c r="I468" s="34" t="s">
        <v>62</v>
      </c>
      <c r="J468" s="34" t="s">
        <v>3</v>
      </c>
      <c r="K468" s="35" t="s">
        <v>625</v>
      </c>
      <c r="L468" s="36" t="e">
        <f>VLOOKUP(G468,#REF!,4,0)</f>
        <v>#REF!</v>
      </c>
      <c r="M468" s="37" t="e">
        <f>_xlfn.IFNA(VLOOKUP(G468,#REF!,2,0),"")</f>
        <v>#REF!</v>
      </c>
      <c r="N468" s="38" t="e">
        <f>_xlfn.IFNA(VLOOKUP(G468,#REF!,3,0),"")</f>
        <v>#REF!</v>
      </c>
      <c r="O468" s="39">
        <v>18</v>
      </c>
      <c r="P468" s="79">
        <v>437</v>
      </c>
      <c r="Q468" s="39" t="s">
        <v>10</v>
      </c>
      <c r="R468" s="34">
        <v>4.7</v>
      </c>
      <c r="S468" s="38">
        <v>200</v>
      </c>
      <c r="T468" s="40">
        <v>200</v>
      </c>
      <c r="U468" s="41">
        <f t="shared" si="54"/>
        <v>2253.9</v>
      </c>
      <c r="V468" s="42">
        <f t="shared" si="57"/>
        <v>31.304166666666667</v>
      </c>
      <c r="W468" s="43">
        <f t="shared" si="55"/>
        <v>4.6722636815920398</v>
      </c>
      <c r="X468" s="38"/>
      <c r="Y468" s="38"/>
      <c r="Z468" s="44"/>
      <c r="AA468" s="45">
        <v>46129</v>
      </c>
      <c r="AB468" s="45">
        <v>46169</v>
      </c>
      <c r="AC468" s="45"/>
      <c r="AD468" s="46" t="e">
        <f>IF(ISNA(VLOOKUP(D468,#REF!,5,0)),0,VLOOKUP(D468,#REF!,5,0))</f>
        <v>#REF!</v>
      </c>
      <c r="AE468" s="46" t="e">
        <f t="shared" si="56"/>
        <v>#REF!</v>
      </c>
      <c r="AF468" s="45"/>
      <c r="AG468" s="76">
        <f t="shared" si="58"/>
        <v>-46129</v>
      </c>
      <c r="AH468" s="45"/>
      <c r="AI468" s="39"/>
      <c r="AJ468" s="39"/>
      <c r="AK468" s="39"/>
      <c r="AL468" s="35"/>
      <c r="AM468" s="34"/>
      <c r="AN468" s="34"/>
      <c r="AO468" s="39"/>
      <c r="AP468" s="47"/>
      <c r="AQ468" s="47"/>
      <c r="AR468" s="47"/>
      <c r="AS468" s="47"/>
    </row>
    <row r="469" spans="1:45" ht="12" customHeight="1" x14ac:dyDescent="0.25">
      <c r="A469" s="33">
        <v>468</v>
      </c>
      <c r="B469" s="34"/>
      <c r="C469" s="34" t="s">
        <v>154</v>
      </c>
      <c r="D469" s="35" t="s">
        <v>626</v>
      </c>
      <c r="E469" s="34" t="s">
        <v>61</v>
      </c>
      <c r="F469" s="34" t="s">
        <v>0</v>
      </c>
      <c r="G469" s="16" t="s">
        <v>167</v>
      </c>
      <c r="H469" s="34">
        <v>72</v>
      </c>
      <c r="I469" s="34" t="s">
        <v>62</v>
      </c>
      <c r="J469" s="34" t="s">
        <v>3</v>
      </c>
      <c r="K469" s="35" t="s">
        <v>13</v>
      </c>
      <c r="L469" s="36" t="e">
        <f>VLOOKUP(G469,#REF!,4,0)</f>
        <v>#REF!</v>
      </c>
      <c r="M469" s="37" t="e">
        <f>_xlfn.IFNA(VLOOKUP(G469,#REF!,2,0),"")</f>
        <v>#REF!</v>
      </c>
      <c r="N469" s="38" t="e">
        <f>_xlfn.IFNA(VLOOKUP(G469,#REF!,3,0),"")</f>
        <v>#REF!</v>
      </c>
      <c r="O469" s="39">
        <v>18</v>
      </c>
      <c r="P469" s="79">
        <v>437</v>
      </c>
      <c r="Q469" s="39" t="s">
        <v>10</v>
      </c>
      <c r="R469" s="34">
        <v>5.8</v>
      </c>
      <c r="S469" s="38">
        <v>200</v>
      </c>
      <c r="T469" s="40">
        <v>29.032258064516128</v>
      </c>
      <c r="U469" s="41">
        <f t="shared" si="54"/>
        <v>2563.632258064516</v>
      </c>
      <c r="V469" s="42">
        <f t="shared" si="57"/>
        <v>35.606003584229391</v>
      </c>
      <c r="W469" s="43">
        <f t="shared" si="55"/>
        <v>5.3143288931685655</v>
      </c>
      <c r="X469" s="38"/>
      <c r="Y469" s="38"/>
      <c r="Z469" s="44"/>
      <c r="AA469" s="45">
        <v>46129</v>
      </c>
      <c r="AB469" s="45">
        <v>46150</v>
      </c>
      <c r="AC469" s="45"/>
      <c r="AD469" s="46" t="e">
        <f>IF(ISNA(VLOOKUP(D469,#REF!,5,0)),0,VLOOKUP(D469,#REF!,5,0))</f>
        <v>#REF!</v>
      </c>
      <c r="AE469" s="46" t="e">
        <f t="shared" si="56"/>
        <v>#REF!</v>
      </c>
      <c r="AF469" s="45">
        <v>46175</v>
      </c>
      <c r="AG469" s="76">
        <f t="shared" si="58"/>
        <v>46</v>
      </c>
      <c r="AH469" s="45"/>
      <c r="AI469" s="39"/>
      <c r="AJ469" s="39"/>
      <c r="AK469" s="39"/>
      <c r="AL469" s="35"/>
      <c r="AM469" s="34"/>
      <c r="AN469" s="34"/>
      <c r="AO469" s="39"/>
      <c r="AP469" s="47"/>
      <c r="AQ469" s="47"/>
      <c r="AR469" s="47"/>
      <c r="AS469" s="47"/>
    </row>
    <row r="470" spans="1:45" ht="12" customHeight="1" x14ac:dyDescent="0.25">
      <c r="A470" s="33">
        <v>469</v>
      </c>
      <c r="B470" s="34"/>
      <c r="C470" s="34" t="s">
        <v>156</v>
      </c>
      <c r="D470" s="35" t="s">
        <v>627</v>
      </c>
      <c r="E470" s="34" t="s">
        <v>71</v>
      </c>
      <c r="F470" s="34" t="s">
        <v>72</v>
      </c>
      <c r="G470" s="16" t="s">
        <v>120</v>
      </c>
      <c r="H470" s="34">
        <v>36</v>
      </c>
      <c r="I470" s="34" t="s">
        <v>54</v>
      </c>
      <c r="J470" s="34" t="s">
        <v>255</v>
      </c>
      <c r="K470" s="35" t="s">
        <v>111</v>
      </c>
      <c r="L470" s="36" t="e">
        <f>VLOOKUP(G470,#REF!,4,0)</f>
        <v>#REF!</v>
      </c>
      <c r="M470" s="37" t="e">
        <f>_xlfn.IFNA(VLOOKUP(G470,#REF!,2,0),"")</f>
        <v>#REF!</v>
      </c>
      <c r="N470" s="38" t="e">
        <f>_xlfn.IFNA(VLOOKUP(G470,#REF!,3,0),"")</f>
        <v>#REF!</v>
      </c>
      <c r="O470" s="39">
        <v>1</v>
      </c>
      <c r="P470" s="79">
        <v>22</v>
      </c>
      <c r="Q470" s="39" t="s">
        <v>10</v>
      </c>
      <c r="R470" s="34">
        <v>4.4000000000000004</v>
      </c>
      <c r="S470" s="38">
        <v>550</v>
      </c>
      <c r="T470" s="40">
        <v>45.833333333333336</v>
      </c>
      <c r="U470" s="41">
        <f t="shared" si="54"/>
        <v>142.63333333333335</v>
      </c>
      <c r="V470" s="42">
        <f t="shared" si="57"/>
        <v>3.9620370370370375</v>
      </c>
      <c r="W470" s="43">
        <f t="shared" si="55"/>
        <v>0.59134881149806529</v>
      </c>
      <c r="X470" s="38"/>
      <c r="Y470" s="38"/>
      <c r="Z470" s="44"/>
      <c r="AA470" s="45">
        <v>46129</v>
      </c>
      <c r="AB470" s="45">
        <v>46168</v>
      </c>
      <c r="AC470" s="45"/>
      <c r="AD470" s="46" t="e">
        <f>IF(ISNA(VLOOKUP(D470,#REF!,5,0)),0,VLOOKUP(D470,#REF!,5,0))</f>
        <v>#REF!</v>
      </c>
      <c r="AE470" s="46" t="e">
        <f t="shared" si="56"/>
        <v>#REF!</v>
      </c>
      <c r="AF470" s="45">
        <v>46177</v>
      </c>
      <c r="AG470" s="76">
        <f t="shared" si="58"/>
        <v>48</v>
      </c>
      <c r="AH470" s="45"/>
      <c r="AI470" s="39"/>
      <c r="AJ470" s="39"/>
      <c r="AK470" s="39"/>
      <c r="AL470" s="35"/>
      <c r="AM470" s="34"/>
      <c r="AN470" s="34"/>
      <c r="AO470" s="39"/>
      <c r="AP470" s="47"/>
      <c r="AQ470" s="47"/>
      <c r="AR470" s="47"/>
      <c r="AS470" s="47"/>
    </row>
    <row r="471" spans="1:45" ht="12" customHeight="1" x14ac:dyDescent="0.25">
      <c r="A471" s="33">
        <v>470</v>
      </c>
      <c r="B471" s="34"/>
      <c r="C471" s="34" t="s">
        <v>157</v>
      </c>
      <c r="D471" s="35" t="s">
        <v>636</v>
      </c>
      <c r="E471" s="34" t="s">
        <v>194</v>
      </c>
      <c r="F471" s="34" t="s">
        <v>195</v>
      </c>
      <c r="G471" s="16" t="s">
        <v>64</v>
      </c>
      <c r="H471" s="34">
        <v>280</v>
      </c>
      <c r="I471" s="34" t="s">
        <v>66</v>
      </c>
      <c r="J471" s="34" t="s">
        <v>234</v>
      </c>
      <c r="K471" s="35" t="s">
        <v>454</v>
      </c>
      <c r="L471" s="36" t="e">
        <f>VLOOKUP(G471,#REF!,4,0)</f>
        <v>#REF!</v>
      </c>
      <c r="M471" s="37" t="e">
        <f>_xlfn.IFNA(VLOOKUP(G471,#REF!,2,0),"")</f>
        <v>#REF!</v>
      </c>
      <c r="N471" s="38" t="e">
        <f>_xlfn.IFNA(VLOOKUP(G471,#REF!,3,0),"")</f>
        <v>#REF!</v>
      </c>
      <c r="O471" s="39">
        <v>7</v>
      </c>
      <c r="P471" s="79">
        <v>101.0625</v>
      </c>
      <c r="Q471" s="39" t="s">
        <v>10</v>
      </c>
      <c r="R471" s="34">
        <v>7.2</v>
      </c>
      <c r="S471" s="38">
        <v>250</v>
      </c>
      <c r="T471" s="40">
        <v>109.375</v>
      </c>
      <c r="U471" s="41">
        <f t="shared" ref="U471:U512" si="59">R471*P471+T471</f>
        <v>837.02499999999998</v>
      </c>
      <c r="V471" s="42">
        <f t="shared" ref="V471:V512" si="60">U471/H471</f>
        <v>2.9893749999999999</v>
      </c>
      <c r="W471" s="43">
        <f t="shared" ref="W471:W512" si="61">V471/6.7</f>
        <v>0.44617537313432831</v>
      </c>
      <c r="X471" s="38"/>
      <c r="Y471" s="38"/>
      <c r="Z471" s="44"/>
      <c r="AA471" s="45">
        <v>46136</v>
      </c>
      <c r="AB471" s="45">
        <v>46181</v>
      </c>
      <c r="AC471" s="45"/>
      <c r="AD471" s="46" t="e">
        <f>IF(ISNA(VLOOKUP(D471,#REF!,5,0)),0,VLOOKUP(D471,#REF!,5,0))</f>
        <v>#REF!</v>
      </c>
      <c r="AE471" s="46" t="e">
        <f t="shared" ref="AE471:AE534" si="62">AD471*H471</f>
        <v>#REF!</v>
      </c>
      <c r="AF471" s="45"/>
      <c r="AG471" s="76">
        <f t="shared" si="58"/>
        <v>-46136</v>
      </c>
      <c r="AH471" s="45"/>
      <c r="AI471" s="39"/>
      <c r="AJ471" s="39"/>
      <c r="AK471" s="39"/>
      <c r="AL471" s="35"/>
      <c r="AM471" s="34"/>
      <c r="AN471" s="34"/>
      <c r="AO471" s="39"/>
      <c r="AP471" s="47"/>
      <c r="AQ471" s="47"/>
      <c r="AR471" s="47"/>
      <c r="AS471" s="47"/>
    </row>
    <row r="472" spans="1:45" ht="12" customHeight="1" x14ac:dyDescent="0.25">
      <c r="A472" s="33">
        <v>471</v>
      </c>
      <c r="B472" s="34"/>
      <c r="C472" s="34" t="s">
        <v>157</v>
      </c>
      <c r="D472" s="35" t="s">
        <v>636</v>
      </c>
      <c r="E472" s="34" t="s">
        <v>194</v>
      </c>
      <c r="F472" s="34" t="s">
        <v>195</v>
      </c>
      <c r="G472" s="16" t="s">
        <v>98</v>
      </c>
      <c r="H472" s="34">
        <v>80</v>
      </c>
      <c r="I472" s="34" t="s">
        <v>66</v>
      </c>
      <c r="J472" s="34" t="s">
        <v>234</v>
      </c>
      <c r="K472" s="35" t="s">
        <v>454</v>
      </c>
      <c r="L472" s="36" t="e">
        <f>VLOOKUP(G472,#REF!,4,0)</f>
        <v>#REF!</v>
      </c>
      <c r="M472" s="37" t="e">
        <f>_xlfn.IFNA(VLOOKUP(G472,#REF!,2,0),"")</f>
        <v>#REF!</v>
      </c>
      <c r="N472" s="38" t="e">
        <f>_xlfn.IFNA(VLOOKUP(G472,#REF!,3,0),"")</f>
        <v>#REF!</v>
      </c>
      <c r="O472" s="39">
        <v>2</v>
      </c>
      <c r="P472" s="79">
        <v>28.875</v>
      </c>
      <c r="Q472" s="39" t="s">
        <v>10</v>
      </c>
      <c r="R472" s="34">
        <v>7.2</v>
      </c>
      <c r="S472" s="48">
        <v>250</v>
      </c>
      <c r="T472" s="40">
        <v>31.25</v>
      </c>
      <c r="U472" s="41">
        <f t="shared" si="59"/>
        <v>239.15</v>
      </c>
      <c r="V472" s="42">
        <f t="shared" si="60"/>
        <v>2.9893749999999999</v>
      </c>
      <c r="W472" s="43">
        <f t="shared" si="61"/>
        <v>0.44617537313432831</v>
      </c>
      <c r="X472" s="38"/>
      <c r="Y472" s="38"/>
      <c r="Z472" s="44"/>
      <c r="AA472" s="45">
        <v>46136</v>
      </c>
      <c r="AB472" s="45">
        <v>46181</v>
      </c>
      <c r="AC472" s="45"/>
      <c r="AD472" s="46" t="e">
        <f>IF(ISNA(VLOOKUP(D472,#REF!,5,0)),0,VLOOKUP(D472,#REF!,5,0))</f>
        <v>#REF!</v>
      </c>
      <c r="AE472" s="46" t="e">
        <f t="shared" si="62"/>
        <v>#REF!</v>
      </c>
      <c r="AF472" s="45"/>
      <c r="AG472" s="76">
        <f t="shared" si="58"/>
        <v>-46136</v>
      </c>
      <c r="AH472" s="45"/>
      <c r="AI472" s="39"/>
      <c r="AJ472" s="39"/>
      <c r="AK472" s="39"/>
      <c r="AL472" s="35"/>
      <c r="AM472" s="34"/>
      <c r="AN472" s="34"/>
      <c r="AO472" s="39"/>
      <c r="AP472" s="47"/>
      <c r="AQ472" s="47"/>
      <c r="AR472" s="47"/>
      <c r="AS472" s="47"/>
    </row>
    <row r="473" spans="1:45" ht="12" customHeight="1" x14ac:dyDescent="0.25">
      <c r="A473" s="33">
        <v>472</v>
      </c>
      <c r="B473" s="34"/>
      <c r="C473" s="34" t="s">
        <v>157</v>
      </c>
      <c r="D473" s="35" t="s">
        <v>636</v>
      </c>
      <c r="E473" s="34" t="s">
        <v>194</v>
      </c>
      <c r="F473" s="34" t="s">
        <v>195</v>
      </c>
      <c r="G473" s="16" t="s">
        <v>251</v>
      </c>
      <c r="H473" s="34">
        <v>120</v>
      </c>
      <c r="I473" s="34" t="s">
        <v>66</v>
      </c>
      <c r="J473" s="34" t="s">
        <v>234</v>
      </c>
      <c r="K473" s="35" t="s">
        <v>454</v>
      </c>
      <c r="L473" s="36" t="e">
        <f>VLOOKUP(G473,#REF!,4,0)</f>
        <v>#REF!</v>
      </c>
      <c r="M473" s="37" t="e">
        <f>_xlfn.IFNA(VLOOKUP(G473,#REF!,2,0),"")</f>
        <v>#REF!</v>
      </c>
      <c r="N473" s="38" t="e">
        <f>_xlfn.IFNA(VLOOKUP(G473,#REF!,3,0),"")</f>
        <v>#REF!</v>
      </c>
      <c r="O473" s="39">
        <v>4</v>
      </c>
      <c r="P473" s="79">
        <v>57.75</v>
      </c>
      <c r="Q473" s="39" t="s">
        <v>10</v>
      </c>
      <c r="R473" s="34">
        <v>7.2</v>
      </c>
      <c r="S473" s="38"/>
      <c r="T473" s="40">
        <v>62.5</v>
      </c>
      <c r="U473" s="41">
        <f t="shared" si="59"/>
        <v>478.3</v>
      </c>
      <c r="V473" s="42">
        <f t="shared" si="60"/>
        <v>3.9858333333333333</v>
      </c>
      <c r="W473" s="43">
        <f t="shared" si="61"/>
        <v>0.59490049751243779</v>
      </c>
      <c r="X473" s="38"/>
      <c r="Y473" s="38"/>
      <c r="Z473" s="44"/>
      <c r="AA473" s="45">
        <v>46136</v>
      </c>
      <c r="AB473" s="45">
        <v>46181</v>
      </c>
      <c r="AC473" s="45"/>
      <c r="AD473" s="46" t="e">
        <f>IF(ISNA(VLOOKUP(D473,#REF!,5,0)),0,VLOOKUP(D473,#REF!,5,0))</f>
        <v>#REF!</v>
      </c>
      <c r="AE473" s="46" t="e">
        <f t="shared" si="62"/>
        <v>#REF!</v>
      </c>
      <c r="AF473" s="45"/>
      <c r="AG473" s="76">
        <f t="shared" si="58"/>
        <v>-46136</v>
      </c>
      <c r="AH473" s="45"/>
      <c r="AI473" s="39"/>
      <c r="AJ473" s="39"/>
      <c r="AK473" s="39"/>
      <c r="AL473" s="35"/>
      <c r="AM473" s="34"/>
      <c r="AN473" s="34"/>
      <c r="AO473" s="39"/>
      <c r="AP473" s="47"/>
      <c r="AQ473" s="47"/>
      <c r="AR473" s="47"/>
      <c r="AS473" s="47"/>
    </row>
    <row r="474" spans="1:45" ht="12" customHeight="1" x14ac:dyDescent="0.25">
      <c r="A474" s="33">
        <v>473</v>
      </c>
      <c r="B474" s="34"/>
      <c r="C474" s="34" t="s">
        <v>157</v>
      </c>
      <c r="D474" s="35" t="s">
        <v>636</v>
      </c>
      <c r="E474" s="34" t="s">
        <v>194</v>
      </c>
      <c r="F474" s="34" t="s">
        <v>195</v>
      </c>
      <c r="G474" s="16" t="s">
        <v>252</v>
      </c>
      <c r="H474" s="34">
        <v>90</v>
      </c>
      <c r="I474" s="34" t="s">
        <v>66</v>
      </c>
      <c r="J474" s="34" t="s">
        <v>234</v>
      </c>
      <c r="K474" s="35" t="s">
        <v>454</v>
      </c>
      <c r="L474" s="36" t="e">
        <f>VLOOKUP(G474,#REF!,4,0)</f>
        <v>#REF!</v>
      </c>
      <c r="M474" s="37" t="e">
        <f>_xlfn.IFNA(VLOOKUP(G474,#REF!,2,0),"")</f>
        <v>#REF!</v>
      </c>
      <c r="N474" s="38" t="e">
        <f>_xlfn.IFNA(VLOOKUP(G474,#REF!,3,0),"")</f>
        <v>#REF!</v>
      </c>
      <c r="O474" s="39">
        <v>3</v>
      </c>
      <c r="P474" s="79">
        <v>43.3125</v>
      </c>
      <c r="Q474" s="39" t="s">
        <v>10</v>
      </c>
      <c r="R474" s="34">
        <v>7.2</v>
      </c>
      <c r="S474" s="38"/>
      <c r="T474" s="40">
        <v>46.875</v>
      </c>
      <c r="U474" s="41">
        <f t="shared" si="59"/>
        <v>358.72500000000002</v>
      </c>
      <c r="V474" s="42">
        <f t="shared" si="60"/>
        <v>3.9858333333333338</v>
      </c>
      <c r="W474" s="43">
        <f t="shared" si="61"/>
        <v>0.5949004975124379</v>
      </c>
      <c r="X474" s="38"/>
      <c r="Y474" s="38"/>
      <c r="Z474" s="44"/>
      <c r="AA474" s="45">
        <v>46136</v>
      </c>
      <c r="AB474" s="45">
        <v>46181</v>
      </c>
      <c r="AC474" s="45"/>
      <c r="AD474" s="46" t="e">
        <f>IF(ISNA(VLOOKUP(D474,#REF!,5,0)),0,VLOOKUP(D474,#REF!,5,0))</f>
        <v>#REF!</v>
      </c>
      <c r="AE474" s="46" t="e">
        <f t="shared" si="62"/>
        <v>#REF!</v>
      </c>
      <c r="AF474" s="45"/>
      <c r="AG474" s="76">
        <f t="shared" si="58"/>
        <v>-46136</v>
      </c>
      <c r="AH474" s="45"/>
      <c r="AI474" s="39"/>
      <c r="AJ474" s="39"/>
      <c r="AK474" s="39"/>
      <c r="AL474" s="35"/>
      <c r="AM474" s="34"/>
      <c r="AN474" s="34"/>
      <c r="AO474" s="39"/>
      <c r="AP474" s="47"/>
      <c r="AQ474" s="47"/>
      <c r="AR474" s="47"/>
      <c r="AS474" s="47"/>
    </row>
    <row r="475" spans="1:45" ht="12" customHeight="1" x14ac:dyDescent="0.25">
      <c r="A475" s="33">
        <v>474</v>
      </c>
      <c r="B475" s="34"/>
      <c r="C475" s="34" t="s">
        <v>165</v>
      </c>
      <c r="D475" s="35" t="s">
        <v>637</v>
      </c>
      <c r="E475" s="34" t="s">
        <v>273</v>
      </c>
      <c r="F475" s="34" t="s">
        <v>178</v>
      </c>
      <c r="G475" s="16" t="s">
        <v>158</v>
      </c>
      <c r="H475" s="34">
        <v>90</v>
      </c>
      <c r="I475" s="34" t="s">
        <v>179</v>
      </c>
      <c r="J475" s="34" t="s">
        <v>235</v>
      </c>
      <c r="K475" s="35" t="s">
        <v>180</v>
      </c>
      <c r="L475" s="36" t="e">
        <f>VLOOKUP(G475,#REF!,4,0)</f>
        <v>#REF!</v>
      </c>
      <c r="M475" s="37" t="e">
        <f>_xlfn.IFNA(VLOOKUP(G475,#REF!,2,0),"")</f>
        <v>#REF!</v>
      </c>
      <c r="N475" s="38" t="e">
        <f>_xlfn.IFNA(VLOOKUP(G475,#REF!,3,0),"")</f>
        <v>#REF!</v>
      </c>
      <c r="O475" s="39">
        <v>3</v>
      </c>
      <c r="P475" s="79">
        <v>44.53846153846154</v>
      </c>
      <c r="Q475" s="39" t="s">
        <v>10</v>
      </c>
      <c r="R475" s="34">
        <v>8</v>
      </c>
      <c r="S475" s="38">
        <v>350</v>
      </c>
      <c r="T475" s="40">
        <v>80.769230769230774</v>
      </c>
      <c r="U475" s="41">
        <f t="shared" si="59"/>
        <v>437.07692307692309</v>
      </c>
      <c r="V475" s="42">
        <f t="shared" si="60"/>
        <v>4.8564102564102569</v>
      </c>
      <c r="W475" s="43">
        <f t="shared" si="61"/>
        <v>0.72483735170302344</v>
      </c>
      <c r="X475" s="38"/>
      <c r="Y475" s="38"/>
      <c r="Z475" s="44"/>
      <c r="AA475" s="45">
        <v>46136</v>
      </c>
      <c r="AB475" s="45">
        <v>46153</v>
      </c>
      <c r="AC475" s="45"/>
      <c r="AD475" s="46" t="e">
        <f>IF(ISNA(VLOOKUP(D475,#REF!,5,0)),0,VLOOKUP(D475,#REF!,5,0))</f>
        <v>#REF!</v>
      </c>
      <c r="AE475" s="46" t="e">
        <f t="shared" si="62"/>
        <v>#REF!</v>
      </c>
      <c r="AF475" s="45">
        <v>46181</v>
      </c>
      <c r="AG475" s="76">
        <f t="shared" si="58"/>
        <v>45</v>
      </c>
      <c r="AH475" s="45"/>
      <c r="AI475" s="39"/>
      <c r="AJ475" s="39"/>
      <c r="AK475" s="39"/>
      <c r="AL475" s="35"/>
      <c r="AM475" s="34"/>
      <c r="AN475" s="34"/>
      <c r="AO475" s="39"/>
      <c r="AP475" s="47"/>
      <c r="AQ475" s="47"/>
      <c r="AR475" s="47"/>
      <c r="AS475" s="47"/>
    </row>
    <row r="476" spans="1:45" ht="12" customHeight="1" x14ac:dyDescent="0.25">
      <c r="A476" s="33">
        <v>475</v>
      </c>
      <c r="B476" s="34"/>
      <c r="C476" s="34" t="s">
        <v>165</v>
      </c>
      <c r="D476" s="35" t="s">
        <v>637</v>
      </c>
      <c r="E476" s="34" t="s">
        <v>273</v>
      </c>
      <c r="F476" s="34" t="s">
        <v>178</v>
      </c>
      <c r="G476" s="16" t="s">
        <v>161</v>
      </c>
      <c r="H476" s="34">
        <v>30</v>
      </c>
      <c r="I476" s="34" t="s">
        <v>179</v>
      </c>
      <c r="J476" s="34" t="s">
        <v>235</v>
      </c>
      <c r="K476" s="35" t="s">
        <v>180</v>
      </c>
      <c r="L476" s="36" t="e">
        <f>VLOOKUP(G476,#REF!,4,0)</f>
        <v>#REF!</v>
      </c>
      <c r="M476" s="37" t="e">
        <f>_xlfn.IFNA(VLOOKUP(G476,#REF!,2,0),"")</f>
        <v>#REF!</v>
      </c>
      <c r="N476" s="38" t="e">
        <f>_xlfn.IFNA(VLOOKUP(G476,#REF!,3,0),"")</f>
        <v>#REF!</v>
      </c>
      <c r="O476" s="39">
        <v>1</v>
      </c>
      <c r="P476" s="79">
        <v>14.846153846153847</v>
      </c>
      <c r="Q476" s="39" t="s">
        <v>10</v>
      </c>
      <c r="R476" s="34">
        <v>8</v>
      </c>
      <c r="S476" s="48">
        <v>350</v>
      </c>
      <c r="T476" s="40">
        <v>26.923076923076923</v>
      </c>
      <c r="U476" s="41">
        <f t="shared" si="59"/>
        <v>145.69230769230771</v>
      </c>
      <c r="V476" s="42">
        <f t="shared" si="60"/>
        <v>4.8564102564102569</v>
      </c>
      <c r="W476" s="43">
        <f t="shared" si="61"/>
        <v>0.72483735170302344</v>
      </c>
      <c r="X476" s="38"/>
      <c r="Y476" s="38"/>
      <c r="Z476" s="44"/>
      <c r="AA476" s="45">
        <v>46136</v>
      </c>
      <c r="AB476" s="45">
        <v>46153</v>
      </c>
      <c r="AC476" s="45"/>
      <c r="AD476" s="46" t="e">
        <f>IF(ISNA(VLOOKUP(D476,#REF!,5,0)),0,VLOOKUP(D476,#REF!,5,0))</f>
        <v>#REF!</v>
      </c>
      <c r="AE476" s="46" t="e">
        <f t="shared" si="62"/>
        <v>#REF!</v>
      </c>
      <c r="AF476" s="45">
        <v>46181</v>
      </c>
      <c r="AG476" s="76">
        <f t="shared" si="58"/>
        <v>45</v>
      </c>
      <c r="AH476" s="45"/>
      <c r="AI476" s="39"/>
      <c r="AJ476" s="39"/>
      <c r="AK476" s="39"/>
      <c r="AL476" s="35"/>
      <c r="AM476" s="34"/>
      <c r="AN476" s="34"/>
      <c r="AO476" s="39"/>
      <c r="AP476" s="47"/>
      <c r="AQ476" s="47"/>
      <c r="AR476" s="47"/>
      <c r="AS476" s="47"/>
    </row>
    <row r="477" spans="1:45" ht="12" customHeight="1" x14ac:dyDescent="0.25">
      <c r="A477" s="33">
        <v>476</v>
      </c>
      <c r="B477" s="34"/>
      <c r="C477" s="34" t="s">
        <v>165</v>
      </c>
      <c r="D477" s="35" t="s">
        <v>637</v>
      </c>
      <c r="E477" s="34" t="s">
        <v>273</v>
      </c>
      <c r="F477" s="34" t="s">
        <v>178</v>
      </c>
      <c r="G477" s="16" t="s">
        <v>69</v>
      </c>
      <c r="H477" s="34">
        <v>60</v>
      </c>
      <c r="I477" s="34" t="s">
        <v>179</v>
      </c>
      <c r="J477" s="34" t="s">
        <v>235</v>
      </c>
      <c r="K477" s="35" t="s">
        <v>180</v>
      </c>
      <c r="L477" s="36" t="e">
        <f>VLOOKUP(G477,#REF!,4,0)</f>
        <v>#REF!</v>
      </c>
      <c r="M477" s="37" t="e">
        <f>_xlfn.IFNA(VLOOKUP(G477,#REF!,2,0),"")</f>
        <v>#REF!</v>
      </c>
      <c r="N477" s="38" t="e">
        <f>_xlfn.IFNA(VLOOKUP(G477,#REF!,3,0),"")</f>
        <v>#REF!</v>
      </c>
      <c r="O477" s="39">
        <v>2</v>
      </c>
      <c r="P477" s="79">
        <v>29.692307692307693</v>
      </c>
      <c r="Q477" s="39" t="s">
        <v>10</v>
      </c>
      <c r="R477" s="34">
        <v>8</v>
      </c>
      <c r="S477" s="38"/>
      <c r="T477" s="40">
        <v>53.846153846153847</v>
      </c>
      <c r="U477" s="41">
        <f t="shared" si="59"/>
        <v>291.38461538461542</v>
      </c>
      <c r="V477" s="42">
        <f t="shared" si="60"/>
        <v>4.8564102564102569</v>
      </c>
      <c r="W477" s="43">
        <f t="shared" si="61"/>
        <v>0.72483735170302344</v>
      </c>
      <c r="X477" s="38"/>
      <c r="Y477" s="38"/>
      <c r="Z477" s="44"/>
      <c r="AA477" s="45">
        <v>46136</v>
      </c>
      <c r="AB477" s="45">
        <v>46153</v>
      </c>
      <c r="AC477" s="45"/>
      <c r="AD477" s="46" t="e">
        <f>IF(ISNA(VLOOKUP(D477,#REF!,5,0)),0,VLOOKUP(D477,#REF!,5,0))</f>
        <v>#REF!</v>
      </c>
      <c r="AE477" s="46" t="e">
        <f t="shared" si="62"/>
        <v>#REF!</v>
      </c>
      <c r="AF477" s="45">
        <v>46181</v>
      </c>
      <c r="AG477" s="76">
        <f t="shared" si="58"/>
        <v>45</v>
      </c>
      <c r="AH477" s="45"/>
      <c r="AI477" s="39"/>
      <c r="AJ477" s="39"/>
      <c r="AK477" s="39"/>
      <c r="AL477" s="35"/>
      <c r="AM477" s="34"/>
      <c r="AN477" s="34"/>
      <c r="AO477" s="39"/>
      <c r="AP477" s="47"/>
      <c r="AQ477" s="47"/>
      <c r="AR477" s="47"/>
      <c r="AS477" s="47"/>
    </row>
    <row r="478" spans="1:45" ht="12" customHeight="1" x14ac:dyDescent="0.25">
      <c r="A478" s="33">
        <v>477</v>
      </c>
      <c r="B478" s="34"/>
      <c r="C478" s="34" t="s">
        <v>165</v>
      </c>
      <c r="D478" s="35" t="s">
        <v>637</v>
      </c>
      <c r="E478" s="34" t="s">
        <v>273</v>
      </c>
      <c r="F478" s="34" t="s">
        <v>178</v>
      </c>
      <c r="G478" s="16" t="s">
        <v>251</v>
      </c>
      <c r="H478" s="34">
        <v>120</v>
      </c>
      <c r="I478" s="34" t="s">
        <v>179</v>
      </c>
      <c r="J478" s="34" t="s">
        <v>235</v>
      </c>
      <c r="K478" s="35" t="s">
        <v>180</v>
      </c>
      <c r="L478" s="36" t="e">
        <f>VLOOKUP(G478,#REF!,4,0)</f>
        <v>#REF!</v>
      </c>
      <c r="M478" s="37" t="e">
        <f>_xlfn.IFNA(VLOOKUP(G478,#REF!,2,0),"")</f>
        <v>#REF!</v>
      </c>
      <c r="N478" s="38" t="e">
        <f>_xlfn.IFNA(VLOOKUP(G478,#REF!,3,0),"")</f>
        <v>#REF!</v>
      </c>
      <c r="O478" s="39">
        <v>4</v>
      </c>
      <c r="P478" s="79">
        <v>59.384615384615387</v>
      </c>
      <c r="Q478" s="39" t="s">
        <v>10</v>
      </c>
      <c r="R478" s="34">
        <v>8</v>
      </c>
      <c r="S478" s="38"/>
      <c r="T478" s="40">
        <v>107.69230769230769</v>
      </c>
      <c r="U478" s="41">
        <f t="shared" si="59"/>
        <v>582.76923076923083</v>
      </c>
      <c r="V478" s="42">
        <f t="shared" si="60"/>
        <v>4.8564102564102569</v>
      </c>
      <c r="W478" s="43">
        <f t="shared" si="61"/>
        <v>0.72483735170302344</v>
      </c>
      <c r="X478" s="38"/>
      <c r="Y478" s="38"/>
      <c r="Z478" s="44"/>
      <c r="AA478" s="45">
        <v>46136</v>
      </c>
      <c r="AB478" s="45">
        <v>46153</v>
      </c>
      <c r="AC478" s="45"/>
      <c r="AD478" s="46" t="e">
        <f>IF(ISNA(VLOOKUP(D478,#REF!,5,0)),0,VLOOKUP(D478,#REF!,5,0))</f>
        <v>#REF!</v>
      </c>
      <c r="AE478" s="46" t="e">
        <f t="shared" si="62"/>
        <v>#REF!</v>
      </c>
      <c r="AF478" s="45">
        <v>46181</v>
      </c>
      <c r="AG478" s="76">
        <f t="shared" si="58"/>
        <v>45</v>
      </c>
      <c r="AH478" s="45"/>
      <c r="AI478" s="39"/>
      <c r="AJ478" s="39"/>
      <c r="AK478" s="39"/>
      <c r="AL478" s="35"/>
      <c r="AM478" s="34"/>
      <c r="AN478" s="34"/>
      <c r="AO478" s="39"/>
      <c r="AP478" s="47"/>
      <c r="AQ478" s="47"/>
      <c r="AR478" s="47"/>
      <c r="AS478" s="47"/>
    </row>
    <row r="479" spans="1:45" ht="12" customHeight="1" x14ac:dyDescent="0.25">
      <c r="A479" s="33">
        <v>478</v>
      </c>
      <c r="B479" s="34"/>
      <c r="C479" s="34" t="s">
        <v>165</v>
      </c>
      <c r="D479" s="35" t="s">
        <v>637</v>
      </c>
      <c r="E479" s="34" t="s">
        <v>273</v>
      </c>
      <c r="F479" s="34" t="s">
        <v>178</v>
      </c>
      <c r="G479" s="16" t="s">
        <v>252</v>
      </c>
      <c r="H479" s="34">
        <v>90</v>
      </c>
      <c r="I479" s="34" t="s">
        <v>179</v>
      </c>
      <c r="J479" s="34" t="s">
        <v>235</v>
      </c>
      <c r="K479" s="35" t="s">
        <v>180</v>
      </c>
      <c r="L479" s="36" t="e">
        <f>VLOOKUP(G479,#REF!,4,0)</f>
        <v>#REF!</v>
      </c>
      <c r="M479" s="37" t="e">
        <f>_xlfn.IFNA(VLOOKUP(G479,#REF!,2,0),"")</f>
        <v>#REF!</v>
      </c>
      <c r="N479" s="38" t="e">
        <f>_xlfn.IFNA(VLOOKUP(G479,#REF!,3,0),"")</f>
        <v>#REF!</v>
      </c>
      <c r="O479" s="39">
        <v>3</v>
      </c>
      <c r="P479" s="79">
        <v>44.53846153846154</v>
      </c>
      <c r="Q479" s="39" t="s">
        <v>10</v>
      </c>
      <c r="R479" s="34">
        <v>8</v>
      </c>
      <c r="S479" s="38"/>
      <c r="T479" s="40">
        <v>80.769230769230774</v>
      </c>
      <c r="U479" s="41">
        <f t="shared" si="59"/>
        <v>437.07692307692309</v>
      </c>
      <c r="V479" s="42">
        <f t="shared" si="60"/>
        <v>4.8564102564102569</v>
      </c>
      <c r="W479" s="43">
        <f t="shared" si="61"/>
        <v>0.72483735170302344</v>
      </c>
      <c r="X479" s="38"/>
      <c r="Y479" s="38"/>
      <c r="Z479" s="44"/>
      <c r="AA479" s="45">
        <v>46136</v>
      </c>
      <c r="AB479" s="45">
        <v>46153</v>
      </c>
      <c r="AC479" s="45"/>
      <c r="AD479" s="46" t="e">
        <f>IF(ISNA(VLOOKUP(D479,#REF!,5,0)),0,VLOOKUP(D479,#REF!,5,0))</f>
        <v>#REF!</v>
      </c>
      <c r="AE479" s="46" t="e">
        <f t="shared" si="62"/>
        <v>#REF!</v>
      </c>
      <c r="AF479" s="45">
        <v>46181</v>
      </c>
      <c r="AG479" s="76">
        <f t="shared" si="58"/>
        <v>45</v>
      </c>
      <c r="AH479" s="45"/>
      <c r="AI479" s="39"/>
      <c r="AJ479" s="39"/>
      <c r="AK479" s="39"/>
      <c r="AL479" s="35"/>
      <c r="AM479" s="34"/>
      <c r="AN479" s="34"/>
      <c r="AO479" s="39"/>
      <c r="AP479" s="47"/>
      <c r="AQ479" s="47"/>
      <c r="AR479" s="47"/>
      <c r="AS479" s="47"/>
    </row>
    <row r="480" spans="1:45" ht="12" customHeight="1" x14ac:dyDescent="0.25">
      <c r="A480" s="33">
        <v>479</v>
      </c>
      <c r="B480" s="34"/>
      <c r="C480" s="34" t="s">
        <v>638</v>
      </c>
      <c r="D480" s="35" t="s">
        <v>639</v>
      </c>
      <c r="E480" s="34" t="s">
        <v>61</v>
      </c>
      <c r="F480" s="34" t="s">
        <v>0</v>
      </c>
      <c r="G480" s="16" t="s">
        <v>242</v>
      </c>
      <c r="H480" s="34">
        <v>1200</v>
      </c>
      <c r="I480" s="34" t="s">
        <v>62</v>
      </c>
      <c r="J480" s="34" t="s">
        <v>3</v>
      </c>
      <c r="K480" s="35" t="s">
        <v>4</v>
      </c>
      <c r="L480" s="36" t="e">
        <f>VLOOKUP(G480,#REF!,4,0)</f>
        <v>#REF!</v>
      </c>
      <c r="M480" s="37" t="e">
        <f>_xlfn.IFNA(VLOOKUP(G480,#REF!,2,0),"")</f>
        <v>#REF!</v>
      </c>
      <c r="N480" s="38" t="e">
        <f>_xlfn.IFNA(VLOOKUP(G480,#REF!,3,0),"")</f>
        <v>#REF!</v>
      </c>
      <c r="O480" s="39">
        <v>30</v>
      </c>
      <c r="P480" s="79">
        <v>402.85714285714289</v>
      </c>
      <c r="Q480" s="39" t="s">
        <v>10</v>
      </c>
      <c r="R480" s="34">
        <v>3.8</v>
      </c>
      <c r="S480" s="38">
        <v>200</v>
      </c>
      <c r="T480" s="40">
        <v>34.482758620689658</v>
      </c>
      <c r="U480" s="41">
        <f t="shared" si="59"/>
        <v>1565.3399014778327</v>
      </c>
      <c r="V480" s="42">
        <f t="shared" si="60"/>
        <v>1.3044499178981939</v>
      </c>
      <c r="W480" s="43">
        <f t="shared" si="61"/>
        <v>0.19469401759674534</v>
      </c>
      <c r="X480" s="38"/>
      <c r="Y480" s="38"/>
      <c r="Z480" s="44"/>
      <c r="AA480" s="45">
        <v>46138</v>
      </c>
      <c r="AB480" s="45">
        <v>46157</v>
      </c>
      <c r="AC480" s="45"/>
      <c r="AD480" s="46" t="e">
        <f>IF(ISNA(VLOOKUP(D480,#REF!,5,0)),0,VLOOKUP(D480,#REF!,5,0))</f>
        <v>#REF!</v>
      </c>
      <c r="AE480" s="46" t="e">
        <f t="shared" si="62"/>
        <v>#REF!</v>
      </c>
      <c r="AF480" s="45">
        <v>46180</v>
      </c>
      <c r="AG480" s="76">
        <f t="shared" si="58"/>
        <v>42</v>
      </c>
      <c r="AH480" s="45"/>
      <c r="AI480" s="39"/>
      <c r="AJ480" s="39"/>
      <c r="AK480" s="39"/>
      <c r="AL480" s="35"/>
      <c r="AM480" s="34"/>
      <c r="AN480" s="34"/>
      <c r="AO480" s="39"/>
      <c r="AP480" s="47"/>
      <c r="AQ480" s="47"/>
      <c r="AR480" s="47"/>
      <c r="AS480" s="47"/>
    </row>
    <row r="481" spans="1:45" ht="12" customHeight="1" x14ac:dyDescent="0.25">
      <c r="A481" s="33">
        <v>480</v>
      </c>
      <c r="B481" s="34"/>
      <c r="C481" s="34" t="s">
        <v>638</v>
      </c>
      <c r="D481" s="35" t="s">
        <v>639</v>
      </c>
      <c r="E481" s="34" t="s">
        <v>61</v>
      </c>
      <c r="F481" s="34" t="s">
        <v>0</v>
      </c>
      <c r="G481" s="16" t="s">
        <v>243</v>
      </c>
      <c r="H481" s="34">
        <v>200</v>
      </c>
      <c r="I481" s="34" t="s">
        <v>62</v>
      </c>
      <c r="J481" s="34" t="s">
        <v>3</v>
      </c>
      <c r="K481" s="35" t="s">
        <v>4</v>
      </c>
      <c r="L481" s="36" t="e">
        <f>VLOOKUP(G481,#REF!,4,0)</f>
        <v>#REF!</v>
      </c>
      <c r="M481" s="37" t="e">
        <f>_xlfn.IFNA(VLOOKUP(G481,#REF!,2,0),"")</f>
        <v>#REF!</v>
      </c>
      <c r="N481" s="38" t="e">
        <f>_xlfn.IFNA(VLOOKUP(G481,#REF!,3,0),"")</f>
        <v>#REF!</v>
      </c>
      <c r="O481" s="39">
        <v>5</v>
      </c>
      <c r="P481" s="79">
        <v>67.142857142857139</v>
      </c>
      <c r="Q481" s="39" t="s">
        <v>10</v>
      </c>
      <c r="R481" s="34">
        <v>3.8</v>
      </c>
      <c r="S481" s="48">
        <v>200</v>
      </c>
      <c r="T481" s="40">
        <v>5.7471264367816088</v>
      </c>
      <c r="U481" s="41">
        <f t="shared" si="59"/>
        <v>260.88998357963874</v>
      </c>
      <c r="V481" s="42">
        <f t="shared" si="60"/>
        <v>1.3044499178981936</v>
      </c>
      <c r="W481" s="43">
        <f t="shared" si="61"/>
        <v>0.19469401759674532</v>
      </c>
      <c r="X481" s="38"/>
      <c r="Y481" s="38"/>
      <c r="Z481" s="44"/>
      <c r="AA481" s="45">
        <v>46138</v>
      </c>
      <c r="AB481" s="45">
        <v>46157</v>
      </c>
      <c r="AC481" s="45"/>
      <c r="AD481" s="46" t="e">
        <f>IF(ISNA(VLOOKUP(D481,#REF!,5,0)),0,VLOOKUP(D481,#REF!,5,0))</f>
        <v>#REF!</v>
      </c>
      <c r="AE481" s="46" t="e">
        <f t="shared" si="62"/>
        <v>#REF!</v>
      </c>
      <c r="AF481" s="45">
        <v>46180</v>
      </c>
      <c r="AG481" s="76">
        <f t="shared" si="58"/>
        <v>42</v>
      </c>
      <c r="AH481" s="45"/>
      <c r="AI481" s="39"/>
      <c r="AJ481" s="39"/>
      <c r="AK481" s="39"/>
      <c r="AL481" s="35"/>
      <c r="AM481" s="34"/>
      <c r="AN481" s="34"/>
      <c r="AO481" s="39"/>
      <c r="AP481" s="47"/>
      <c r="AQ481" s="47"/>
      <c r="AR481" s="47"/>
      <c r="AS481" s="47"/>
    </row>
    <row r="482" spans="1:45" ht="12" customHeight="1" x14ac:dyDescent="0.25">
      <c r="A482" s="33">
        <v>481</v>
      </c>
      <c r="B482" s="34"/>
      <c r="C482" s="34" t="s">
        <v>640</v>
      </c>
      <c r="D482" s="35" t="s">
        <v>641</v>
      </c>
      <c r="E482" s="34" t="s">
        <v>61</v>
      </c>
      <c r="F482" s="34" t="s">
        <v>0</v>
      </c>
      <c r="G482" s="16" t="s">
        <v>243</v>
      </c>
      <c r="H482" s="34">
        <v>400</v>
      </c>
      <c r="I482" s="34" t="s">
        <v>54</v>
      </c>
      <c r="J482" s="34" t="s">
        <v>2</v>
      </c>
      <c r="K482" s="35" t="s">
        <v>9</v>
      </c>
      <c r="L482" s="36" t="e">
        <f>VLOOKUP(G482,#REF!,4,0)</f>
        <v>#REF!</v>
      </c>
      <c r="M482" s="37" t="e">
        <f>_xlfn.IFNA(VLOOKUP(G482,#REF!,2,0),"")</f>
        <v>#REF!</v>
      </c>
      <c r="N482" s="38" t="e">
        <f>_xlfn.IFNA(VLOOKUP(G482,#REF!,3,0),"")</f>
        <v>#REF!</v>
      </c>
      <c r="O482" s="39">
        <v>10</v>
      </c>
      <c r="P482" s="79">
        <v>133</v>
      </c>
      <c r="Q482" s="39" t="s">
        <v>10</v>
      </c>
      <c r="R482" s="34">
        <v>8.5</v>
      </c>
      <c r="S482" s="38">
        <v>200</v>
      </c>
      <c r="T482" s="40">
        <v>105.26315789473684</v>
      </c>
      <c r="U482" s="41">
        <f t="shared" si="59"/>
        <v>1235.7631578947369</v>
      </c>
      <c r="V482" s="42">
        <f t="shared" si="60"/>
        <v>3.0894078947368424</v>
      </c>
      <c r="W482" s="43">
        <f t="shared" si="61"/>
        <v>0.46110565593087199</v>
      </c>
      <c r="X482" s="38"/>
      <c r="Y482" s="38"/>
      <c r="Z482" s="44"/>
      <c r="AA482" s="45">
        <v>46137</v>
      </c>
      <c r="AB482" s="45">
        <v>46159</v>
      </c>
      <c r="AC482" s="45"/>
      <c r="AD482" s="46" t="e">
        <f>IF(ISNA(VLOOKUP(D482,#REF!,5,0)),0,VLOOKUP(D482,#REF!,5,0))</f>
        <v>#REF!</v>
      </c>
      <c r="AE482" s="46" t="e">
        <f t="shared" si="62"/>
        <v>#REF!</v>
      </c>
      <c r="AF482" s="45">
        <v>46167</v>
      </c>
      <c r="AG482" s="33">
        <f t="shared" si="58"/>
        <v>30</v>
      </c>
      <c r="AH482" s="45"/>
      <c r="AI482" s="39"/>
      <c r="AJ482" s="39"/>
      <c r="AK482" s="39"/>
      <c r="AL482" s="35"/>
      <c r="AM482" s="34"/>
      <c r="AN482" s="34"/>
      <c r="AO482" s="39"/>
      <c r="AP482" s="47"/>
      <c r="AQ482" s="47"/>
      <c r="AR482" s="47"/>
      <c r="AS482" s="47"/>
    </row>
    <row r="483" spans="1:45" ht="12" customHeight="1" x14ac:dyDescent="0.25">
      <c r="A483" s="33">
        <v>482</v>
      </c>
      <c r="B483" s="34"/>
      <c r="C483" s="34" t="s">
        <v>642</v>
      </c>
      <c r="D483" s="35" t="s">
        <v>643</v>
      </c>
      <c r="E483" s="34" t="s">
        <v>61</v>
      </c>
      <c r="F483" s="34" t="s">
        <v>0</v>
      </c>
      <c r="G483" s="16" t="s">
        <v>68</v>
      </c>
      <c r="H483" s="34">
        <v>210</v>
      </c>
      <c r="I483" s="34" t="s">
        <v>66</v>
      </c>
      <c r="J483" s="34" t="s">
        <v>3</v>
      </c>
      <c r="K483" s="35" t="s">
        <v>15</v>
      </c>
      <c r="L483" s="36" t="e">
        <f>VLOOKUP(G483,#REF!,4,0)</f>
        <v>#REF!</v>
      </c>
      <c r="M483" s="37" t="e">
        <f>_xlfn.IFNA(VLOOKUP(G483,#REF!,2,0),"")</f>
        <v>#REF!</v>
      </c>
      <c r="N483" s="38" t="e">
        <f>_xlfn.IFNA(VLOOKUP(G483,#REF!,3,0),"")</f>
        <v>#REF!</v>
      </c>
      <c r="O483" s="39">
        <v>7</v>
      </c>
      <c r="P483" s="79">
        <v>87.333333333333329</v>
      </c>
      <c r="Q483" s="39" t="s">
        <v>10</v>
      </c>
      <c r="R483" s="34">
        <v>4.4000000000000004</v>
      </c>
      <c r="S483" s="38">
        <v>200</v>
      </c>
      <c r="T483" s="40">
        <v>8.536585365853659</v>
      </c>
      <c r="U483" s="41">
        <f t="shared" si="59"/>
        <v>392.80325203252033</v>
      </c>
      <c r="V483" s="42">
        <f t="shared" si="60"/>
        <v>1.870491676345335</v>
      </c>
      <c r="W483" s="43">
        <f t="shared" si="61"/>
        <v>0.27917786214109475</v>
      </c>
      <c r="X483" s="38"/>
      <c r="Y483" s="38"/>
      <c r="Z483" s="44"/>
      <c r="AA483" s="45">
        <v>46137</v>
      </c>
      <c r="AB483" s="45">
        <v>46170</v>
      </c>
      <c r="AC483" s="45"/>
      <c r="AD483" s="46" t="e">
        <f>IF(ISNA(VLOOKUP(D483,#REF!,5,0)),0,VLOOKUP(D483,#REF!,5,0))</f>
        <v>#REF!</v>
      </c>
      <c r="AE483" s="46" t="e">
        <f t="shared" si="62"/>
        <v>#REF!</v>
      </c>
      <c r="AF483" s="45"/>
      <c r="AG483" s="76">
        <f t="shared" si="58"/>
        <v>-46137</v>
      </c>
      <c r="AH483" s="45"/>
      <c r="AI483" s="39"/>
      <c r="AJ483" s="39"/>
      <c r="AK483" s="39"/>
      <c r="AL483" s="35"/>
      <c r="AM483" s="34"/>
      <c r="AN483" s="34"/>
      <c r="AO483" s="39"/>
      <c r="AP483" s="47"/>
      <c r="AQ483" s="47"/>
      <c r="AR483" s="47"/>
      <c r="AS483" s="47"/>
    </row>
    <row r="484" spans="1:45" ht="12" customHeight="1" x14ac:dyDescent="0.25">
      <c r="A484" s="33">
        <v>483</v>
      </c>
      <c r="B484" s="34"/>
      <c r="C484" s="34" t="s">
        <v>642</v>
      </c>
      <c r="D484" s="35" t="s">
        <v>643</v>
      </c>
      <c r="E484" s="34" t="s">
        <v>61</v>
      </c>
      <c r="F484" s="34" t="s">
        <v>0</v>
      </c>
      <c r="G484" s="16" t="s">
        <v>118</v>
      </c>
      <c r="H484" s="34">
        <v>90</v>
      </c>
      <c r="I484" s="34" t="s">
        <v>66</v>
      </c>
      <c r="J484" s="34" t="s">
        <v>3</v>
      </c>
      <c r="K484" s="35" t="s">
        <v>15</v>
      </c>
      <c r="L484" s="36" t="e">
        <f>VLOOKUP(G484,#REF!,4,0)</f>
        <v>#REF!</v>
      </c>
      <c r="M484" s="37" t="e">
        <f>_xlfn.IFNA(VLOOKUP(G484,#REF!,2,0),"")</f>
        <v>#REF!</v>
      </c>
      <c r="N484" s="38" t="e">
        <f>_xlfn.IFNA(VLOOKUP(G484,#REF!,3,0),"")</f>
        <v>#REF!</v>
      </c>
      <c r="O484" s="39">
        <v>3</v>
      </c>
      <c r="P484" s="79">
        <v>37.428571428571431</v>
      </c>
      <c r="Q484" s="39" t="s">
        <v>10</v>
      </c>
      <c r="R484" s="34">
        <v>4.4000000000000004</v>
      </c>
      <c r="S484" s="48">
        <v>200</v>
      </c>
      <c r="T484" s="40">
        <v>3.6585365853658538</v>
      </c>
      <c r="U484" s="41">
        <f t="shared" si="59"/>
        <v>168.34425087108016</v>
      </c>
      <c r="V484" s="42">
        <f t="shared" si="60"/>
        <v>1.8704916763453352</v>
      </c>
      <c r="W484" s="43">
        <f t="shared" si="61"/>
        <v>0.2791778621410948</v>
      </c>
      <c r="X484" s="38"/>
      <c r="Y484" s="38"/>
      <c r="Z484" s="44"/>
      <c r="AA484" s="45">
        <v>46137</v>
      </c>
      <c r="AB484" s="45">
        <v>46170</v>
      </c>
      <c r="AC484" s="45"/>
      <c r="AD484" s="46" t="e">
        <f>IF(ISNA(VLOOKUP(D484,#REF!,5,0)),0,VLOOKUP(D484,#REF!,5,0))</f>
        <v>#REF!</v>
      </c>
      <c r="AE484" s="46" t="e">
        <f t="shared" si="62"/>
        <v>#REF!</v>
      </c>
      <c r="AF484" s="45"/>
      <c r="AG484" s="76">
        <f t="shared" si="58"/>
        <v>-46137</v>
      </c>
      <c r="AH484" s="45"/>
      <c r="AI484" s="39"/>
      <c r="AJ484" s="39"/>
      <c r="AK484" s="39"/>
      <c r="AL484" s="35"/>
      <c r="AM484" s="34"/>
      <c r="AN484" s="34"/>
      <c r="AO484" s="39"/>
      <c r="AP484" s="47"/>
      <c r="AQ484" s="47"/>
      <c r="AR484" s="47"/>
      <c r="AS484" s="47"/>
    </row>
    <row r="485" spans="1:45" ht="12" customHeight="1" x14ac:dyDescent="0.25">
      <c r="A485" s="33">
        <v>484</v>
      </c>
      <c r="B485" s="34"/>
      <c r="C485" s="34" t="s">
        <v>642</v>
      </c>
      <c r="D485" s="35" t="s">
        <v>643</v>
      </c>
      <c r="E485" s="34" t="s">
        <v>61</v>
      </c>
      <c r="F485" s="34" t="s">
        <v>0</v>
      </c>
      <c r="G485" s="16" t="s">
        <v>119</v>
      </c>
      <c r="H485" s="34">
        <v>150</v>
      </c>
      <c r="I485" s="34" t="s">
        <v>66</v>
      </c>
      <c r="J485" s="34" t="s">
        <v>3</v>
      </c>
      <c r="K485" s="35" t="s">
        <v>15</v>
      </c>
      <c r="L485" s="36" t="e">
        <f>VLOOKUP(G485,#REF!,4,0)</f>
        <v>#REF!</v>
      </c>
      <c r="M485" s="37" t="e">
        <f>_xlfn.IFNA(VLOOKUP(G485,#REF!,2,0),"")</f>
        <v>#REF!</v>
      </c>
      <c r="N485" s="38" t="e">
        <f>_xlfn.IFNA(VLOOKUP(G485,#REF!,3,0),"")</f>
        <v>#REF!</v>
      </c>
      <c r="O485" s="39">
        <v>5</v>
      </c>
      <c r="P485" s="79">
        <v>62.38095238095238</v>
      </c>
      <c r="Q485" s="39" t="s">
        <v>10</v>
      </c>
      <c r="R485" s="34">
        <v>4.4000000000000004</v>
      </c>
      <c r="S485" s="38"/>
      <c r="T485" s="40">
        <v>6.0975609756097562</v>
      </c>
      <c r="U485" s="41">
        <f t="shared" si="59"/>
        <v>280.57375145180026</v>
      </c>
      <c r="V485" s="42">
        <f t="shared" si="60"/>
        <v>1.870491676345335</v>
      </c>
      <c r="W485" s="43">
        <f t="shared" si="61"/>
        <v>0.27917786214109475</v>
      </c>
      <c r="X485" s="38"/>
      <c r="Y485" s="38"/>
      <c r="Z485" s="44"/>
      <c r="AA485" s="45">
        <v>46137</v>
      </c>
      <c r="AB485" s="45">
        <v>46170</v>
      </c>
      <c r="AC485" s="45"/>
      <c r="AD485" s="46" t="e">
        <f>IF(ISNA(VLOOKUP(D485,#REF!,5,0)),0,VLOOKUP(D485,#REF!,5,0))</f>
        <v>#REF!</v>
      </c>
      <c r="AE485" s="46" t="e">
        <f t="shared" si="62"/>
        <v>#REF!</v>
      </c>
      <c r="AF485" s="45"/>
      <c r="AG485" s="76">
        <f t="shared" si="58"/>
        <v>-46137</v>
      </c>
      <c r="AH485" s="45"/>
      <c r="AI485" s="39"/>
      <c r="AJ485" s="39"/>
      <c r="AK485" s="39"/>
      <c r="AL485" s="35"/>
      <c r="AM485" s="34"/>
      <c r="AN485" s="34"/>
      <c r="AO485" s="39"/>
      <c r="AP485" s="47"/>
      <c r="AQ485" s="47"/>
      <c r="AR485" s="47"/>
      <c r="AS485" s="47"/>
    </row>
    <row r="486" spans="1:45" ht="12" customHeight="1" x14ac:dyDescent="0.25">
      <c r="A486" s="33">
        <v>485</v>
      </c>
      <c r="B486" s="34"/>
      <c r="C486" s="34" t="s">
        <v>642</v>
      </c>
      <c r="D486" s="35" t="s">
        <v>643</v>
      </c>
      <c r="E486" s="34" t="s">
        <v>61</v>
      </c>
      <c r="F486" s="34" t="s">
        <v>0</v>
      </c>
      <c r="G486" s="16" t="s">
        <v>69</v>
      </c>
      <c r="H486" s="34">
        <v>180</v>
      </c>
      <c r="I486" s="34" t="s">
        <v>66</v>
      </c>
      <c r="J486" s="34" t="s">
        <v>3</v>
      </c>
      <c r="K486" s="35" t="s">
        <v>15</v>
      </c>
      <c r="L486" s="36" t="e">
        <f>VLOOKUP(G486,#REF!,4,0)</f>
        <v>#REF!</v>
      </c>
      <c r="M486" s="37" t="e">
        <f>_xlfn.IFNA(VLOOKUP(G486,#REF!,2,0),"")</f>
        <v>#REF!</v>
      </c>
      <c r="N486" s="38" t="e">
        <f>_xlfn.IFNA(VLOOKUP(G486,#REF!,3,0),"")</f>
        <v>#REF!</v>
      </c>
      <c r="O486" s="39">
        <v>6</v>
      </c>
      <c r="P486" s="79">
        <v>74.857142857142861</v>
      </c>
      <c r="Q486" s="39" t="s">
        <v>10</v>
      </c>
      <c r="R486" s="34">
        <v>4.4000000000000004</v>
      </c>
      <c r="S486" s="38"/>
      <c r="T486" s="40">
        <v>7.3170731707317076</v>
      </c>
      <c r="U486" s="41">
        <f t="shared" si="59"/>
        <v>336.68850174216033</v>
      </c>
      <c r="V486" s="42">
        <f t="shared" si="60"/>
        <v>1.8704916763453352</v>
      </c>
      <c r="W486" s="43">
        <f t="shared" si="61"/>
        <v>0.2791778621410948</v>
      </c>
      <c r="X486" s="38"/>
      <c r="Y486" s="38"/>
      <c r="Z486" s="44"/>
      <c r="AA486" s="45">
        <v>46137</v>
      </c>
      <c r="AB486" s="45">
        <v>46170</v>
      </c>
      <c r="AC486" s="45"/>
      <c r="AD486" s="46" t="e">
        <f>IF(ISNA(VLOOKUP(D486,#REF!,5,0)),0,VLOOKUP(D486,#REF!,5,0))</f>
        <v>#REF!</v>
      </c>
      <c r="AE486" s="46" t="e">
        <f t="shared" si="62"/>
        <v>#REF!</v>
      </c>
      <c r="AF486" s="45"/>
      <c r="AG486" s="76">
        <f t="shared" si="58"/>
        <v>-46137</v>
      </c>
      <c r="AH486" s="45"/>
      <c r="AI486" s="39"/>
      <c r="AJ486" s="39"/>
      <c r="AK486" s="39"/>
      <c r="AL486" s="35"/>
      <c r="AM486" s="34"/>
      <c r="AN486" s="34"/>
      <c r="AO486" s="39"/>
      <c r="AP486" s="47"/>
      <c r="AQ486" s="47"/>
      <c r="AR486" s="47"/>
      <c r="AS486" s="47"/>
    </row>
    <row r="487" spans="1:45" ht="12" customHeight="1" x14ac:dyDescent="0.25">
      <c r="A487" s="33">
        <v>486</v>
      </c>
      <c r="B487" s="34"/>
      <c r="C487" s="34" t="s">
        <v>638</v>
      </c>
      <c r="D487" s="35" t="s">
        <v>644</v>
      </c>
      <c r="E487" s="34" t="s">
        <v>58</v>
      </c>
      <c r="F487" s="34" t="s">
        <v>0</v>
      </c>
      <c r="G487" s="16" t="s">
        <v>63</v>
      </c>
      <c r="H487" s="34">
        <v>288</v>
      </c>
      <c r="I487" s="34" t="s">
        <v>62</v>
      </c>
      <c r="J487" s="34" t="s">
        <v>3</v>
      </c>
      <c r="K487" s="35" t="s">
        <v>4</v>
      </c>
      <c r="L487" s="36" t="e">
        <f>VLOOKUP(G487,#REF!,4,0)</f>
        <v>#REF!</v>
      </c>
      <c r="M487" s="37" t="e">
        <f>_xlfn.IFNA(VLOOKUP(G487,#REF!,2,0),"")</f>
        <v>#REF!</v>
      </c>
      <c r="N487" s="38" t="e">
        <f>_xlfn.IFNA(VLOOKUP(G487,#REF!,3,0),"")</f>
        <v>#REF!</v>
      </c>
      <c r="O487" s="39">
        <v>9</v>
      </c>
      <c r="P487" s="79">
        <v>120.85714285714286</v>
      </c>
      <c r="Q487" s="39" t="s">
        <v>10</v>
      </c>
      <c r="R487" s="34">
        <v>3.8</v>
      </c>
      <c r="S487" s="38">
        <v>200</v>
      </c>
      <c r="T487" s="40">
        <v>10.344827586206897</v>
      </c>
      <c r="U487" s="41">
        <f t="shared" si="59"/>
        <v>469.60197044334979</v>
      </c>
      <c r="V487" s="42">
        <f t="shared" si="60"/>
        <v>1.6305623973727423</v>
      </c>
      <c r="W487" s="43">
        <f t="shared" si="61"/>
        <v>0.24336752199593167</v>
      </c>
      <c r="X487" s="38"/>
      <c r="Y487" s="38"/>
      <c r="Z487" s="44"/>
      <c r="AA487" s="45">
        <v>46138</v>
      </c>
      <c r="AB487" s="45">
        <v>46157</v>
      </c>
      <c r="AC487" s="45"/>
      <c r="AD487" s="46" t="e">
        <f>IF(ISNA(VLOOKUP(D487,#REF!,5,0)),0,VLOOKUP(D487,#REF!,5,0))</f>
        <v>#REF!</v>
      </c>
      <c r="AE487" s="46" t="e">
        <f t="shared" si="62"/>
        <v>#REF!</v>
      </c>
      <c r="AF487" s="45">
        <v>46179</v>
      </c>
      <c r="AG487" s="76">
        <f t="shared" si="58"/>
        <v>41</v>
      </c>
      <c r="AH487" s="45"/>
      <c r="AI487" s="39"/>
      <c r="AJ487" s="39"/>
      <c r="AK487" s="39"/>
      <c r="AL487" s="35"/>
      <c r="AM487" s="34"/>
      <c r="AN487" s="34"/>
      <c r="AO487" s="39"/>
      <c r="AP487" s="47"/>
      <c r="AQ487" s="47"/>
      <c r="AR487" s="47"/>
      <c r="AS487" s="47"/>
    </row>
    <row r="488" spans="1:45" ht="12" customHeight="1" x14ac:dyDescent="0.25">
      <c r="A488" s="33">
        <v>487</v>
      </c>
      <c r="B488" s="34"/>
      <c r="C488" s="34" t="s">
        <v>638</v>
      </c>
      <c r="D488" s="35" t="s">
        <v>644</v>
      </c>
      <c r="E488" s="34" t="s">
        <v>58</v>
      </c>
      <c r="F488" s="34" t="s">
        <v>0</v>
      </c>
      <c r="G488" s="16" t="s">
        <v>64</v>
      </c>
      <c r="H488" s="34">
        <v>1400</v>
      </c>
      <c r="I488" s="34" t="s">
        <v>62</v>
      </c>
      <c r="J488" s="34" t="s">
        <v>3</v>
      </c>
      <c r="K488" s="35" t="s">
        <v>4</v>
      </c>
      <c r="L488" s="36" t="e">
        <f>VLOOKUP(G488,#REF!,4,0)</f>
        <v>#REF!</v>
      </c>
      <c r="M488" s="37" t="e">
        <f>_xlfn.IFNA(VLOOKUP(G488,#REF!,2,0),"")</f>
        <v>#REF!</v>
      </c>
      <c r="N488" s="38" t="e">
        <f>_xlfn.IFNA(VLOOKUP(G488,#REF!,3,0),"")</f>
        <v>#REF!</v>
      </c>
      <c r="O488" s="39">
        <v>35</v>
      </c>
      <c r="P488" s="79">
        <v>470</v>
      </c>
      <c r="Q488" s="39" t="s">
        <v>10</v>
      </c>
      <c r="R488" s="34">
        <v>3.8</v>
      </c>
      <c r="S488" s="48">
        <v>200</v>
      </c>
      <c r="T488" s="40">
        <v>40.229885057471265</v>
      </c>
      <c r="U488" s="41">
        <f t="shared" si="59"/>
        <v>1826.2298850574712</v>
      </c>
      <c r="V488" s="42">
        <f t="shared" si="60"/>
        <v>1.3044499178981936</v>
      </c>
      <c r="W488" s="43">
        <f t="shared" si="61"/>
        <v>0.19469401759674532</v>
      </c>
      <c r="X488" s="38"/>
      <c r="Y488" s="38"/>
      <c r="Z488" s="44"/>
      <c r="AA488" s="45">
        <v>46138</v>
      </c>
      <c r="AB488" s="45">
        <v>46157</v>
      </c>
      <c r="AC488" s="45"/>
      <c r="AD488" s="46" t="e">
        <f>IF(ISNA(VLOOKUP(D488,#REF!,5,0)),0,VLOOKUP(D488,#REF!,5,0))</f>
        <v>#REF!</v>
      </c>
      <c r="AE488" s="46" t="e">
        <f t="shared" si="62"/>
        <v>#REF!</v>
      </c>
      <c r="AF488" s="45">
        <v>46179</v>
      </c>
      <c r="AG488" s="76">
        <f t="shared" si="58"/>
        <v>41</v>
      </c>
      <c r="AH488" s="45"/>
      <c r="AI488" s="39"/>
      <c r="AJ488" s="39"/>
      <c r="AK488" s="39"/>
      <c r="AL488" s="35"/>
      <c r="AM488" s="34"/>
      <c r="AN488" s="34"/>
      <c r="AO488" s="39"/>
      <c r="AP488" s="47"/>
      <c r="AQ488" s="47"/>
      <c r="AR488" s="47"/>
      <c r="AS488" s="47"/>
    </row>
    <row r="489" spans="1:45" ht="12" customHeight="1" x14ac:dyDescent="0.25">
      <c r="A489" s="33">
        <v>488</v>
      </c>
      <c r="B489" s="34"/>
      <c r="C489" s="34" t="s">
        <v>638</v>
      </c>
      <c r="D489" s="35" t="s">
        <v>644</v>
      </c>
      <c r="E489" s="34" t="s">
        <v>58</v>
      </c>
      <c r="F489" s="34" t="s">
        <v>0</v>
      </c>
      <c r="G489" s="16" t="s">
        <v>135</v>
      </c>
      <c r="H489" s="34">
        <v>80</v>
      </c>
      <c r="I489" s="34" t="s">
        <v>62</v>
      </c>
      <c r="J489" s="34" t="s">
        <v>3</v>
      </c>
      <c r="K489" s="35" t="s">
        <v>4</v>
      </c>
      <c r="L489" s="36" t="e">
        <f>VLOOKUP(G489,#REF!,4,0)</f>
        <v>#REF!</v>
      </c>
      <c r="M489" s="37" t="e">
        <f>_xlfn.IFNA(VLOOKUP(G489,#REF!,2,0),"")</f>
        <v>#REF!</v>
      </c>
      <c r="N489" s="38" t="e">
        <f>_xlfn.IFNA(VLOOKUP(G489,#REF!,3,0),"")</f>
        <v>#REF!</v>
      </c>
      <c r="O489" s="39">
        <v>2</v>
      </c>
      <c r="P489" s="79">
        <v>26.857142857142858</v>
      </c>
      <c r="Q489" s="39" t="s">
        <v>10</v>
      </c>
      <c r="R489" s="34">
        <v>3.8</v>
      </c>
      <c r="S489" s="38"/>
      <c r="T489" s="40">
        <v>2.2988505747126435</v>
      </c>
      <c r="U489" s="41">
        <f t="shared" si="59"/>
        <v>104.3559934318555</v>
      </c>
      <c r="V489" s="42">
        <f t="shared" si="60"/>
        <v>1.3044499178981936</v>
      </c>
      <c r="W489" s="43">
        <f t="shared" si="61"/>
        <v>0.19469401759674532</v>
      </c>
      <c r="X489" s="38"/>
      <c r="Y489" s="38"/>
      <c r="Z489" s="44"/>
      <c r="AA489" s="45">
        <v>46138</v>
      </c>
      <c r="AB489" s="45">
        <v>46157</v>
      </c>
      <c r="AC489" s="45"/>
      <c r="AD489" s="46" t="e">
        <f>IF(ISNA(VLOOKUP(D489,#REF!,5,0)),0,VLOOKUP(D489,#REF!,5,0))</f>
        <v>#REF!</v>
      </c>
      <c r="AE489" s="46" t="e">
        <f t="shared" si="62"/>
        <v>#REF!</v>
      </c>
      <c r="AF489" s="45">
        <v>46179</v>
      </c>
      <c r="AG489" s="76">
        <f t="shared" si="58"/>
        <v>41</v>
      </c>
      <c r="AH489" s="45"/>
      <c r="AI489" s="39"/>
      <c r="AJ489" s="39"/>
      <c r="AK489" s="39"/>
      <c r="AL489" s="35"/>
      <c r="AM489" s="34"/>
      <c r="AN489" s="34"/>
      <c r="AO489" s="39"/>
      <c r="AP489" s="47"/>
      <c r="AQ489" s="47"/>
      <c r="AR489" s="47"/>
      <c r="AS489" s="47"/>
    </row>
    <row r="490" spans="1:45" ht="12" customHeight="1" x14ac:dyDescent="0.25">
      <c r="A490" s="33">
        <v>489</v>
      </c>
      <c r="B490" s="34"/>
      <c r="C490" s="34" t="s">
        <v>638</v>
      </c>
      <c r="D490" s="35" t="s">
        <v>644</v>
      </c>
      <c r="E490" s="34" t="s">
        <v>58</v>
      </c>
      <c r="F490" s="34" t="s">
        <v>0</v>
      </c>
      <c r="G490" s="16" t="s">
        <v>252</v>
      </c>
      <c r="H490" s="34">
        <v>300</v>
      </c>
      <c r="I490" s="34" t="s">
        <v>62</v>
      </c>
      <c r="J490" s="34" t="s">
        <v>3</v>
      </c>
      <c r="K490" s="35" t="s">
        <v>4</v>
      </c>
      <c r="L490" s="36" t="e">
        <f>VLOOKUP(G490,#REF!,4,0)</f>
        <v>#REF!</v>
      </c>
      <c r="M490" s="37" t="e">
        <f>_xlfn.IFNA(VLOOKUP(G490,#REF!,2,0),"")</f>
        <v>#REF!</v>
      </c>
      <c r="N490" s="38" t="e">
        <f>_xlfn.IFNA(VLOOKUP(G490,#REF!,3,0),"")</f>
        <v>#REF!</v>
      </c>
      <c r="O490" s="39">
        <v>10</v>
      </c>
      <c r="P490" s="79">
        <v>134.28571428571428</v>
      </c>
      <c r="Q490" s="39" t="s">
        <v>10</v>
      </c>
      <c r="R490" s="34">
        <v>3.8</v>
      </c>
      <c r="S490" s="38"/>
      <c r="T490" s="40">
        <v>11.494252873563218</v>
      </c>
      <c r="U490" s="41">
        <f t="shared" si="59"/>
        <v>521.77996715927748</v>
      </c>
      <c r="V490" s="42">
        <f t="shared" si="60"/>
        <v>1.7392665571975916</v>
      </c>
      <c r="W490" s="43">
        <f t="shared" si="61"/>
        <v>0.25959202346232707</v>
      </c>
      <c r="X490" s="38"/>
      <c r="Y490" s="38"/>
      <c r="Z490" s="44"/>
      <c r="AA490" s="45">
        <v>46138</v>
      </c>
      <c r="AB490" s="45">
        <v>46157</v>
      </c>
      <c r="AC490" s="45"/>
      <c r="AD490" s="46" t="e">
        <f>IF(ISNA(VLOOKUP(D490,#REF!,5,0)),0,VLOOKUP(D490,#REF!,5,0))</f>
        <v>#REF!</v>
      </c>
      <c r="AE490" s="46" t="e">
        <f t="shared" si="62"/>
        <v>#REF!</v>
      </c>
      <c r="AF490" s="45">
        <v>46179</v>
      </c>
      <c r="AG490" s="76">
        <f t="shared" si="58"/>
        <v>41</v>
      </c>
      <c r="AH490" s="45"/>
      <c r="AI490" s="39"/>
      <c r="AJ490" s="39"/>
      <c r="AK490" s="39"/>
      <c r="AL490" s="35"/>
      <c r="AM490" s="34"/>
      <c r="AN490" s="34"/>
      <c r="AO490" s="39"/>
      <c r="AP490" s="47"/>
      <c r="AQ490" s="47"/>
      <c r="AR490" s="47"/>
      <c r="AS490" s="47"/>
    </row>
    <row r="491" spans="1:45" ht="12" customHeight="1" x14ac:dyDescent="0.25">
      <c r="A491" s="33">
        <v>490</v>
      </c>
      <c r="B491" s="34"/>
      <c r="C491" s="34" t="s">
        <v>642</v>
      </c>
      <c r="D491" s="35" t="s">
        <v>645</v>
      </c>
      <c r="E491" s="34" t="s">
        <v>58</v>
      </c>
      <c r="F491" s="34" t="s">
        <v>0</v>
      </c>
      <c r="G491" s="16" t="s">
        <v>314</v>
      </c>
      <c r="H491" s="34">
        <v>150</v>
      </c>
      <c r="I491" s="34" t="s">
        <v>66</v>
      </c>
      <c r="J491" s="34" t="s">
        <v>3</v>
      </c>
      <c r="K491" s="35" t="s">
        <v>22</v>
      </c>
      <c r="L491" s="36" t="e">
        <f>VLOOKUP(G491,#REF!,4,0)</f>
        <v>#REF!</v>
      </c>
      <c r="M491" s="37" t="e">
        <f>_xlfn.IFNA(VLOOKUP(G491,#REF!,2,0),"")</f>
        <v>#REF!</v>
      </c>
      <c r="N491" s="38" t="e">
        <f>_xlfn.IFNA(VLOOKUP(G491,#REF!,3,0),"")</f>
        <v>#REF!</v>
      </c>
      <c r="O491" s="39">
        <v>5</v>
      </c>
      <c r="P491" s="79">
        <v>84.73684210526315</v>
      </c>
      <c r="Q491" s="39" t="s">
        <v>10</v>
      </c>
      <c r="R491" s="34">
        <v>4.2</v>
      </c>
      <c r="S491" s="38">
        <v>200</v>
      </c>
      <c r="T491" s="40">
        <v>6.0975609756097562</v>
      </c>
      <c r="U491" s="41">
        <f t="shared" si="59"/>
        <v>361.99229781771504</v>
      </c>
      <c r="V491" s="42">
        <f t="shared" si="60"/>
        <v>2.4132819854514338</v>
      </c>
      <c r="W491" s="43">
        <f t="shared" si="61"/>
        <v>0.36019134111215428</v>
      </c>
      <c r="X491" s="38"/>
      <c r="Y491" s="38"/>
      <c r="Z491" s="44"/>
      <c r="AA491" s="45">
        <v>46137</v>
      </c>
      <c r="AB491" s="45">
        <v>46170</v>
      </c>
      <c r="AC491" s="45"/>
      <c r="AD491" s="46" t="e">
        <f>IF(ISNA(VLOOKUP(D491,#REF!,5,0)),0,VLOOKUP(D491,#REF!,5,0))</f>
        <v>#REF!</v>
      </c>
      <c r="AE491" s="46" t="e">
        <f t="shared" si="62"/>
        <v>#REF!</v>
      </c>
      <c r="AF491" s="45">
        <v>46183</v>
      </c>
      <c r="AG491" s="76">
        <f t="shared" si="58"/>
        <v>46</v>
      </c>
      <c r="AH491" s="45"/>
      <c r="AI491" s="39"/>
      <c r="AJ491" s="39"/>
      <c r="AK491" s="39"/>
      <c r="AL491" s="35"/>
      <c r="AM491" s="34"/>
      <c r="AN491" s="34"/>
      <c r="AO491" s="39"/>
      <c r="AP491" s="47"/>
      <c r="AQ491" s="47"/>
      <c r="AR491" s="47"/>
      <c r="AS491" s="47"/>
    </row>
    <row r="492" spans="1:45" ht="12" customHeight="1" x14ac:dyDescent="0.25">
      <c r="A492" s="33">
        <v>491</v>
      </c>
      <c r="B492" s="34"/>
      <c r="C492" s="34" t="s">
        <v>642</v>
      </c>
      <c r="D492" s="35" t="s">
        <v>645</v>
      </c>
      <c r="E492" s="34" t="s">
        <v>58</v>
      </c>
      <c r="F492" s="34" t="s">
        <v>0</v>
      </c>
      <c r="G492" s="16" t="s">
        <v>228</v>
      </c>
      <c r="H492" s="34">
        <v>280</v>
      </c>
      <c r="I492" s="34" t="s">
        <v>66</v>
      </c>
      <c r="J492" s="34" t="s">
        <v>3</v>
      </c>
      <c r="K492" s="35" t="s">
        <v>22</v>
      </c>
      <c r="L492" s="36" t="e">
        <f>VLOOKUP(G492,#REF!,4,0)</f>
        <v>#REF!</v>
      </c>
      <c r="M492" s="37" t="e">
        <f>_xlfn.IFNA(VLOOKUP(G492,#REF!,2,0),"")</f>
        <v>#REF!</v>
      </c>
      <c r="N492" s="38" t="e">
        <f>_xlfn.IFNA(VLOOKUP(G492,#REF!,3,0),"")</f>
        <v>#REF!</v>
      </c>
      <c r="O492" s="39">
        <v>14</v>
      </c>
      <c r="P492" s="79">
        <v>237.26315789473682</v>
      </c>
      <c r="Q492" s="39" t="s">
        <v>10</v>
      </c>
      <c r="R492" s="34">
        <v>4.2</v>
      </c>
      <c r="S492" s="48">
        <v>200</v>
      </c>
      <c r="T492" s="40">
        <v>17.073170731707318</v>
      </c>
      <c r="U492" s="41">
        <f t="shared" si="59"/>
        <v>1013.578433889602</v>
      </c>
      <c r="V492" s="42">
        <f t="shared" si="60"/>
        <v>3.6199229781771503</v>
      </c>
      <c r="W492" s="43">
        <f t="shared" si="61"/>
        <v>0.54028701166823134</v>
      </c>
      <c r="X492" s="38"/>
      <c r="Y492" s="38"/>
      <c r="Z492" s="44"/>
      <c r="AA492" s="45">
        <v>46137</v>
      </c>
      <c r="AB492" s="45">
        <v>46170</v>
      </c>
      <c r="AC492" s="45"/>
      <c r="AD492" s="46" t="e">
        <f>IF(ISNA(VLOOKUP(D492,#REF!,5,0)),0,VLOOKUP(D492,#REF!,5,0))</f>
        <v>#REF!</v>
      </c>
      <c r="AE492" s="46" t="e">
        <f t="shared" si="62"/>
        <v>#REF!</v>
      </c>
      <c r="AF492" s="45">
        <v>46183</v>
      </c>
      <c r="AG492" s="76">
        <f t="shared" si="58"/>
        <v>46</v>
      </c>
      <c r="AH492" s="45"/>
      <c r="AI492" s="39"/>
      <c r="AJ492" s="39"/>
      <c r="AK492" s="39"/>
      <c r="AL492" s="35"/>
      <c r="AM492" s="34"/>
      <c r="AN492" s="34"/>
      <c r="AO492" s="39"/>
      <c r="AP492" s="47"/>
      <c r="AQ492" s="47"/>
      <c r="AR492" s="47"/>
      <c r="AS492" s="47"/>
    </row>
    <row r="493" spans="1:45" ht="12" customHeight="1" x14ac:dyDescent="0.25">
      <c r="A493" s="33">
        <v>492</v>
      </c>
      <c r="B493" s="34"/>
      <c r="C493" s="34" t="s">
        <v>640</v>
      </c>
      <c r="D493" s="35" t="s">
        <v>646</v>
      </c>
      <c r="E493" s="34" t="s">
        <v>58</v>
      </c>
      <c r="F493" s="34" t="s">
        <v>0</v>
      </c>
      <c r="G493" s="16" t="s">
        <v>285</v>
      </c>
      <c r="H493" s="34">
        <v>270</v>
      </c>
      <c r="I493" s="34" t="s">
        <v>54</v>
      </c>
      <c r="J493" s="34" t="s">
        <v>2</v>
      </c>
      <c r="K493" s="35" t="s">
        <v>4</v>
      </c>
      <c r="L493" s="36" t="e">
        <f>VLOOKUP(G493,#REF!,4,0)</f>
        <v>#REF!</v>
      </c>
      <c r="M493" s="37" t="e">
        <f>_xlfn.IFNA(VLOOKUP(G493,#REF!,2,0),"")</f>
        <v>#REF!</v>
      </c>
      <c r="N493" s="38" t="e">
        <f>_xlfn.IFNA(VLOOKUP(G493,#REF!,3,0),"")</f>
        <v>#REF!</v>
      </c>
      <c r="O493" s="39">
        <v>9</v>
      </c>
      <c r="P493" s="79">
        <v>155</v>
      </c>
      <c r="Q493" s="39" t="s">
        <v>10</v>
      </c>
      <c r="R493" s="34">
        <v>9</v>
      </c>
      <c r="S493" s="38"/>
      <c r="T493" s="40">
        <v>94.736842105263165</v>
      </c>
      <c r="U493" s="41">
        <f t="shared" si="59"/>
        <v>1489.7368421052631</v>
      </c>
      <c r="V493" s="42">
        <f t="shared" si="60"/>
        <v>5.5175438596491224</v>
      </c>
      <c r="W493" s="43">
        <f t="shared" si="61"/>
        <v>0.82351400890285409</v>
      </c>
      <c r="X493" s="38"/>
      <c r="Y493" s="38"/>
      <c r="Z493" s="44"/>
      <c r="AA493" s="45">
        <v>46137</v>
      </c>
      <c r="AB493" s="45">
        <v>46159</v>
      </c>
      <c r="AC493" s="45"/>
      <c r="AD493" s="46" t="e">
        <f>IF(ISNA(VLOOKUP(D493,#REF!,5,0)),0,VLOOKUP(D493,#REF!,5,0))</f>
        <v>#REF!</v>
      </c>
      <c r="AE493" s="46" t="e">
        <f t="shared" si="62"/>
        <v>#REF!</v>
      </c>
      <c r="AF493" s="45">
        <v>46164</v>
      </c>
      <c r="AG493" s="33">
        <f t="shared" si="58"/>
        <v>27</v>
      </c>
      <c r="AH493" s="45"/>
      <c r="AI493" s="39"/>
      <c r="AJ493" s="39"/>
      <c r="AK493" s="39"/>
      <c r="AL493" s="35"/>
      <c r="AM493" s="34"/>
      <c r="AN493" s="34"/>
      <c r="AO493" s="39"/>
      <c r="AP493" s="47"/>
      <c r="AQ493" s="47"/>
      <c r="AR493" s="47"/>
      <c r="AS493" s="47"/>
    </row>
    <row r="494" spans="1:45" ht="12" customHeight="1" x14ac:dyDescent="0.25">
      <c r="A494" s="33">
        <v>493</v>
      </c>
      <c r="B494" s="34"/>
      <c r="C494" s="34" t="s">
        <v>647</v>
      </c>
      <c r="D494" s="35" t="s">
        <v>648</v>
      </c>
      <c r="E494" s="34" t="s">
        <v>470</v>
      </c>
      <c r="F494" s="34" t="s">
        <v>0</v>
      </c>
      <c r="G494" s="16" t="s">
        <v>292</v>
      </c>
      <c r="H494" s="34">
        <v>270</v>
      </c>
      <c r="I494" s="34" t="s">
        <v>62</v>
      </c>
      <c r="J494" s="34" t="s">
        <v>3</v>
      </c>
      <c r="K494" s="35" t="s">
        <v>4</v>
      </c>
      <c r="L494" s="36" t="e">
        <f>VLOOKUP(G494,#REF!,4,0)</f>
        <v>#REF!</v>
      </c>
      <c r="M494" s="37" t="e">
        <f>_xlfn.IFNA(VLOOKUP(G494,#REF!,2,0),"")</f>
        <v>#REF!</v>
      </c>
      <c r="N494" s="38" t="e">
        <f>_xlfn.IFNA(VLOOKUP(G494,#REF!,3,0),"")</f>
        <v>#REF!</v>
      </c>
      <c r="O494" s="39">
        <v>30</v>
      </c>
      <c r="P494" s="79">
        <v>464.40000000000003</v>
      </c>
      <c r="Q494" s="39" t="s">
        <v>10</v>
      </c>
      <c r="R494" s="34">
        <v>3.8</v>
      </c>
      <c r="S494" s="38">
        <v>200</v>
      </c>
      <c r="T494" s="40">
        <v>120</v>
      </c>
      <c r="U494" s="41">
        <f t="shared" si="59"/>
        <v>1884.72</v>
      </c>
      <c r="V494" s="42">
        <f t="shared" si="60"/>
        <v>6.9804444444444442</v>
      </c>
      <c r="W494" s="43">
        <f t="shared" si="61"/>
        <v>1.0418573797678274</v>
      </c>
      <c r="X494" s="38"/>
      <c r="Y494" s="38"/>
      <c r="Z494" s="44"/>
      <c r="AA494" s="45">
        <v>46138</v>
      </c>
      <c r="AB494" s="45">
        <v>46161</v>
      </c>
      <c r="AC494" s="45"/>
      <c r="AD494" s="46" t="e">
        <f>IF(ISNA(VLOOKUP(D494,#REF!,5,0)),0,VLOOKUP(D494,#REF!,5,0))</f>
        <v>#REF!</v>
      </c>
      <c r="AE494" s="46" t="e">
        <f t="shared" si="62"/>
        <v>#REF!</v>
      </c>
      <c r="AF494" s="45">
        <v>46170</v>
      </c>
      <c r="AG494" s="33">
        <f t="shared" si="58"/>
        <v>32</v>
      </c>
      <c r="AH494" s="45"/>
      <c r="AI494" s="39"/>
      <c r="AJ494" s="39"/>
      <c r="AK494" s="39"/>
      <c r="AL494" s="35"/>
      <c r="AM494" s="34"/>
      <c r="AN494" s="34"/>
      <c r="AO494" s="39"/>
      <c r="AP494" s="47"/>
      <c r="AQ494" s="47"/>
      <c r="AR494" s="47"/>
      <c r="AS494" s="47"/>
    </row>
    <row r="495" spans="1:45" ht="12" customHeight="1" x14ac:dyDescent="0.25">
      <c r="A495" s="33">
        <v>494</v>
      </c>
      <c r="B495" s="34"/>
      <c r="C495" s="34" t="s">
        <v>647</v>
      </c>
      <c r="D495" s="35" t="s">
        <v>648</v>
      </c>
      <c r="E495" s="34" t="s">
        <v>470</v>
      </c>
      <c r="F495" s="34" t="s">
        <v>0</v>
      </c>
      <c r="G495" s="16" t="s">
        <v>419</v>
      </c>
      <c r="H495" s="34">
        <v>180</v>
      </c>
      <c r="I495" s="34" t="s">
        <v>62</v>
      </c>
      <c r="J495" s="34" t="s">
        <v>3</v>
      </c>
      <c r="K495" s="35" t="s">
        <v>4</v>
      </c>
      <c r="L495" s="36" t="e">
        <f>VLOOKUP(G495,#REF!,4,0)</f>
        <v>#REF!</v>
      </c>
      <c r="M495" s="37" t="e">
        <f>_xlfn.IFNA(VLOOKUP(G495,#REF!,2,0),"")</f>
        <v>#REF!</v>
      </c>
      <c r="N495" s="38" t="e">
        <f>_xlfn.IFNA(VLOOKUP(G495,#REF!,3,0),"")</f>
        <v>#REF!</v>
      </c>
      <c r="O495" s="39">
        <v>20</v>
      </c>
      <c r="P495" s="79">
        <v>309.60000000000002</v>
      </c>
      <c r="Q495" s="39" t="s">
        <v>10</v>
      </c>
      <c r="R495" s="34">
        <v>3.8</v>
      </c>
      <c r="S495" s="48">
        <v>200</v>
      </c>
      <c r="T495" s="40">
        <v>80</v>
      </c>
      <c r="U495" s="41">
        <f t="shared" si="59"/>
        <v>1256.48</v>
      </c>
      <c r="V495" s="42">
        <f t="shared" si="60"/>
        <v>6.9804444444444442</v>
      </c>
      <c r="W495" s="43">
        <f t="shared" si="61"/>
        <v>1.0418573797678274</v>
      </c>
      <c r="X495" s="38"/>
      <c r="Y495" s="38"/>
      <c r="Z495" s="44"/>
      <c r="AA495" s="45">
        <v>46138</v>
      </c>
      <c r="AB495" s="45">
        <v>46161</v>
      </c>
      <c r="AC495" s="45"/>
      <c r="AD495" s="46" t="e">
        <f>IF(ISNA(VLOOKUP(D495,#REF!,5,0)),0,VLOOKUP(D495,#REF!,5,0))</f>
        <v>#REF!</v>
      </c>
      <c r="AE495" s="46" t="e">
        <f t="shared" si="62"/>
        <v>#REF!</v>
      </c>
      <c r="AF495" s="45">
        <v>46170</v>
      </c>
      <c r="AG495" s="33">
        <f t="shared" si="58"/>
        <v>32</v>
      </c>
      <c r="AH495" s="45"/>
      <c r="AI495" s="39"/>
      <c r="AJ495" s="39"/>
      <c r="AK495" s="39"/>
      <c r="AL495" s="35"/>
      <c r="AM495" s="34"/>
      <c r="AN495" s="34"/>
      <c r="AO495" s="39"/>
      <c r="AP495" s="47"/>
      <c r="AQ495" s="47"/>
      <c r="AR495" s="47"/>
      <c r="AS495" s="47"/>
    </row>
    <row r="496" spans="1:45" ht="12" customHeight="1" x14ac:dyDescent="0.25">
      <c r="A496" s="33">
        <v>495</v>
      </c>
      <c r="B496" s="34"/>
      <c r="C496" s="34" t="s">
        <v>649</v>
      </c>
      <c r="D496" s="35" t="s">
        <v>650</v>
      </c>
      <c r="E496" s="34" t="s">
        <v>470</v>
      </c>
      <c r="F496" s="34" t="s">
        <v>0</v>
      </c>
      <c r="G496" s="16" t="s">
        <v>294</v>
      </c>
      <c r="H496" s="34">
        <v>234</v>
      </c>
      <c r="I496" s="34" t="s">
        <v>66</v>
      </c>
      <c r="J496" s="34" t="s">
        <v>3</v>
      </c>
      <c r="K496" s="35" t="s">
        <v>5</v>
      </c>
      <c r="L496" s="36" t="e">
        <f>VLOOKUP(G496,#REF!,4,0)</f>
        <v>#REF!</v>
      </c>
      <c r="M496" s="37" t="e">
        <f>_xlfn.IFNA(VLOOKUP(G496,#REF!,2,0),"")</f>
        <v>#REF!</v>
      </c>
      <c r="N496" s="38" t="e">
        <f>_xlfn.IFNA(VLOOKUP(G496,#REF!,3,0),"")</f>
        <v>#REF!</v>
      </c>
      <c r="O496" s="39">
        <v>26</v>
      </c>
      <c r="P496" s="79">
        <v>384.91304347826087</v>
      </c>
      <c r="Q496" s="39" t="s">
        <v>10</v>
      </c>
      <c r="R496" s="34">
        <v>4.9000000000000004</v>
      </c>
      <c r="S496" s="38">
        <v>200</v>
      </c>
      <c r="T496" s="40">
        <v>113.04347826086956</v>
      </c>
      <c r="U496" s="41">
        <f t="shared" si="59"/>
        <v>1999.1173913043478</v>
      </c>
      <c r="V496" s="42">
        <f t="shared" si="60"/>
        <v>8.5432367149758459</v>
      </c>
      <c r="W496" s="43">
        <f t="shared" si="61"/>
        <v>1.2751099574590814</v>
      </c>
      <c r="X496" s="38"/>
      <c r="Y496" s="38"/>
      <c r="Z496" s="44"/>
      <c r="AA496" s="45">
        <v>46137</v>
      </c>
      <c r="AB496" s="45">
        <v>46161</v>
      </c>
      <c r="AC496" s="45"/>
      <c r="AD496" s="46" t="e">
        <f>IF(ISNA(VLOOKUP(D496,#REF!,5,0)),0,VLOOKUP(D496,#REF!,5,0))</f>
        <v>#REF!</v>
      </c>
      <c r="AE496" s="46" t="e">
        <f t="shared" si="62"/>
        <v>#REF!</v>
      </c>
      <c r="AF496" s="45">
        <v>46170</v>
      </c>
      <c r="AG496" s="33">
        <f t="shared" si="58"/>
        <v>33</v>
      </c>
      <c r="AH496" s="45"/>
      <c r="AI496" s="39"/>
      <c r="AJ496" s="39"/>
      <c r="AK496" s="39"/>
      <c r="AL496" s="35"/>
      <c r="AM496" s="34"/>
      <c r="AN496" s="34"/>
      <c r="AO496" s="39"/>
      <c r="AP496" s="47"/>
      <c r="AQ496" s="47"/>
      <c r="AR496" s="47"/>
      <c r="AS496" s="47"/>
    </row>
    <row r="497" spans="1:45" ht="12" customHeight="1" x14ac:dyDescent="0.25">
      <c r="A497" s="33">
        <v>496</v>
      </c>
      <c r="B497" s="34"/>
      <c r="C497" s="34" t="s">
        <v>649</v>
      </c>
      <c r="D497" s="35" t="s">
        <v>650</v>
      </c>
      <c r="E497" s="34" t="s">
        <v>470</v>
      </c>
      <c r="F497" s="34" t="s">
        <v>0</v>
      </c>
      <c r="G497" s="16" t="s">
        <v>388</v>
      </c>
      <c r="H497" s="34">
        <v>180</v>
      </c>
      <c r="I497" s="34" t="s">
        <v>66</v>
      </c>
      <c r="J497" s="34" t="s">
        <v>3</v>
      </c>
      <c r="K497" s="35" t="s">
        <v>5</v>
      </c>
      <c r="L497" s="36" t="e">
        <f>VLOOKUP(G497,#REF!,4,0)</f>
        <v>#REF!</v>
      </c>
      <c r="M497" s="37" t="e">
        <f>_xlfn.IFNA(VLOOKUP(G497,#REF!,2,0),"")</f>
        <v>#REF!</v>
      </c>
      <c r="N497" s="38" t="e">
        <f>_xlfn.IFNA(VLOOKUP(G497,#REF!,3,0),"")</f>
        <v>#REF!</v>
      </c>
      <c r="O497" s="39">
        <v>20</v>
      </c>
      <c r="P497" s="79">
        <v>296.08695652173913</v>
      </c>
      <c r="Q497" s="39" t="s">
        <v>10</v>
      </c>
      <c r="R497" s="34">
        <v>4.9000000000000004</v>
      </c>
      <c r="S497" s="38"/>
      <c r="T497" s="40">
        <v>86.956521739130437</v>
      </c>
      <c r="U497" s="41">
        <f t="shared" si="59"/>
        <v>1537.7826086956522</v>
      </c>
      <c r="V497" s="42">
        <f t="shared" si="60"/>
        <v>8.5432367149758459</v>
      </c>
      <c r="W497" s="43">
        <f t="shared" si="61"/>
        <v>1.2751099574590814</v>
      </c>
      <c r="X497" s="38"/>
      <c r="Y497" s="38"/>
      <c r="Z497" s="44"/>
      <c r="AA497" s="45">
        <v>46137</v>
      </c>
      <c r="AB497" s="45">
        <v>46161</v>
      </c>
      <c r="AC497" s="45"/>
      <c r="AD497" s="46" t="e">
        <f>IF(ISNA(VLOOKUP(D497,#REF!,5,0)),0,VLOOKUP(D497,#REF!,5,0))</f>
        <v>#REF!</v>
      </c>
      <c r="AE497" s="46" t="e">
        <f t="shared" si="62"/>
        <v>#REF!</v>
      </c>
      <c r="AF497" s="45">
        <v>46170</v>
      </c>
      <c r="AG497" s="33">
        <f t="shared" si="58"/>
        <v>33</v>
      </c>
      <c r="AH497" s="45"/>
      <c r="AI497" s="39"/>
      <c r="AJ497" s="39"/>
      <c r="AK497" s="39"/>
      <c r="AL497" s="35"/>
      <c r="AM497" s="34"/>
      <c r="AN497" s="34"/>
      <c r="AO497" s="39"/>
      <c r="AP497" s="47"/>
      <c r="AQ497" s="47"/>
      <c r="AR497" s="47"/>
      <c r="AS497" s="47"/>
    </row>
    <row r="498" spans="1:45" ht="12" customHeight="1" x14ac:dyDescent="0.25">
      <c r="A498" s="33">
        <v>497</v>
      </c>
      <c r="B498" s="34"/>
      <c r="C498" s="34" t="s">
        <v>651</v>
      </c>
      <c r="D498" s="35" t="s">
        <v>652</v>
      </c>
      <c r="E498" s="34" t="s">
        <v>51</v>
      </c>
      <c r="F498" s="34" t="s">
        <v>52</v>
      </c>
      <c r="G498" s="16" t="s">
        <v>68</v>
      </c>
      <c r="H498" s="34">
        <v>120</v>
      </c>
      <c r="I498" s="34" t="s">
        <v>66</v>
      </c>
      <c r="J498" s="34" t="s">
        <v>55</v>
      </c>
      <c r="K498" s="35" t="s">
        <v>105</v>
      </c>
      <c r="L498" s="36" t="e">
        <f>VLOOKUP(G498,#REF!,4,0)</f>
        <v>#REF!</v>
      </c>
      <c r="M498" s="37" t="e">
        <f>_xlfn.IFNA(VLOOKUP(G498,#REF!,2,0),"")</f>
        <v>#REF!</v>
      </c>
      <c r="N498" s="38" t="e">
        <f>_xlfn.IFNA(VLOOKUP(G498,#REF!,3,0),"")</f>
        <v>#REF!</v>
      </c>
      <c r="O498" s="39">
        <v>4</v>
      </c>
      <c r="P498" s="79">
        <v>50.285714285714285</v>
      </c>
      <c r="Q498" s="39" t="s">
        <v>10</v>
      </c>
      <c r="R498" s="34">
        <v>6</v>
      </c>
      <c r="S498" s="38">
        <v>250</v>
      </c>
      <c r="T498" s="40">
        <v>142.85714285714286</v>
      </c>
      <c r="U498" s="41">
        <f t="shared" si="59"/>
        <v>444.57142857142856</v>
      </c>
      <c r="V498" s="42">
        <f t="shared" si="60"/>
        <v>3.7047619047619045</v>
      </c>
      <c r="W498" s="43">
        <f t="shared" si="61"/>
        <v>0.5529495380241648</v>
      </c>
      <c r="X498" s="38"/>
      <c r="Y498" s="38"/>
      <c r="Z498" s="44"/>
      <c r="AA498" s="45">
        <v>46137</v>
      </c>
      <c r="AB498" s="45">
        <v>46177</v>
      </c>
      <c r="AC498" s="45"/>
      <c r="AD498" s="46" t="e">
        <f>IF(ISNA(VLOOKUP(D498,#REF!,5,0)),0,VLOOKUP(D498,#REF!,5,0))</f>
        <v>#REF!</v>
      </c>
      <c r="AE498" s="46" t="e">
        <f t="shared" si="62"/>
        <v>#REF!</v>
      </c>
      <c r="AF498" s="45">
        <v>46184</v>
      </c>
      <c r="AG498" s="76">
        <f t="shared" si="58"/>
        <v>47</v>
      </c>
      <c r="AH498" s="45"/>
      <c r="AI498" s="39"/>
      <c r="AJ498" s="39"/>
      <c r="AK498" s="39"/>
      <c r="AL498" s="35"/>
      <c r="AM498" s="34"/>
      <c r="AN498" s="34"/>
      <c r="AO498" s="39"/>
      <c r="AP498" s="47"/>
      <c r="AQ498" s="47"/>
      <c r="AR498" s="47"/>
      <c r="AS498" s="47"/>
    </row>
    <row r="499" spans="1:45" ht="12" customHeight="1" x14ac:dyDescent="0.25">
      <c r="A499" s="33">
        <v>498</v>
      </c>
      <c r="B499" s="34"/>
      <c r="C499" s="34" t="s">
        <v>651</v>
      </c>
      <c r="D499" s="35" t="s">
        <v>652</v>
      </c>
      <c r="E499" s="34" t="s">
        <v>51</v>
      </c>
      <c r="F499" s="34" t="s">
        <v>52</v>
      </c>
      <c r="G499" s="16" t="s">
        <v>69</v>
      </c>
      <c r="H499" s="34">
        <v>30</v>
      </c>
      <c r="I499" s="34" t="s">
        <v>66</v>
      </c>
      <c r="J499" s="34" t="s">
        <v>55</v>
      </c>
      <c r="K499" s="35" t="s">
        <v>105</v>
      </c>
      <c r="L499" s="36" t="e">
        <f>VLOOKUP(G499,#REF!,4,0)</f>
        <v>#REF!</v>
      </c>
      <c r="M499" s="37" t="e">
        <f>_xlfn.IFNA(VLOOKUP(G499,#REF!,2,0),"")</f>
        <v>#REF!</v>
      </c>
      <c r="N499" s="38" t="e">
        <f>_xlfn.IFNA(VLOOKUP(G499,#REF!,3,0),"")</f>
        <v>#REF!</v>
      </c>
      <c r="O499" s="39">
        <v>1</v>
      </c>
      <c r="P499" s="79">
        <v>12.571428571428571</v>
      </c>
      <c r="Q499" s="39" t="s">
        <v>10</v>
      </c>
      <c r="R499" s="34">
        <v>6</v>
      </c>
      <c r="S499" s="48">
        <v>250</v>
      </c>
      <c r="T499" s="40">
        <v>35.714285714285715</v>
      </c>
      <c r="U499" s="41">
        <f t="shared" si="59"/>
        <v>111.14285714285714</v>
      </c>
      <c r="V499" s="42">
        <f t="shared" si="60"/>
        <v>3.7047619047619045</v>
      </c>
      <c r="W499" s="43">
        <f t="shared" si="61"/>
        <v>0.5529495380241648</v>
      </c>
      <c r="X499" s="38"/>
      <c r="Y499" s="38"/>
      <c r="Z499" s="44"/>
      <c r="AA499" s="45">
        <v>46137</v>
      </c>
      <c r="AB499" s="45">
        <v>46177</v>
      </c>
      <c r="AC499" s="45"/>
      <c r="AD499" s="46" t="e">
        <f>IF(ISNA(VLOOKUP(D499,#REF!,5,0)),0,VLOOKUP(D499,#REF!,5,0))</f>
        <v>#REF!</v>
      </c>
      <c r="AE499" s="46" t="e">
        <f t="shared" si="62"/>
        <v>#REF!</v>
      </c>
      <c r="AF499" s="45">
        <v>46184</v>
      </c>
      <c r="AG499" s="76">
        <f t="shared" si="58"/>
        <v>47</v>
      </c>
      <c r="AH499" s="45"/>
      <c r="AI499" s="39"/>
      <c r="AJ499" s="39"/>
      <c r="AK499" s="39"/>
      <c r="AL499" s="35"/>
      <c r="AM499" s="34"/>
      <c r="AN499" s="34"/>
      <c r="AO499" s="39"/>
      <c r="AP499" s="47"/>
      <c r="AQ499" s="47"/>
      <c r="AR499" s="47"/>
      <c r="AS499" s="47"/>
    </row>
    <row r="500" spans="1:45" ht="12" customHeight="1" x14ac:dyDescent="0.25">
      <c r="A500" s="33">
        <v>499</v>
      </c>
      <c r="B500" s="34"/>
      <c r="C500" s="34" t="s">
        <v>651</v>
      </c>
      <c r="D500" s="35" t="s">
        <v>652</v>
      </c>
      <c r="E500" s="34" t="s">
        <v>51</v>
      </c>
      <c r="F500" s="34" t="s">
        <v>52</v>
      </c>
      <c r="G500" s="16" t="s">
        <v>119</v>
      </c>
      <c r="H500" s="34">
        <v>60</v>
      </c>
      <c r="I500" s="34" t="s">
        <v>66</v>
      </c>
      <c r="J500" s="34" t="s">
        <v>55</v>
      </c>
      <c r="K500" s="35" t="s">
        <v>105</v>
      </c>
      <c r="L500" s="36" t="e">
        <f>VLOOKUP(G500,#REF!,4,0)</f>
        <v>#REF!</v>
      </c>
      <c r="M500" s="37" t="e">
        <f>_xlfn.IFNA(VLOOKUP(G500,#REF!,2,0),"")</f>
        <v>#REF!</v>
      </c>
      <c r="N500" s="38" t="e">
        <f>_xlfn.IFNA(VLOOKUP(G500,#REF!,3,0),"")</f>
        <v>#REF!</v>
      </c>
      <c r="O500" s="39">
        <v>2</v>
      </c>
      <c r="P500" s="79">
        <v>25.142857142857142</v>
      </c>
      <c r="Q500" s="39" t="s">
        <v>10</v>
      </c>
      <c r="R500" s="34">
        <v>6</v>
      </c>
      <c r="S500" s="38"/>
      <c r="T500" s="40">
        <v>71.428571428571431</v>
      </c>
      <c r="U500" s="41">
        <f t="shared" si="59"/>
        <v>222.28571428571428</v>
      </c>
      <c r="V500" s="42">
        <f t="shared" si="60"/>
        <v>3.7047619047619045</v>
      </c>
      <c r="W500" s="43">
        <f t="shared" si="61"/>
        <v>0.5529495380241648</v>
      </c>
      <c r="X500" s="38"/>
      <c r="Y500" s="38"/>
      <c r="Z500" s="44"/>
      <c r="AA500" s="45">
        <v>46137</v>
      </c>
      <c r="AB500" s="45">
        <v>46177</v>
      </c>
      <c r="AC500" s="45"/>
      <c r="AD500" s="46" t="e">
        <f>IF(ISNA(VLOOKUP(D500,#REF!,5,0)),0,VLOOKUP(D500,#REF!,5,0))</f>
        <v>#REF!</v>
      </c>
      <c r="AE500" s="46" t="e">
        <f t="shared" si="62"/>
        <v>#REF!</v>
      </c>
      <c r="AF500" s="45">
        <v>46184</v>
      </c>
      <c r="AG500" s="76">
        <f t="shared" si="58"/>
        <v>47</v>
      </c>
      <c r="AH500" s="45"/>
      <c r="AI500" s="39"/>
      <c r="AJ500" s="39"/>
      <c r="AK500" s="39"/>
      <c r="AL500" s="35"/>
      <c r="AM500" s="34"/>
      <c r="AN500" s="34"/>
      <c r="AO500" s="39"/>
      <c r="AP500" s="47"/>
      <c r="AQ500" s="47"/>
      <c r="AR500" s="47"/>
      <c r="AS500" s="47"/>
    </row>
    <row r="501" spans="1:45" ht="12" customHeight="1" x14ac:dyDescent="0.25">
      <c r="A501" s="33">
        <v>500</v>
      </c>
      <c r="B501" s="34"/>
      <c r="C501" s="34" t="s">
        <v>638</v>
      </c>
      <c r="D501" s="35" t="s">
        <v>653</v>
      </c>
      <c r="E501" s="34" t="s">
        <v>172</v>
      </c>
      <c r="F501" s="34" t="s">
        <v>0</v>
      </c>
      <c r="G501" s="16" t="s">
        <v>264</v>
      </c>
      <c r="H501" s="34">
        <v>160</v>
      </c>
      <c r="I501" s="34" t="s">
        <v>62</v>
      </c>
      <c r="J501" s="34" t="s">
        <v>3</v>
      </c>
      <c r="K501" s="35" t="s">
        <v>5</v>
      </c>
      <c r="L501" s="36" t="e">
        <f>VLOOKUP(G501,#REF!,4,0)</f>
        <v>#REF!</v>
      </c>
      <c r="M501" s="37" t="e">
        <f>_xlfn.IFNA(VLOOKUP(G501,#REF!,2,0),"")</f>
        <v>#REF!</v>
      </c>
      <c r="N501" s="38" t="e">
        <f>_xlfn.IFNA(VLOOKUP(G501,#REF!,3,0),"")</f>
        <v>#REF!</v>
      </c>
      <c r="O501" s="39">
        <v>10</v>
      </c>
      <c r="P501" s="79">
        <v>145.66265060240963</v>
      </c>
      <c r="Q501" s="39" t="s">
        <v>10</v>
      </c>
      <c r="R501" s="34">
        <v>3.8</v>
      </c>
      <c r="S501" s="38">
        <v>200</v>
      </c>
      <c r="T501" s="40">
        <v>11.494252873563218</v>
      </c>
      <c r="U501" s="41">
        <f t="shared" si="59"/>
        <v>565.01232516271978</v>
      </c>
      <c r="V501" s="42">
        <f t="shared" si="60"/>
        <v>3.5313270322669985</v>
      </c>
      <c r="W501" s="43">
        <f t="shared" si="61"/>
        <v>0.5270637361592535</v>
      </c>
      <c r="X501" s="38"/>
      <c r="Y501" s="38"/>
      <c r="Z501" s="44"/>
      <c r="AA501" s="45">
        <v>46136</v>
      </c>
      <c r="AB501" s="45">
        <v>46157</v>
      </c>
      <c r="AC501" s="45"/>
      <c r="AD501" s="46" t="e">
        <f>IF(ISNA(VLOOKUP(D501,#REF!,5,0)),0,VLOOKUP(D501,#REF!,5,0))</f>
        <v>#REF!</v>
      </c>
      <c r="AE501" s="46" t="e">
        <f t="shared" si="62"/>
        <v>#REF!</v>
      </c>
      <c r="AF501" s="45">
        <v>46176</v>
      </c>
      <c r="AG501" s="76">
        <f t="shared" si="58"/>
        <v>40</v>
      </c>
      <c r="AH501" s="45"/>
      <c r="AI501" s="39"/>
      <c r="AJ501" s="39"/>
      <c r="AK501" s="39"/>
      <c r="AL501" s="35"/>
      <c r="AM501" s="34"/>
      <c r="AN501" s="34"/>
      <c r="AO501" s="39"/>
      <c r="AP501" s="47"/>
      <c r="AQ501" s="47"/>
      <c r="AR501" s="47"/>
      <c r="AS501" s="47"/>
    </row>
    <row r="502" spans="1:45" ht="12" customHeight="1" x14ac:dyDescent="0.25">
      <c r="A502" s="33">
        <v>501</v>
      </c>
      <c r="B502" s="34"/>
      <c r="C502" s="34" t="s">
        <v>638</v>
      </c>
      <c r="D502" s="35" t="s">
        <v>653</v>
      </c>
      <c r="E502" s="34" t="s">
        <v>172</v>
      </c>
      <c r="F502" s="34" t="s">
        <v>0</v>
      </c>
      <c r="G502" s="16" t="s">
        <v>266</v>
      </c>
      <c r="H502" s="34">
        <v>160</v>
      </c>
      <c r="I502" s="34" t="s">
        <v>62</v>
      </c>
      <c r="J502" s="34" t="s">
        <v>3</v>
      </c>
      <c r="K502" s="35" t="s">
        <v>5</v>
      </c>
      <c r="L502" s="36" t="e">
        <f>VLOOKUP(G502,#REF!,4,0)</f>
        <v>#REF!</v>
      </c>
      <c r="M502" s="37" t="e">
        <f>_xlfn.IFNA(VLOOKUP(G502,#REF!,2,0),"")</f>
        <v>#REF!</v>
      </c>
      <c r="N502" s="38" t="e">
        <f>_xlfn.IFNA(VLOOKUP(G502,#REF!,3,0),"")</f>
        <v>#REF!</v>
      </c>
      <c r="O502" s="39">
        <v>10</v>
      </c>
      <c r="P502" s="79">
        <v>145.66265060240963</v>
      </c>
      <c r="Q502" s="39" t="s">
        <v>10</v>
      </c>
      <c r="R502" s="34">
        <v>3.8</v>
      </c>
      <c r="S502" s="48">
        <v>200</v>
      </c>
      <c r="T502" s="40">
        <v>11.494252873563218</v>
      </c>
      <c r="U502" s="41">
        <f t="shared" si="59"/>
        <v>565.01232516271978</v>
      </c>
      <c r="V502" s="42">
        <f t="shared" si="60"/>
        <v>3.5313270322669985</v>
      </c>
      <c r="W502" s="43">
        <f t="shared" si="61"/>
        <v>0.5270637361592535</v>
      </c>
      <c r="X502" s="38"/>
      <c r="Y502" s="38"/>
      <c r="Z502" s="44"/>
      <c r="AA502" s="45">
        <v>46136</v>
      </c>
      <c r="AB502" s="45">
        <v>46157</v>
      </c>
      <c r="AC502" s="45"/>
      <c r="AD502" s="46" t="e">
        <f>IF(ISNA(VLOOKUP(D502,#REF!,5,0)),0,VLOOKUP(D502,#REF!,5,0))</f>
        <v>#REF!</v>
      </c>
      <c r="AE502" s="46" t="e">
        <f t="shared" si="62"/>
        <v>#REF!</v>
      </c>
      <c r="AF502" s="45">
        <v>46176</v>
      </c>
      <c r="AG502" s="76">
        <f t="shared" si="58"/>
        <v>40</v>
      </c>
      <c r="AH502" s="45"/>
      <c r="AI502" s="39"/>
      <c r="AJ502" s="39"/>
      <c r="AK502" s="39"/>
      <c r="AL502" s="35"/>
      <c r="AM502" s="34"/>
      <c r="AN502" s="34"/>
      <c r="AO502" s="39"/>
      <c r="AP502" s="47"/>
      <c r="AQ502" s="47"/>
      <c r="AR502" s="47"/>
      <c r="AS502" s="47"/>
    </row>
    <row r="503" spans="1:45" ht="12" customHeight="1" x14ac:dyDescent="0.25">
      <c r="A503" s="33">
        <v>502</v>
      </c>
      <c r="B503" s="34"/>
      <c r="C503" s="34" t="s">
        <v>638</v>
      </c>
      <c r="D503" s="35" t="s">
        <v>653</v>
      </c>
      <c r="E503" s="34" t="s">
        <v>172</v>
      </c>
      <c r="F503" s="34" t="s">
        <v>0</v>
      </c>
      <c r="G503" s="16" t="s">
        <v>82</v>
      </c>
      <c r="H503" s="34">
        <v>448</v>
      </c>
      <c r="I503" s="34" t="s">
        <v>62</v>
      </c>
      <c r="J503" s="34" t="s">
        <v>3</v>
      </c>
      <c r="K503" s="35" t="s">
        <v>5</v>
      </c>
      <c r="L503" s="36" t="e">
        <f>VLOOKUP(G503,#REF!,4,0)</f>
        <v>#REF!</v>
      </c>
      <c r="M503" s="37" t="e">
        <f>_xlfn.IFNA(VLOOKUP(G503,#REF!,2,0),"")</f>
        <v>#REF!</v>
      </c>
      <c r="N503" s="38" t="e">
        <f>_xlfn.IFNA(VLOOKUP(G503,#REF!,3,0),"")</f>
        <v>#REF!</v>
      </c>
      <c r="O503" s="39">
        <v>28</v>
      </c>
      <c r="P503" s="79">
        <v>407.85542168674698</v>
      </c>
      <c r="Q503" s="39" t="s">
        <v>10</v>
      </c>
      <c r="R503" s="34">
        <v>3.8</v>
      </c>
      <c r="S503" s="38"/>
      <c r="T503" s="40">
        <v>32.183908045977013</v>
      </c>
      <c r="U503" s="41">
        <f t="shared" si="59"/>
        <v>1582.0345104556154</v>
      </c>
      <c r="V503" s="42">
        <f t="shared" si="60"/>
        <v>3.5313270322669985</v>
      </c>
      <c r="W503" s="43">
        <f t="shared" si="61"/>
        <v>0.5270637361592535</v>
      </c>
      <c r="X503" s="38"/>
      <c r="Y503" s="38"/>
      <c r="Z503" s="44"/>
      <c r="AA503" s="45">
        <v>46136</v>
      </c>
      <c r="AB503" s="45">
        <v>46157</v>
      </c>
      <c r="AC503" s="45"/>
      <c r="AD503" s="46" t="e">
        <f>IF(ISNA(VLOOKUP(D503,#REF!,5,0)),0,VLOOKUP(D503,#REF!,5,0))</f>
        <v>#REF!</v>
      </c>
      <c r="AE503" s="46" t="e">
        <f t="shared" si="62"/>
        <v>#REF!</v>
      </c>
      <c r="AF503" s="45">
        <v>46176</v>
      </c>
      <c r="AG503" s="76">
        <f t="shared" si="58"/>
        <v>40</v>
      </c>
      <c r="AH503" s="45"/>
      <c r="AI503" s="39"/>
      <c r="AJ503" s="39"/>
      <c r="AK503" s="39"/>
      <c r="AL503" s="35"/>
      <c r="AM503" s="34"/>
      <c r="AN503" s="34"/>
      <c r="AO503" s="39"/>
      <c r="AP503" s="47"/>
      <c r="AQ503" s="47"/>
      <c r="AR503" s="47"/>
      <c r="AS503" s="47"/>
    </row>
    <row r="504" spans="1:45" ht="12" customHeight="1" x14ac:dyDescent="0.25">
      <c r="A504" s="33">
        <v>503</v>
      </c>
      <c r="B504" s="34"/>
      <c r="C504" s="34" t="s">
        <v>638</v>
      </c>
      <c r="D504" s="35" t="s">
        <v>653</v>
      </c>
      <c r="E504" s="34" t="s">
        <v>172</v>
      </c>
      <c r="F504" s="34" t="s">
        <v>0</v>
      </c>
      <c r="G504" s="16" t="s">
        <v>123</v>
      </c>
      <c r="H504" s="34">
        <v>480</v>
      </c>
      <c r="I504" s="34" t="s">
        <v>62</v>
      </c>
      <c r="J504" s="34" t="s">
        <v>3</v>
      </c>
      <c r="K504" s="35" t="s">
        <v>5</v>
      </c>
      <c r="L504" s="36" t="e">
        <f>VLOOKUP(G504,#REF!,4,0)</f>
        <v>#REF!</v>
      </c>
      <c r="M504" s="37" t="e">
        <f>_xlfn.IFNA(VLOOKUP(G504,#REF!,2,0),"")</f>
        <v>#REF!</v>
      </c>
      <c r="N504" s="38" t="e">
        <f>_xlfn.IFNA(VLOOKUP(G504,#REF!,3,0),"")</f>
        <v>#REF!</v>
      </c>
      <c r="O504" s="39">
        <v>30</v>
      </c>
      <c r="P504" s="79">
        <v>436.98795180722891</v>
      </c>
      <c r="Q504" s="39" t="s">
        <v>10</v>
      </c>
      <c r="R504" s="34">
        <v>3.8</v>
      </c>
      <c r="S504" s="38"/>
      <c r="T504" s="40">
        <v>34.482758620689658</v>
      </c>
      <c r="U504" s="41">
        <f t="shared" si="59"/>
        <v>1695.0369754881594</v>
      </c>
      <c r="V504" s="42">
        <f t="shared" si="60"/>
        <v>3.531327032266999</v>
      </c>
      <c r="W504" s="43">
        <f t="shared" si="61"/>
        <v>0.52706373615925362</v>
      </c>
      <c r="X504" s="38"/>
      <c r="Y504" s="38"/>
      <c r="Z504" s="44"/>
      <c r="AA504" s="45">
        <v>46136</v>
      </c>
      <c r="AB504" s="45">
        <v>46157</v>
      </c>
      <c r="AC504" s="45"/>
      <c r="AD504" s="46" t="e">
        <f>IF(ISNA(VLOOKUP(D504,#REF!,5,0)),0,VLOOKUP(D504,#REF!,5,0))</f>
        <v>#REF!</v>
      </c>
      <c r="AE504" s="46" t="e">
        <f t="shared" si="62"/>
        <v>#REF!</v>
      </c>
      <c r="AF504" s="45">
        <v>46176</v>
      </c>
      <c r="AG504" s="76">
        <f t="shared" si="58"/>
        <v>40</v>
      </c>
      <c r="AH504" s="45"/>
      <c r="AI504" s="39"/>
      <c r="AJ504" s="39"/>
      <c r="AK504" s="39"/>
      <c r="AL504" s="35"/>
      <c r="AM504" s="34"/>
      <c r="AN504" s="34"/>
      <c r="AO504" s="39"/>
      <c r="AP504" s="47"/>
      <c r="AQ504" s="47"/>
      <c r="AR504" s="47"/>
      <c r="AS504" s="47"/>
    </row>
    <row r="505" spans="1:45" ht="12" customHeight="1" x14ac:dyDescent="0.25">
      <c r="A505" s="33">
        <v>504</v>
      </c>
      <c r="B505" s="34"/>
      <c r="C505" s="34" t="s">
        <v>638</v>
      </c>
      <c r="D505" s="35" t="s">
        <v>653</v>
      </c>
      <c r="E505" s="34" t="s">
        <v>172</v>
      </c>
      <c r="F505" s="34" t="s">
        <v>0</v>
      </c>
      <c r="G505" s="16" t="s">
        <v>133</v>
      </c>
      <c r="H505" s="34">
        <v>80</v>
      </c>
      <c r="I505" s="34" t="s">
        <v>62</v>
      </c>
      <c r="J505" s="34" t="s">
        <v>3</v>
      </c>
      <c r="K505" s="35" t="s">
        <v>5</v>
      </c>
      <c r="L505" s="36" t="e">
        <f>VLOOKUP(G505,#REF!,4,0)</f>
        <v>#REF!</v>
      </c>
      <c r="M505" s="37" t="e">
        <f>_xlfn.IFNA(VLOOKUP(G505,#REF!,2,0),"")</f>
        <v>#REF!</v>
      </c>
      <c r="N505" s="38" t="e">
        <f>_xlfn.IFNA(VLOOKUP(G505,#REF!,3,0),"")</f>
        <v>#REF!</v>
      </c>
      <c r="O505" s="39">
        <v>5</v>
      </c>
      <c r="P505" s="79">
        <v>72.831325301204814</v>
      </c>
      <c r="Q505" s="39" t="s">
        <v>10</v>
      </c>
      <c r="R505" s="34">
        <v>3.8</v>
      </c>
      <c r="S505" s="38"/>
      <c r="T505" s="40">
        <v>5.7471264367816088</v>
      </c>
      <c r="U505" s="41">
        <f t="shared" si="59"/>
        <v>282.50616258135989</v>
      </c>
      <c r="V505" s="42">
        <f t="shared" si="60"/>
        <v>3.5313270322669985</v>
      </c>
      <c r="W505" s="43">
        <f t="shared" si="61"/>
        <v>0.5270637361592535</v>
      </c>
      <c r="X505" s="38"/>
      <c r="Y505" s="38"/>
      <c r="Z505" s="44"/>
      <c r="AA505" s="45">
        <v>46136</v>
      </c>
      <c r="AB505" s="45">
        <v>46157</v>
      </c>
      <c r="AC505" s="45"/>
      <c r="AD505" s="46" t="e">
        <f>IF(ISNA(VLOOKUP(D505,#REF!,5,0)),0,VLOOKUP(D505,#REF!,5,0))</f>
        <v>#REF!</v>
      </c>
      <c r="AE505" s="46" t="e">
        <f t="shared" si="62"/>
        <v>#REF!</v>
      </c>
      <c r="AF505" s="45">
        <v>46176</v>
      </c>
      <c r="AG505" s="76">
        <f t="shared" si="58"/>
        <v>40</v>
      </c>
      <c r="AH505" s="45"/>
      <c r="AI505" s="39"/>
      <c r="AJ505" s="39"/>
      <c r="AK505" s="39"/>
      <c r="AL505" s="35"/>
      <c r="AM505" s="34"/>
      <c r="AN505" s="34"/>
      <c r="AO505" s="39"/>
      <c r="AP505" s="47"/>
      <c r="AQ505" s="47"/>
      <c r="AR505" s="47"/>
      <c r="AS505" s="47"/>
    </row>
    <row r="506" spans="1:45" ht="12" customHeight="1" x14ac:dyDescent="0.25">
      <c r="A506" s="33">
        <v>505</v>
      </c>
      <c r="B506" s="34"/>
      <c r="C506" s="34" t="s">
        <v>642</v>
      </c>
      <c r="D506" s="35" t="s">
        <v>654</v>
      </c>
      <c r="E506" s="34" t="s">
        <v>58</v>
      </c>
      <c r="F506" s="34" t="s">
        <v>0</v>
      </c>
      <c r="G506" s="16" t="s">
        <v>258</v>
      </c>
      <c r="H506" s="34">
        <v>480</v>
      </c>
      <c r="I506" s="34" t="s">
        <v>66</v>
      </c>
      <c r="J506" s="34" t="s">
        <v>3</v>
      </c>
      <c r="K506" s="35" t="s">
        <v>22</v>
      </c>
      <c r="L506" s="36" t="e">
        <f>VLOOKUP(G506,#REF!,4,0)</f>
        <v>#REF!</v>
      </c>
      <c r="M506" s="37" t="e">
        <f>_xlfn.IFNA(VLOOKUP(G506,#REF!,2,0),"")</f>
        <v>#REF!</v>
      </c>
      <c r="N506" s="38" t="e">
        <f>_xlfn.IFNA(VLOOKUP(G506,#REF!,3,0),"")</f>
        <v>#REF!</v>
      </c>
      <c r="O506" s="39">
        <v>40</v>
      </c>
      <c r="P506" s="79">
        <v>676.12815533980574</v>
      </c>
      <c r="Q506" s="39" t="s">
        <v>10</v>
      </c>
      <c r="R506" s="34">
        <v>4.2</v>
      </c>
      <c r="S506" s="38">
        <v>200</v>
      </c>
      <c r="T506" s="40">
        <v>48.780487804878049</v>
      </c>
      <c r="U506" s="41">
        <f t="shared" si="59"/>
        <v>2888.5187402320626</v>
      </c>
      <c r="V506" s="42">
        <f t="shared" si="60"/>
        <v>6.0177473754834638</v>
      </c>
      <c r="W506" s="43">
        <f t="shared" si="61"/>
        <v>0.89817125007215881</v>
      </c>
      <c r="X506" s="38"/>
      <c r="Y506" s="38"/>
      <c r="Z506" s="44"/>
      <c r="AA506" s="45">
        <v>46136</v>
      </c>
      <c r="AB506" s="45">
        <v>46170</v>
      </c>
      <c r="AC506" s="45"/>
      <c r="AD506" s="46" t="e">
        <f>IF(ISNA(VLOOKUP(D506,#REF!,5,0)),0,VLOOKUP(D506,#REF!,5,0))</f>
        <v>#REF!</v>
      </c>
      <c r="AE506" s="46" t="e">
        <f t="shared" si="62"/>
        <v>#REF!</v>
      </c>
      <c r="AF506" s="45">
        <v>46183</v>
      </c>
      <c r="AG506" s="76">
        <f t="shared" si="58"/>
        <v>47</v>
      </c>
      <c r="AH506" s="45"/>
      <c r="AI506" s="39"/>
      <c r="AJ506" s="39"/>
      <c r="AK506" s="39"/>
      <c r="AL506" s="35"/>
      <c r="AM506" s="34"/>
      <c r="AN506" s="34"/>
      <c r="AO506" s="39"/>
      <c r="AP506" s="47"/>
      <c r="AQ506" s="47"/>
      <c r="AR506" s="47"/>
      <c r="AS506" s="47"/>
    </row>
    <row r="507" spans="1:45" ht="12" customHeight="1" x14ac:dyDescent="0.25">
      <c r="A507" s="33">
        <v>506</v>
      </c>
      <c r="B507" s="34"/>
      <c r="C507" s="34" t="s">
        <v>642</v>
      </c>
      <c r="D507" s="35" t="s">
        <v>654</v>
      </c>
      <c r="E507" s="34" t="s">
        <v>58</v>
      </c>
      <c r="F507" s="34" t="s">
        <v>0</v>
      </c>
      <c r="G507" s="16" t="s">
        <v>241</v>
      </c>
      <c r="H507" s="34">
        <v>756</v>
      </c>
      <c r="I507" s="34" t="s">
        <v>66</v>
      </c>
      <c r="J507" s="34" t="s">
        <v>3</v>
      </c>
      <c r="K507" s="35" t="s">
        <v>22</v>
      </c>
      <c r="L507" s="36" t="e">
        <f>VLOOKUP(G507,#REF!,4,0)</f>
        <v>#REF!</v>
      </c>
      <c r="M507" s="37" t="e">
        <f>_xlfn.IFNA(VLOOKUP(G507,#REF!,2,0),"")</f>
        <v>#REF!</v>
      </c>
      <c r="N507" s="38" t="e">
        <f>_xlfn.IFNA(VLOOKUP(G507,#REF!,3,0),"")</f>
        <v>#REF!</v>
      </c>
      <c r="O507" s="39">
        <v>63</v>
      </c>
      <c r="P507" s="79">
        <v>1064.9018446601942</v>
      </c>
      <c r="Q507" s="39" t="s">
        <v>10</v>
      </c>
      <c r="R507" s="34">
        <v>4.2</v>
      </c>
      <c r="S507" s="48">
        <v>200</v>
      </c>
      <c r="T507" s="40">
        <v>76.829268292682926</v>
      </c>
      <c r="U507" s="41">
        <f t="shared" si="59"/>
        <v>4549.4170158654988</v>
      </c>
      <c r="V507" s="42">
        <f t="shared" si="60"/>
        <v>6.0177473754834638</v>
      </c>
      <c r="W507" s="43">
        <f t="shared" si="61"/>
        <v>0.89817125007215881</v>
      </c>
      <c r="X507" s="38"/>
      <c r="Y507" s="38"/>
      <c r="Z507" s="44"/>
      <c r="AA507" s="45">
        <v>46136</v>
      </c>
      <c r="AB507" s="45">
        <v>46170</v>
      </c>
      <c r="AC507" s="45"/>
      <c r="AD507" s="46" t="e">
        <f>IF(ISNA(VLOOKUP(D507,#REF!,5,0)),0,VLOOKUP(D507,#REF!,5,0))</f>
        <v>#REF!</v>
      </c>
      <c r="AE507" s="46" t="e">
        <f t="shared" si="62"/>
        <v>#REF!</v>
      </c>
      <c r="AF507" s="45">
        <v>46183</v>
      </c>
      <c r="AG507" s="76">
        <f t="shared" si="58"/>
        <v>47</v>
      </c>
      <c r="AH507" s="45"/>
      <c r="AI507" s="39"/>
      <c r="AJ507" s="39"/>
      <c r="AK507" s="39"/>
      <c r="AL507" s="35"/>
      <c r="AM507" s="34"/>
      <c r="AN507" s="34"/>
      <c r="AO507" s="39"/>
      <c r="AP507" s="47"/>
      <c r="AQ507" s="47"/>
      <c r="AR507" s="47"/>
      <c r="AS507" s="47"/>
    </row>
    <row r="508" spans="1:45" ht="12" customHeight="1" x14ac:dyDescent="0.25">
      <c r="A508" s="33">
        <v>507</v>
      </c>
      <c r="B508" s="34"/>
      <c r="C508" s="34" t="s">
        <v>642</v>
      </c>
      <c r="D508" s="35" t="s">
        <v>655</v>
      </c>
      <c r="E508" s="34" t="s">
        <v>58</v>
      </c>
      <c r="F508" s="34" t="s">
        <v>0</v>
      </c>
      <c r="G508" s="16" t="s">
        <v>57</v>
      </c>
      <c r="H508" s="34">
        <v>252</v>
      </c>
      <c r="I508" s="34" t="s">
        <v>66</v>
      </c>
      <c r="J508" s="34" t="s">
        <v>3</v>
      </c>
      <c r="K508" s="35" t="s">
        <v>22</v>
      </c>
      <c r="L508" s="36" t="e">
        <f>VLOOKUP(G508,#REF!,4,0)</f>
        <v>#REF!</v>
      </c>
      <c r="M508" s="37" t="e">
        <f>_xlfn.IFNA(VLOOKUP(G508,#REF!,2,0),"")</f>
        <v>#REF!</v>
      </c>
      <c r="N508" s="38" t="e">
        <f>_xlfn.IFNA(VLOOKUP(G508,#REF!,3,0),"")</f>
        <v>#REF!</v>
      </c>
      <c r="O508" s="39">
        <v>21</v>
      </c>
      <c r="P508" s="79">
        <v>354.97</v>
      </c>
      <c r="Q508" s="39" t="s">
        <v>10</v>
      </c>
      <c r="R508" s="34">
        <v>4.2</v>
      </c>
      <c r="S508" s="38"/>
      <c r="T508" s="40">
        <v>25.609756097560975</v>
      </c>
      <c r="U508" s="41">
        <f t="shared" si="59"/>
        <v>1516.4837560975611</v>
      </c>
      <c r="V508" s="42">
        <f t="shared" si="60"/>
        <v>6.0177926829268298</v>
      </c>
      <c r="W508" s="43">
        <f t="shared" si="61"/>
        <v>0.89817801237713879</v>
      </c>
      <c r="X508" s="38"/>
      <c r="Y508" s="38"/>
      <c r="Z508" s="44"/>
      <c r="AA508" s="45">
        <v>46136</v>
      </c>
      <c r="AB508" s="45">
        <v>46170</v>
      </c>
      <c r="AC508" s="45"/>
      <c r="AD508" s="46" t="e">
        <f>IF(ISNA(VLOOKUP(D508,#REF!,5,0)),0,VLOOKUP(D508,#REF!,5,0))</f>
        <v>#REF!</v>
      </c>
      <c r="AE508" s="46" t="e">
        <f t="shared" si="62"/>
        <v>#REF!</v>
      </c>
      <c r="AF508" s="45">
        <v>46183</v>
      </c>
      <c r="AG508" s="76">
        <f t="shared" si="58"/>
        <v>47</v>
      </c>
      <c r="AH508" s="45"/>
      <c r="AI508" s="39"/>
      <c r="AJ508" s="39"/>
      <c r="AK508" s="39"/>
      <c r="AL508" s="35"/>
      <c r="AM508" s="34"/>
      <c r="AN508" s="34"/>
      <c r="AO508" s="39"/>
      <c r="AP508" s="47"/>
      <c r="AQ508" s="47"/>
      <c r="AR508" s="47"/>
      <c r="AS508" s="47"/>
    </row>
    <row r="509" spans="1:45" ht="12" customHeight="1" x14ac:dyDescent="0.25">
      <c r="A509" s="33">
        <v>508</v>
      </c>
      <c r="B509" s="34"/>
      <c r="C509" s="34" t="s">
        <v>656</v>
      </c>
      <c r="D509" s="35" t="s">
        <v>657</v>
      </c>
      <c r="E509" s="34" t="s">
        <v>230</v>
      </c>
      <c r="F509" s="34" t="s">
        <v>52</v>
      </c>
      <c r="G509" s="16" t="s">
        <v>85</v>
      </c>
      <c r="H509" s="34">
        <v>192</v>
      </c>
      <c r="I509" s="34" t="s">
        <v>62</v>
      </c>
      <c r="J509" s="34" t="s">
        <v>55</v>
      </c>
      <c r="K509" s="35" t="s">
        <v>56</v>
      </c>
      <c r="L509" s="36" t="e">
        <f>VLOOKUP(G509,#REF!,4,0)</f>
        <v>#REF!</v>
      </c>
      <c r="M509" s="37" t="e">
        <f>_xlfn.IFNA(VLOOKUP(G509,#REF!,2,0),"")</f>
        <v>#REF!</v>
      </c>
      <c r="N509" s="38" t="e">
        <f>_xlfn.IFNA(VLOOKUP(G509,#REF!,3,0),"")</f>
        <v>#REF!</v>
      </c>
      <c r="O509" s="39">
        <v>16</v>
      </c>
      <c r="P509" s="79">
        <v>221.47368421052633</v>
      </c>
      <c r="Q509" s="39" t="s">
        <v>10</v>
      </c>
      <c r="R509" s="34">
        <v>5.3</v>
      </c>
      <c r="S509" s="38">
        <v>350</v>
      </c>
      <c r="T509" s="40">
        <v>147.36842105263159</v>
      </c>
      <c r="U509" s="41">
        <f t="shared" si="59"/>
        <v>1321.1789473684212</v>
      </c>
      <c r="V509" s="42">
        <f t="shared" si="60"/>
        <v>6.8811403508771933</v>
      </c>
      <c r="W509" s="43">
        <f t="shared" si="61"/>
        <v>1.0270358732652527</v>
      </c>
      <c r="X509" s="38"/>
      <c r="Y509" s="38"/>
      <c r="Z509" s="44"/>
      <c r="AA509" s="45">
        <v>46136</v>
      </c>
      <c r="AB509" s="45">
        <v>46161</v>
      </c>
      <c r="AC509" s="45"/>
      <c r="AD509" s="46" t="e">
        <f>IF(ISNA(VLOOKUP(D509,#REF!,5,0)),0,VLOOKUP(D509,#REF!,5,0))</f>
        <v>#REF!</v>
      </c>
      <c r="AE509" s="46" t="e">
        <f t="shared" si="62"/>
        <v>#REF!</v>
      </c>
      <c r="AF509" s="45">
        <v>46180</v>
      </c>
      <c r="AG509" s="76">
        <f t="shared" si="58"/>
        <v>44</v>
      </c>
      <c r="AH509" s="45"/>
      <c r="AI509" s="39"/>
      <c r="AJ509" s="39"/>
      <c r="AK509" s="39"/>
      <c r="AL509" s="35"/>
      <c r="AM509" s="34"/>
      <c r="AN509" s="34"/>
      <c r="AO509" s="39"/>
      <c r="AP509" s="47"/>
      <c r="AQ509" s="47"/>
      <c r="AR509" s="47"/>
      <c r="AS509" s="47"/>
    </row>
    <row r="510" spans="1:45" ht="12" customHeight="1" x14ac:dyDescent="0.25">
      <c r="A510" s="33">
        <v>509</v>
      </c>
      <c r="B510" s="34"/>
      <c r="C510" s="34" t="s">
        <v>656</v>
      </c>
      <c r="D510" s="35" t="s">
        <v>657</v>
      </c>
      <c r="E510" s="34" t="s">
        <v>230</v>
      </c>
      <c r="F510" s="34" t="s">
        <v>52</v>
      </c>
      <c r="G510" s="16" t="s">
        <v>124</v>
      </c>
      <c r="H510" s="34">
        <v>84</v>
      </c>
      <c r="I510" s="34" t="s">
        <v>62</v>
      </c>
      <c r="J510" s="34" t="s">
        <v>55</v>
      </c>
      <c r="K510" s="35" t="s">
        <v>56</v>
      </c>
      <c r="L510" s="36" t="e">
        <f>VLOOKUP(G510,#REF!,4,0)</f>
        <v>#REF!</v>
      </c>
      <c r="M510" s="37" t="e">
        <f>_xlfn.IFNA(VLOOKUP(G510,#REF!,2,0),"")</f>
        <v>#REF!</v>
      </c>
      <c r="N510" s="38" t="e">
        <f>_xlfn.IFNA(VLOOKUP(G510,#REF!,3,0),"")</f>
        <v>#REF!</v>
      </c>
      <c r="O510" s="39">
        <v>7</v>
      </c>
      <c r="P510" s="79">
        <v>96.894736842105274</v>
      </c>
      <c r="Q510" s="39" t="s">
        <v>10</v>
      </c>
      <c r="R510" s="34">
        <v>5.3</v>
      </c>
      <c r="S510" s="48">
        <v>350</v>
      </c>
      <c r="T510" s="40">
        <v>64.473684210526315</v>
      </c>
      <c r="U510" s="41">
        <f t="shared" si="59"/>
        <v>578.01578947368432</v>
      </c>
      <c r="V510" s="42">
        <f t="shared" si="60"/>
        <v>6.8811403508771942</v>
      </c>
      <c r="W510" s="43">
        <f t="shared" si="61"/>
        <v>1.0270358732652529</v>
      </c>
      <c r="X510" s="38"/>
      <c r="Y510" s="38"/>
      <c r="Z510" s="44"/>
      <c r="AA510" s="45">
        <v>46136</v>
      </c>
      <c r="AB510" s="45">
        <v>46161</v>
      </c>
      <c r="AC510" s="45"/>
      <c r="AD510" s="46" t="e">
        <f>IF(ISNA(VLOOKUP(D510,#REF!,5,0)),0,VLOOKUP(D510,#REF!,5,0))</f>
        <v>#REF!</v>
      </c>
      <c r="AE510" s="46" t="e">
        <f t="shared" si="62"/>
        <v>#REF!</v>
      </c>
      <c r="AF510" s="45">
        <v>46180</v>
      </c>
      <c r="AG510" s="76">
        <f t="shared" si="58"/>
        <v>44</v>
      </c>
      <c r="AH510" s="45"/>
      <c r="AI510" s="39"/>
      <c r="AJ510" s="39"/>
      <c r="AK510" s="39"/>
      <c r="AL510" s="35"/>
      <c r="AM510" s="34"/>
      <c r="AN510" s="34"/>
      <c r="AO510" s="39"/>
      <c r="AP510" s="47"/>
      <c r="AQ510" s="47"/>
      <c r="AR510" s="47"/>
      <c r="AS510" s="47"/>
    </row>
    <row r="511" spans="1:45" ht="12" customHeight="1" x14ac:dyDescent="0.25">
      <c r="A511" s="33">
        <v>510</v>
      </c>
      <c r="B511" s="34"/>
      <c r="C511" s="34" t="s">
        <v>656</v>
      </c>
      <c r="D511" s="35" t="s">
        <v>657</v>
      </c>
      <c r="E511" s="34" t="s">
        <v>230</v>
      </c>
      <c r="F511" s="34" t="s">
        <v>52</v>
      </c>
      <c r="G511" s="16" t="s">
        <v>86</v>
      </c>
      <c r="H511" s="34">
        <v>180</v>
      </c>
      <c r="I511" s="34" t="s">
        <v>62</v>
      </c>
      <c r="J511" s="34" t="s">
        <v>55</v>
      </c>
      <c r="K511" s="35" t="s">
        <v>56</v>
      </c>
      <c r="L511" s="36" t="e">
        <f>VLOOKUP(G511,#REF!,4,0)</f>
        <v>#REF!</v>
      </c>
      <c r="M511" s="37" t="e">
        <f>_xlfn.IFNA(VLOOKUP(G511,#REF!,2,0),"")</f>
        <v>#REF!</v>
      </c>
      <c r="N511" s="38" t="e">
        <f>_xlfn.IFNA(VLOOKUP(G511,#REF!,3,0),"")</f>
        <v>#REF!</v>
      </c>
      <c r="O511" s="39">
        <v>15</v>
      </c>
      <c r="P511" s="79">
        <v>207.63157894736844</v>
      </c>
      <c r="Q511" s="39" t="s">
        <v>10</v>
      </c>
      <c r="R511" s="34">
        <v>5.3</v>
      </c>
      <c r="S511" s="38"/>
      <c r="T511" s="40">
        <v>138.15789473684211</v>
      </c>
      <c r="U511" s="41">
        <f t="shared" si="59"/>
        <v>1238.6052631578948</v>
      </c>
      <c r="V511" s="42">
        <f t="shared" si="60"/>
        <v>6.8811403508771933</v>
      </c>
      <c r="W511" s="43">
        <f t="shared" si="61"/>
        <v>1.0270358732652527</v>
      </c>
      <c r="X511" s="38"/>
      <c r="Y511" s="38"/>
      <c r="Z511" s="44"/>
      <c r="AA511" s="45">
        <v>46136</v>
      </c>
      <c r="AB511" s="45">
        <v>46161</v>
      </c>
      <c r="AC511" s="45"/>
      <c r="AD511" s="46" t="e">
        <f>IF(ISNA(VLOOKUP(D511,#REF!,5,0)),0,VLOOKUP(D511,#REF!,5,0))</f>
        <v>#REF!</v>
      </c>
      <c r="AE511" s="46" t="e">
        <f t="shared" si="62"/>
        <v>#REF!</v>
      </c>
      <c r="AF511" s="45">
        <v>46180</v>
      </c>
      <c r="AG511" s="76">
        <f t="shared" si="58"/>
        <v>44</v>
      </c>
      <c r="AH511" s="45"/>
      <c r="AI511" s="39"/>
      <c r="AJ511" s="39"/>
      <c r="AK511" s="39"/>
      <c r="AL511" s="35"/>
      <c r="AM511" s="34"/>
      <c r="AN511" s="34"/>
      <c r="AO511" s="39"/>
      <c r="AP511" s="47"/>
      <c r="AQ511" s="47"/>
      <c r="AR511" s="47"/>
      <c r="AS511" s="47"/>
    </row>
    <row r="512" spans="1:45" ht="12" customHeight="1" x14ac:dyDescent="0.25">
      <c r="A512" s="33">
        <v>511</v>
      </c>
      <c r="B512" s="34"/>
      <c r="C512" s="34" t="s">
        <v>658</v>
      </c>
      <c r="D512" s="35" t="s">
        <v>659</v>
      </c>
      <c r="E512" s="34" t="s">
        <v>470</v>
      </c>
      <c r="F512" s="34" t="s">
        <v>0</v>
      </c>
      <c r="G512" s="16" t="s">
        <v>432</v>
      </c>
      <c r="H512" s="34">
        <v>300</v>
      </c>
      <c r="I512" s="34" t="s">
        <v>66</v>
      </c>
      <c r="J512" s="34" t="s">
        <v>3</v>
      </c>
      <c r="K512" s="35" t="s">
        <v>22</v>
      </c>
      <c r="L512" s="36" t="e">
        <f>VLOOKUP(G512,#REF!,4,0)</f>
        <v>#REF!</v>
      </c>
      <c r="M512" s="37" t="e">
        <f>_xlfn.IFNA(VLOOKUP(G512,#REF!,2,0),"")</f>
        <v>#REF!</v>
      </c>
      <c r="N512" s="38" t="e">
        <f>_xlfn.IFNA(VLOOKUP(G512,#REF!,3,0),"")</f>
        <v>#REF!</v>
      </c>
      <c r="O512" s="39">
        <v>10</v>
      </c>
      <c r="P512" s="79">
        <v>157</v>
      </c>
      <c r="Q512" s="39" t="s">
        <v>10</v>
      </c>
      <c r="R512" s="34">
        <v>4.2</v>
      </c>
      <c r="S512" s="38">
        <v>200</v>
      </c>
      <c r="T512" s="40">
        <v>200</v>
      </c>
      <c r="U512" s="41">
        <f t="shared" si="59"/>
        <v>859.4</v>
      </c>
      <c r="V512" s="42">
        <f t="shared" si="60"/>
        <v>2.8646666666666665</v>
      </c>
      <c r="W512" s="43">
        <f t="shared" si="61"/>
        <v>0.42756218905472632</v>
      </c>
      <c r="X512" s="38"/>
      <c r="Y512" s="38"/>
      <c r="Z512" s="44"/>
      <c r="AA512" s="45">
        <v>46137</v>
      </c>
      <c r="AB512" s="45">
        <v>46170</v>
      </c>
      <c r="AC512" s="45"/>
      <c r="AD512" s="46" t="e">
        <f>IF(ISNA(VLOOKUP(D512,#REF!,5,0)),0,VLOOKUP(D512,#REF!,5,0))</f>
        <v>#REF!</v>
      </c>
      <c r="AE512" s="46" t="e">
        <f t="shared" si="62"/>
        <v>#REF!</v>
      </c>
      <c r="AF512" s="45">
        <v>46178</v>
      </c>
      <c r="AG512" s="76">
        <f t="shared" si="58"/>
        <v>41</v>
      </c>
      <c r="AH512" s="45"/>
      <c r="AI512" s="39"/>
      <c r="AJ512" s="39"/>
      <c r="AK512" s="39"/>
      <c r="AL512" s="35"/>
      <c r="AM512" s="34"/>
      <c r="AN512" s="34"/>
      <c r="AO512" s="39"/>
      <c r="AP512" s="47"/>
      <c r="AQ512" s="47"/>
      <c r="AR512" s="47"/>
      <c r="AS512" s="47"/>
    </row>
    <row r="513" spans="1:45" ht="12" customHeight="1" x14ac:dyDescent="0.25">
      <c r="A513" s="33">
        <v>512</v>
      </c>
      <c r="B513" s="34"/>
      <c r="C513" s="34" t="s">
        <v>660</v>
      </c>
      <c r="D513" s="35" t="s">
        <v>661</v>
      </c>
      <c r="E513" s="34" t="s">
        <v>61</v>
      </c>
      <c r="F513" s="34" t="s">
        <v>0</v>
      </c>
      <c r="G513" s="16" t="s">
        <v>223</v>
      </c>
      <c r="H513" s="34">
        <v>80</v>
      </c>
      <c r="I513" s="34" t="s">
        <v>54</v>
      </c>
      <c r="J513" s="34" t="s">
        <v>3</v>
      </c>
      <c r="K513" s="35" t="s">
        <v>19</v>
      </c>
      <c r="L513" s="36" t="e">
        <f>VLOOKUP(G513,#REF!,4,0)</f>
        <v>#REF!</v>
      </c>
      <c r="M513" s="37" t="e">
        <f>_xlfn.IFNA(VLOOKUP(G513,#REF!,2,0),"")</f>
        <v>#REF!</v>
      </c>
      <c r="N513" s="38" t="e">
        <f>_xlfn.IFNA(VLOOKUP(G513,#REF!,3,0),"")</f>
        <v>#REF!</v>
      </c>
      <c r="O513" s="39">
        <v>4</v>
      </c>
      <c r="P513" s="79">
        <v>68</v>
      </c>
      <c r="Q513" s="39" t="s">
        <v>10</v>
      </c>
      <c r="R513" s="34">
        <v>3.9</v>
      </c>
      <c r="S513" s="38">
        <v>200</v>
      </c>
      <c r="T513" s="40">
        <v>8.6021505376344081</v>
      </c>
      <c r="U513" s="41">
        <f t="shared" ref="U513:U553" si="63">R513*P513+T513</f>
        <v>273.80215053763442</v>
      </c>
      <c r="V513" s="42">
        <f t="shared" ref="V513:V553" si="64">U513/H513</f>
        <v>3.4225268817204304</v>
      </c>
      <c r="W513" s="43">
        <f t="shared" ref="W513:W553" si="65">V513/6.7</f>
        <v>0.5108249077194672</v>
      </c>
      <c r="X513" s="38"/>
      <c r="Y513" s="38"/>
      <c r="Z513" s="44"/>
      <c r="AA513" s="45">
        <v>46142</v>
      </c>
      <c r="AB513" s="45">
        <v>46166</v>
      </c>
      <c r="AC513" s="45"/>
      <c r="AD513" s="46" t="e">
        <f>IF(ISNA(VLOOKUP(D513,#REF!,5,0)),0,VLOOKUP(D513,#REF!,5,0))</f>
        <v>#REF!</v>
      </c>
      <c r="AE513" s="46" t="e">
        <f t="shared" si="62"/>
        <v>#REF!</v>
      </c>
      <c r="AF513" s="45">
        <v>46182</v>
      </c>
      <c r="AG513" s="76">
        <f t="shared" si="58"/>
        <v>40</v>
      </c>
      <c r="AH513" s="45"/>
      <c r="AI513" s="39"/>
      <c r="AJ513" s="39"/>
      <c r="AK513" s="39"/>
      <c r="AL513" s="35"/>
      <c r="AM513" s="34"/>
      <c r="AN513" s="34"/>
      <c r="AO513" s="39"/>
      <c r="AP513" s="47"/>
      <c r="AQ513" s="47"/>
      <c r="AR513" s="47"/>
      <c r="AS513" s="47"/>
    </row>
    <row r="514" spans="1:45" ht="12" customHeight="1" x14ac:dyDescent="0.25">
      <c r="A514" s="33">
        <v>513</v>
      </c>
      <c r="B514" s="34"/>
      <c r="C514" s="34" t="s">
        <v>662</v>
      </c>
      <c r="D514" s="35" t="s">
        <v>663</v>
      </c>
      <c r="E514" s="34" t="s">
        <v>61</v>
      </c>
      <c r="F514" s="34" t="s">
        <v>0</v>
      </c>
      <c r="G514" s="16" t="s">
        <v>243</v>
      </c>
      <c r="H514" s="34">
        <v>600</v>
      </c>
      <c r="I514" s="34" t="s">
        <v>54</v>
      </c>
      <c r="J514" s="34" t="s">
        <v>2</v>
      </c>
      <c r="K514" s="35" t="s">
        <v>9</v>
      </c>
      <c r="L514" s="36" t="e">
        <f>VLOOKUP(G514,#REF!,4,0)</f>
        <v>#REF!</v>
      </c>
      <c r="M514" s="37" t="e">
        <f>_xlfn.IFNA(VLOOKUP(G514,#REF!,2,0),"")</f>
        <v>#REF!</v>
      </c>
      <c r="N514" s="38" t="e">
        <f>_xlfn.IFNA(VLOOKUP(G514,#REF!,3,0),"")</f>
        <v>#REF!</v>
      </c>
      <c r="O514" s="39">
        <v>15</v>
      </c>
      <c r="P514" s="79">
        <v>204</v>
      </c>
      <c r="Q514" s="39" t="s">
        <v>10</v>
      </c>
      <c r="R514" s="34">
        <v>8.4</v>
      </c>
      <c r="S514" s="38">
        <v>200</v>
      </c>
      <c r="T514" s="40">
        <v>200</v>
      </c>
      <c r="U514" s="41">
        <f t="shared" si="63"/>
        <v>1913.6000000000001</v>
      </c>
      <c r="V514" s="42">
        <f t="shared" si="64"/>
        <v>3.1893333333333334</v>
      </c>
      <c r="W514" s="43">
        <f t="shared" si="65"/>
        <v>0.47601990049751242</v>
      </c>
      <c r="X514" s="38"/>
      <c r="Y514" s="38"/>
      <c r="Z514" s="44"/>
      <c r="AA514" s="45">
        <v>46142</v>
      </c>
      <c r="AB514" s="45">
        <v>46167</v>
      </c>
      <c r="AC514" s="45"/>
      <c r="AD514" s="46" t="e">
        <f>IF(ISNA(VLOOKUP(D514,#REF!,5,0)),0,VLOOKUP(D514,#REF!,5,0))</f>
        <v>#REF!</v>
      </c>
      <c r="AE514" s="46" t="e">
        <f t="shared" si="62"/>
        <v>#REF!</v>
      </c>
      <c r="AF514" s="45">
        <v>46185</v>
      </c>
      <c r="AG514" s="76">
        <f t="shared" ref="AG514:AG577" si="66">AF514-AA514</f>
        <v>43</v>
      </c>
      <c r="AH514" s="45"/>
      <c r="AI514" s="39"/>
      <c r="AJ514" s="39"/>
      <c r="AK514" s="39"/>
      <c r="AL514" s="35"/>
      <c r="AM514" s="34"/>
      <c r="AN514" s="34"/>
      <c r="AO514" s="39"/>
      <c r="AP514" s="47"/>
      <c r="AQ514" s="47"/>
      <c r="AR514" s="47"/>
      <c r="AS514" s="47"/>
    </row>
    <row r="515" spans="1:45" ht="12" customHeight="1" x14ac:dyDescent="0.25">
      <c r="A515" s="33">
        <v>514</v>
      </c>
      <c r="B515" s="34"/>
      <c r="C515" s="34" t="s">
        <v>169</v>
      </c>
      <c r="D515" s="35" t="s">
        <v>664</v>
      </c>
      <c r="E515" s="34" t="s">
        <v>58</v>
      </c>
      <c r="F515" s="34" t="s">
        <v>0</v>
      </c>
      <c r="G515" s="16" t="s">
        <v>64</v>
      </c>
      <c r="H515" s="34">
        <v>1600</v>
      </c>
      <c r="I515" s="34" t="s">
        <v>62</v>
      </c>
      <c r="J515" s="34" t="s">
        <v>3</v>
      </c>
      <c r="K515" s="35" t="s">
        <v>9</v>
      </c>
      <c r="L515" s="36" t="e">
        <f>VLOOKUP(G515,#REF!,4,0)</f>
        <v>#REF!</v>
      </c>
      <c r="M515" s="37" t="e">
        <f>_xlfn.IFNA(VLOOKUP(G515,#REF!,2,0),"")</f>
        <v>#REF!</v>
      </c>
      <c r="N515" s="38" t="e">
        <f>_xlfn.IFNA(VLOOKUP(G515,#REF!,3,0),"")</f>
        <v>#REF!</v>
      </c>
      <c r="O515" s="39">
        <v>40</v>
      </c>
      <c r="P515" s="79">
        <v>555.00224719101129</v>
      </c>
      <c r="Q515" s="39" t="s">
        <v>10</v>
      </c>
      <c r="R515" s="34">
        <v>3.8</v>
      </c>
      <c r="S515" s="38">
        <v>200</v>
      </c>
      <c r="T515" s="40">
        <v>40</v>
      </c>
      <c r="U515" s="41">
        <f t="shared" si="63"/>
        <v>2149.0085393258428</v>
      </c>
      <c r="V515" s="42">
        <f t="shared" si="64"/>
        <v>1.3431303370786518</v>
      </c>
      <c r="W515" s="43">
        <f t="shared" si="65"/>
        <v>0.20046721448935101</v>
      </c>
      <c r="X515" s="38"/>
      <c r="Y515" s="38"/>
      <c r="Z515" s="44"/>
      <c r="AA515" s="45">
        <v>46142</v>
      </c>
      <c r="AB515" s="45">
        <v>46166</v>
      </c>
      <c r="AC515" s="45"/>
      <c r="AD515" s="46" t="e">
        <f>IF(ISNA(VLOOKUP(D515,#REF!,5,0)),0,VLOOKUP(D515,#REF!,5,0))</f>
        <v>#REF!</v>
      </c>
      <c r="AE515" s="46" t="e">
        <f t="shared" si="62"/>
        <v>#REF!</v>
      </c>
      <c r="AF515" s="45">
        <v>46179</v>
      </c>
      <c r="AG515" s="76">
        <f t="shared" si="66"/>
        <v>37</v>
      </c>
      <c r="AH515" s="45"/>
      <c r="AI515" s="39"/>
      <c r="AJ515" s="39"/>
      <c r="AK515" s="39"/>
      <c r="AL515" s="35"/>
      <c r="AM515" s="34"/>
      <c r="AN515" s="34"/>
      <c r="AO515" s="39"/>
      <c r="AP515" s="47"/>
      <c r="AQ515" s="47"/>
      <c r="AR515" s="47"/>
      <c r="AS515" s="47"/>
    </row>
    <row r="516" spans="1:45" ht="12" customHeight="1" x14ac:dyDescent="0.25">
      <c r="A516" s="33">
        <v>515</v>
      </c>
      <c r="B516" s="34"/>
      <c r="C516" s="34" t="s">
        <v>169</v>
      </c>
      <c r="D516" s="35" t="s">
        <v>664</v>
      </c>
      <c r="E516" s="34" t="s">
        <v>58</v>
      </c>
      <c r="F516" s="34" t="s">
        <v>0</v>
      </c>
      <c r="G516" s="16" t="s">
        <v>97</v>
      </c>
      <c r="H516" s="34">
        <v>200</v>
      </c>
      <c r="I516" s="34" t="s">
        <v>62</v>
      </c>
      <c r="J516" s="34" t="s">
        <v>3</v>
      </c>
      <c r="K516" s="35" t="s">
        <v>9</v>
      </c>
      <c r="L516" s="36" t="e">
        <f>VLOOKUP(G516,#REF!,4,0)</f>
        <v>#REF!</v>
      </c>
      <c r="M516" s="37" t="e">
        <f>_xlfn.IFNA(VLOOKUP(G516,#REF!,2,0),"")</f>
        <v>#REF!</v>
      </c>
      <c r="N516" s="38" t="e">
        <f>_xlfn.IFNA(VLOOKUP(G516,#REF!,3,0),"")</f>
        <v>#REF!</v>
      </c>
      <c r="O516" s="39">
        <v>5</v>
      </c>
      <c r="P516" s="79">
        <v>69.375280898876412</v>
      </c>
      <c r="Q516" s="39" t="s">
        <v>10</v>
      </c>
      <c r="R516" s="34">
        <v>3.8</v>
      </c>
      <c r="S516" s="48">
        <v>200</v>
      </c>
      <c r="T516" s="40">
        <v>5</v>
      </c>
      <c r="U516" s="41">
        <f t="shared" si="63"/>
        <v>268.62606741573035</v>
      </c>
      <c r="V516" s="42">
        <f t="shared" si="64"/>
        <v>1.3431303370786518</v>
      </c>
      <c r="W516" s="43">
        <f t="shared" si="65"/>
        <v>0.20046721448935101</v>
      </c>
      <c r="X516" s="38"/>
      <c r="Y516" s="38"/>
      <c r="Z516" s="44"/>
      <c r="AA516" s="45">
        <v>46142</v>
      </c>
      <c r="AB516" s="45">
        <v>46166</v>
      </c>
      <c r="AC516" s="45"/>
      <c r="AD516" s="46" t="e">
        <f>IF(ISNA(VLOOKUP(D516,#REF!,5,0)),0,VLOOKUP(D516,#REF!,5,0))</f>
        <v>#REF!</v>
      </c>
      <c r="AE516" s="46" t="e">
        <f t="shared" si="62"/>
        <v>#REF!</v>
      </c>
      <c r="AF516" s="45">
        <v>46179</v>
      </c>
      <c r="AG516" s="76">
        <f t="shared" si="66"/>
        <v>37</v>
      </c>
      <c r="AH516" s="45"/>
      <c r="AI516" s="39"/>
      <c r="AJ516" s="39"/>
      <c r="AK516" s="39"/>
      <c r="AL516" s="35"/>
      <c r="AM516" s="34"/>
      <c r="AN516" s="34"/>
      <c r="AO516" s="39"/>
      <c r="AP516" s="47"/>
      <c r="AQ516" s="47"/>
      <c r="AR516" s="47"/>
      <c r="AS516" s="47"/>
    </row>
    <row r="517" spans="1:45" ht="12" customHeight="1" x14ac:dyDescent="0.25">
      <c r="A517" s="33">
        <v>516</v>
      </c>
      <c r="B517" s="34"/>
      <c r="C517" s="34" t="s">
        <v>169</v>
      </c>
      <c r="D517" s="35" t="s">
        <v>664</v>
      </c>
      <c r="E517" s="34" t="s">
        <v>58</v>
      </c>
      <c r="F517" s="34" t="s">
        <v>0</v>
      </c>
      <c r="G517" s="16" t="s">
        <v>149</v>
      </c>
      <c r="H517" s="34">
        <v>200</v>
      </c>
      <c r="I517" s="34" t="s">
        <v>62</v>
      </c>
      <c r="J517" s="34" t="s">
        <v>3</v>
      </c>
      <c r="K517" s="35" t="s">
        <v>9</v>
      </c>
      <c r="L517" s="36" t="e">
        <f>VLOOKUP(G517,#REF!,4,0)</f>
        <v>#REF!</v>
      </c>
      <c r="M517" s="37" t="e">
        <f>_xlfn.IFNA(VLOOKUP(G517,#REF!,2,0),"")</f>
        <v>#REF!</v>
      </c>
      <c r="N517" s="38" t="e">
        <f>_xlfn.IFNA(VLOOKUP(G517,#REF!,3,0),"")</f>
        <v>#REF!</v>
      </c>
      <c r="O517" s="39">
        <v>5</v>
      </c>
      <c r="P517" s="79">
        <v>69.375280898876412</v>
      </c>
      <c r="Q517" s="39" t="s">
        <v>10</v>
      </c>
      <c r="R517" s="34">
        <v>3.8</v>
      </c>
      <c r="S517" s="38"/>
      <c r="T517" s="40">
        <v>5</v>
      </c>
      <c r="U517" s="41">
        <f t="shared" si="63"/>
        <v>268.62606741573035</v>
      </c>
      <c r="V517" s="42">
        <f t="shared" si="64"/>
        <v>1.3431303370786518</v>
      </c>
      <c r="W517" s="43">
        <f t="shared" si="65"/>
        <v>0.20046721448935101</v>
      </c>
      <c r="X517" s="38"/>
      <c r="Y517" s="38"/>
      <c r="Z517" s="44"/>
      <c r="AA517" s="45">
        <v>46142</v>
      </c>
      <c r="AB517" s="45">
        <v>46166</v>
      </c>
      <c r="AC517" s="45"/>
      <c r="AD517" s="46" t="e">
        <f>IF(ISNA(VLOOKUP(D517,#REF!,5,0)),0,VLOOKUP(D517,#REF!,5,0))</f>
        <v>#REF!</v>
      </c>
      <c r="AE517" s="46" t="e">
        <f t="shared" si="62"/>
        <v>#REF!</v>
      </c>
      <c r="AF517" s="45">
        <v>46179</v>
      </c>
      <c r="AG517" s="76">
        <f t="shared" si="66"/>
        <v>37</v>
      </c>
      <c r="AH517" s="45"/>
      <c r="AI517" s="39"/>
      <c r="AJ517" s="39"/>
      <c r="AK517" s="39"/>
      <c r="AL517" s="35"/>
      <c r="AM517" s="34"/>
      <c r="AN517" s="34"/>
      <c r="AO517" s="39"/>
      <c r="AP517" s="47"/>
      <c r="AQ517" s="47"/>
      <c r="AR517" s="47"/>
      <c r="AS517" s="47"/>
    </row>
    <row r="518" spans="1:45" ht="12" customHeight="1" x14ac:dyDescent="0.25">
      <c r="A518" s="33">
        <v>517</v>
      </c>
      <c r="B518" s="34"/>
      <c r="C518" s="34" t="s">
        <v>169</v>
      </c>
      <c r="D518" s="35" t="s">
        <v>664</v>
      </c>
      <c r="E518" s="34" t="s">
        <v>58</v>
      </c>
      <c r="F518" s="34" t="s">
        <v>0</v>
      </c>
      <c r="G518" s="16" t="s">
        <v>65</v>
      </c>
      <c r="H518" s="34">
        <v>520</v>
      </c>
      <c r="I518" s="34" t="s">
        <v>62</v>
      </c>
      <c r="J518" s="34" t="s">
        <v>3</v>
      </c>
      <c r="K518" s="35" t="s">
        <v>9</v>
      </c>
      <c r="L518" s="36" t="e">
        <f>VLOOKUP(G518,#REF!,4,0)</f>
        <v>#REF!</v>
      </c>
      <c r="M518" s="37" t="e">
        <f>_xlfn.IFNA(VLOOKUP(G518,#REF!,2,0),"")</f>
        <v>#REF!</v>
      </c>
      <c r="N518" s="38" t="e">
        <f>_xlfn.IFNA(VLOOKUP(G518,#REF!,3,0),"")</f>
        <v>#REF!</v>
      </c>
      <c r="O518" s="39">
        <v>13</v>
      </c>
      <c r="P518" s="79">
        <v>180.37573033707866</v>
      </c>
      <c r="Q518" s="39" t="s">
        <v>10</v>
      </c>
      <c r="R518" s="34">
        <v>3.8</v>
      </c>
      <c r="S518" s="38"/>
      <c r="T518" s="40">
        <v>13</v>
      </c>
      <c r="U518" s="41">
        <f t="shared" si="63"/>
        <v>698.42777528089891</v>
      </c>
      <c r="V518" s="42">
        <f t="shared" si="64"/>
        <v>1.3431303370786518</v>
      </c>
      <c r="W518" s="43">
        <f t="shared" si="65"/>
        <v>0.20046721448935101</v>
      </c>
      <c r="X518" s="38"/>
      <c r="Y518" s="38"/>
      <c r="Z518" s="44"/>
      <c r="AA518" s="45">
        <v>46142</v>
      </c>
      <c r="AB518" s="45">
        <v>46166</v>
      </c>
      <c r="AC518" s="45"/>
      <c r="AD518" s="46" t="e">
        <f>IF(ISNA(VLOOKUP(D518,#REF!,5,0)),0,VLOOKUP(D518,#REF!,5,0))</f>
        <v>#REF!</v>
      </c>
      <c r="AE518" s="46" t="e">
        <f t="shared" si="62"/>
        <v>#REF!</v>
      </c>
      <c r="AF518" s="45">
        <v>46179</v>
      </c>
      <c r="AG518" s="76">
        <f t="shared" si="66"/>
        <v>37</v>
      </c>
      <c r="AH518" s="45"/>
      <c r="AI518" s="39"/>
      <c r="AJ518" s="39"/>
      <c r="AK518" s="39"/>
      <c r="AL518" s="35"/>
      <c r="AM518" s="34"/>
      <c r="AN518" s="34"/>
      <c r="AO518" s="39"/>
      <c r="AP518" s="47"/>
      <c r="AQ518" s="47"/>
      <c r="AR518" s="47"/>
      <c r="AS518" s="47"/>
    </row>
    <row r="519" spans="1:45" ht="12" customHeight="1" x14ac:dyDescent="0.25">
      <c r="A519" s="33">
        <v>518</v>
      </c>
      <c r="B519" s="34"/>
      <c r="C519" s="34" t="s">
        <v>169</v>
      </c>
      <c r="D519" s="35" t="s">
        <v>664</v>
      </c>
      <c r="E519" s="34" t="s">
        <v>58</v>
      </c>
      <c r="F519" s="34" t="s">
        <v>0</v>
      </c>
      <c r="G519" s="16" t="s">
        <v>251</v>
      </c>
      <c r="H519" s="34">
        <v>210</v>
      </c>
      <c r="I519" s="34" t="s">
        <v>62</v>
      </c>
      <c r="J519" s="34" t="s">
        <v>3</v>
      </c>
      <c r="K519" s="35" t="s">
        <v>9</v>
      </c>
      <c r="L519" s="36" t="e">
        <f>VLOOKUP(G519,#REF!,4,0)</f>
        <v>#REF!</v>
      </c>
      <c r="M519" s="37" t="e">
        <f>_xlfn.IFNA(VLOOKUP(G519,#REF!,2,0),"")</f>
        <v>#REF!</v>
      </c>
      <c r="N519" s="38" t="e">
        <f>_xlfn.IFNA(VLOOKUP(G519,#REF!,3,0),"")</f>
        <v>#REF!</v>
      </c>
      <c r="O519" s="39">
        <v>7</v>
      </c>
      <c r="P519" s="79">
        <v>97.125393258426968</v>
      </c>
      <c r="Q519" s="39" t="s">
        <v>10</v>
      </c>
      <c r="R519" s="34">
        <v>3.8</v>
      </c>
      <c r="S519" s="38"/>
      <c r="T519" s="40">
        <v>7</v>
      </c>
      <c r="U519" s="41">
        <f t="shared" si="63"/>
        <v>376.07649438202247</v>
      </c>
      <c r="V519" s="42">
        <f t="shared" si="64"/>
        <v>1.7908404494382022</v>
      </c>
      <c r="W519" s="43">
        <f t="shared" si="65"/>
        <v>0.26728961931913464</v>
      </c>
      <c r="X519" s="38"/>
      <c r="Y519" s="38"/>
      <c r="Z519" s="44"/>
      <c r="AA519" s="45">
        <v>46142</v>
      </c>
      <c r="AB519" s="45">
        <v>46166</v>
      </c>
      <c r="AC519" s="45"/>
      <c r="AD519" s="46" t="e">
        <f>IF(ISNA(VLOOKUP(D519,#REF!,5,0)),0,VLOOKUP(D519,#REF!,5,0))</f>
        <v>#REF!</v>
      </c>
      <c r="AE519" s="46" t="e">
        <f t="shared" si="62"/>
        <v>#REF!</v>
      </c>
      <c r="AF519" s="45">
        <v>46179</v>
      </c>
      <c r="AG519" s="76">
        <f t="shared" si="66"/>
        <v>37</v>
      </c>
      <c r="AH519" s="45"/>
      <c r="AI519" s="39"/>
      <c r="AJ519" s="39"/>
      <c r="AK519" s="39"/>
      <c r="AL519" s="35"/>
      <c r="AM519" s="34"/>
      <c r="AN519" s="34"/>
      <c r="AO519" s="39"/>
      <c r="AP519" s="47"/>
      <c r="AQ519" s="47"/>
      <c r="AR519" s="47"/>
      <c r="AS519" s="47"/>
    </row>
    <row r="520" spans="1:45" ht="12" customHeight="1" x14ac:dyDescent="0.25">
      <c r="A520" s="33">
        <v>519</v>
      </c>
      <c r="B520" s="34"/>
      <c r="C520" s="34" t="s">
        <v>169</v>
      </c>
      <c r="D520" s="35" t="s">
        <v>664</v>
      </c>
      <c r="E520" s="34" t="s">
        <v>58</v>
      </c>
      <c r="F520" s="34" t="s">
        <v>0</v>
      </c>
      <c r="G520" s="16" t="s">
        <v>252</v>
      </c>
      <c r="H520" s="34">
        <v>210</v>
      </c>
      <c r="I520" s="34" t="s">
        <v>62</v>
      </c>
      <c r="J520" s="34" t="s">
        <v>3</v>
      </c>
      <c r="K520" s="35" t="s">
        <v>9</v>
      </c>
      <c r="L520" s="36" t="e">
        <f>VLOOKUP(G520,#REF!,4,0)</f>
        <v>#REF!</v>
      </c>
      <c r="M520" s="37" t="e">
        <f>_xlfn.IFNA(VLOOKUP(G520,#REF!,2,0),"")</f>
        <v>#REF!</v>
      </c>
      <c r="N520" s="38" t="e">
        <f>_xlfn.IFNA(VLOOKUP(G520,#REF!,3,0),"")</f>
        <v>#REF!</v>
      </c>
      <c r="O520" s="39">
        <v>7</v>
      </c>
      <c r="P520" s="79">
        <v>97.125393258426968</v>
      </c>
      <c r="Q520" s="39" t="s">
        <v>10</v>
      </c>
      <c r="R520" s="34">
        <v>3.8</v>
      </c>
      <c r="S520" s="38"/>
      <c r="T520" s="40">
        <v>7</v>
      </c>
      <c r="U520" s="41">
        <f t="shared" si="63"/>
        <v>376.07649438202247</v>
      </c>
      <c r="V520" s="42">
        <f t="shared" si="64"/>
        <v>1.7908404494382022</v>
      </c>
      <c r="W520" s="43">
        <f t="shared" si="65"/>
        <v>0.26728961931913464</v>
      </c>
      <c r="X520" s="38"/>
      <c r="Y520" s="38"/>
      <c r="Z520" s="44"/>
      <c r="AA520" s="45">
        <v>46142</v>
      </c>
      <c r="AB520" s="45">
        <v>46166</v>
      </c>
      <c r="AC520" s="45"/>
      <c r="AD520" s="46" t="e">
        <f>IF(ISNA(VLOOKUP(D520,#REF!,5,0)),0,VLOOKUP(D520,#REF!,5,0))</f>
        <v>#REF!</v>
      </c>
      <c r="AE520" s="46" t="e">
        <f t="shared" si="62"/>
        <v>#REF!</v>
      </c>
      <c r="AF520" s="45">
        <v>46179</v>
      </c>
      <c r="AG520" s="76">
        <f t="shared" si="66"/>
        <v>37</v>
      </c>
      <c r="AH520" s="45"/>
      <c r="AI520" s="39"/>
      <c r="AJ520" s="39"/>
      <c r="AK520" s="39"/>
      <c r="AL520" s="35"/>
      <c r="AM520" s="34"/>
      <c r="AN520" s="34"/>
      <c r="AO520" s="39"/>
      <c r="AP520" s="47"/>
      <c r="AQ520" s="47"/>
      <c r="AR520" s="47"/>
      <c r="AS520" s="47"/>
    </row>
    <row r="521" spans="1:45" ht="12" customHeight="1" x14ac:dyDescent="0.25">
      <c r="A521" s="33">
        <v>520</v>
      </c>
      <c r="B521" s="34"/>
      <c r="C521" s="34" t="s">
        <v>169</v>
      </c>
      <c r="D521" s="35" t="s">
        <v>664</v>
      </c>
      <c r="E521" s="34" t="s">
        <v>58</v>
      </c>
      <c r="F521" s="34" t="s">
        <v>0</v>
      </c>
      <c r="G521" s="16" t="s">
        <v>665</v>
      </c>
      <c r="H521" s="34">
        <v>300</v>
      </c>
      <c r="I521" s="34" t="s">
        <v>62</v>
      </c>
      <c r="J521" s="34" t="s">
        <v>3</v>
      </c>
      <c r="K521" s="35" t="s">
        <v>9</v>
      </c>
      <c r="L521" s="36" t="e">
        <f>VLOOKUP(G521,#REF!,4,0)</f>
        <v>#REF!</v>
      </c>
      <c r="M521" s="37" t="e">
        <f>_xlfn.IFNA(VLOOKUP(G521,#REF!,2,0),"")</f>
        <v>#REF!</v>
      </c>
      <c r="N521" s="38" t="e">
        <f>_xlfn.IFNA(VLOOKUP(G521,#REF!,3,0),"")</f>
        <v>#REF!</v>
      </c>
      <c r="O521" s="39">
        <v>10</v>
      </c>
      <c r="P521" s="79">
        <v>138.75056179775282</v>
      </c>
      <c r="Q521" s="39" t="s">
        <v>10</v>
      </c>
      <c r="R521" s="34">
        <v>3.8</v>
      </c>
      <c r="S521" s="38"/>
      <c r="T521" s="40">
        <v>10</v>
      </c>
      <c r="U521" s="41">
        <f t="shared" si="63"/>
        <v>537.25213483146069</v>
      </c>
      <c r="V521" s="42">
        <f t="shared" si="64"/>
        <v>1.7908404494382024</v>
      </c>
      <c r="W521" s="43">
        <f t="shared" si="65"/>
        <v>0.2672896193191347</v>
      </c>
      <c r="X521" s="38"/>
      <c r="Y521" s="38"/>
      <c r="Z521" s="44"/>
      <c r="AA521" s="45">
        <v>46142</v>
      </c>
      <c r="AB521" s="45">
        <v>46166</v>
      </c>
      <c r="AC521" s="45"/>
      <c r="AD521" s="46" t="e">
        <f>IF(ISNA(VLOOKUP(D521,#REF!,5,0)),0,VLOOKUP(D521,#REF!,5,0))</f>
        <v>#REF!</v>
      </c>
      <c r="AE521" s="46" t="e">
        <f t="shared" si="62"/>
        <v>#REF!</v>
      </c>
      <c r="AF521" s="45">
        <v>46179</v>
      </c>
      <c r="AG521" s="76">
        <f t="shared" si="66"/>
        <v>37</v>
      </c>
      <c r="AH521" s="45"/>
      <c r="AI521" s="39"/>
      <c r="AJ521" s="39"/>
      <c r="AK521" s="39"/>
      <c r="AL521" s="35"/>
      <c r="AM521" s="34"/>
      <c r="AN521" s="34"/>
      <c r="AO521" s="39"/>
      <c r="AP521" s="47"/>
      <c r="AQ521" s="47"/>
      <c r="AR521" s="47"/>
      <c r="AS521" s="47"/>
    </row>
    <row r="522" spans="1:45" ht="12" customHeight="1" x14ac:dyDescent="0.25">
      <c r="A522" s="33">
        <v>521</v>
      </c>
      <c r="B522" s="34"/>
      <c r="C522" s="34" t="s">
        <v>169</v>
      </c>
      <c r="D522" s="35" t="s">
        <v>664</v>
      </c>
      <c r="E522" s="34" t="s">
        <v>58</v>
      </c>
      <c r="F522" s="34" t="s">
        <v>0</v>
      </c>
      <c r="G522" s="16" t="s">
        <v>158</v>
      </c>
      <c r="H522" s="34">
        <v>60</v>
      </c>
      <c r="I522" s="34" t="s">
        <v>62</v>
      </c>
      <c r="J522" s="34" t="s">
        <v>3</v>
      </c>
      <c r="K522" s="35" t="s">
        <v>9</v>
      </c>
      <c r="L522" s="36" t="e">
        <f>VLOOKUP(G522,#REF!,4,0)</f>
        <v>#REF!</v>
      </c>
      <c r="M522" s="37" t="e">
        <f>_xlfn.IFNA(VLOOKUP(G522,#REF!,2,0),"")</f>
        <v>#REF!</v>
      </c>
      <c r="N522" s="38" t="e">
        <f>_xlfn.IFNA(VLOOKUP(G522,#REF!,3,0),"")</f>
        <v>#REF!</v>
      </c>
      <c r="O522" s="39">
        <v>2</v>
      </c>
      <c r="P522" s="79">
        <v>27.750112359550563</v>
      </c>
      <c r="Q522" s="39" t="s">
        <v>10</v>
      </c>
      <c r="R522" s="34">
        <v>3.8</v>
      </c>
      <c r="S522" s="38"/>
      <c r="T522" s="40">
        <v>2</v>
      </c>
      <c r="U522" s="41">
        <f t="shared" si="63"/>
        <v>107.45042696629214</v>
      </c>
      <c r="V522" s="42">
        <f t="shared" si="64"/>
        <v>1.7908404494382024</v>
      </c>
      <c r="W522" s="43">
        <f t="shared" si="65"/>
        <v>0.2672896193191347</v>
      </c>
      <c r="X522" s="38"/>
      <c r="Y522" s="38"/>
      <c r="Z522" s="44"/>
      <c r="AA522" s="45">
        <v>46142</v>
      </c>
      <c r="AB522" s="45">
        <v>46166</v>
      </c>
      <c r="AC522" s="45"/>
      <c r="AD522" s="46" t="e">
        <f>IF(ISNA(VLOOKUP(D522,#REF!,5,0)),0,VLOOKUP(D522,#REF!,5,0))</f>
        <v>#REF!</v>
      </c>
      <c r="AE522" s="46" t="e">
        <f t="shared" si="62"/>
        <v>#REF!</v>
      </c>
      <c r="AF522" s="45">
        <v>46179</v>
      </c>
      <c r="AG522" s="76">
        <f t="shared" si="66"/>
        <v>37</v>
      </c>
      <c r="AH522" s="45"/>
      <c r="AI522" s="39"/>
      <c r="AJ522" s="39"/>
      <c r="AK522" s="39"/>
      <c r="AL522" s="35"/>
      <c r="AM522" s="34"/>
      <c r="AN522" s="34"/>
      <c r="AO522" s="39"/>
      <c r="AP522" s="47"/>
      <c r="AQ522" s="47"/>
      <c r="AR522" s="47"/>
      <c r="AS522" s="47"/>
    </row>
    <row r="523" spans="1:45" ht="12" customHeight="1" x14ac:dyDescent="0.25">
      <c r="A523" s="33">
        <v>522</v>
      </c>
      <c r="B523" s="34"/>
      <c r="C523" s="34" t="s">
        <v>660</v>
      </c>
      <c r="D523" s="35" t="s">
        <v>666</v>
      </c>
      <c r="E523" s="34" t="s">
        <v>58</v>
      </c>
      <c r="F523" s="34" t="s">
        <v>0</v>
      </c>
      <c r="G523" s="16" t="s">
        <v>148</v>
      </c>
      <c r="H523" s="34">
        <v>330</v>
      </c>
      <c r="I523" s="34" t="s">
        <v>54</v>
      </c>
      <c r="J523" s="34" t="s">
        <v>3</v>
      </c>
      <c r="K523" s="35" t="s">
        <v>9</v>
      </c>
      <c r="L523" s="36" t="e">
        <f>VLOOKUP(G523,#REF!,4,0)</f>
        <v>#REF!</v>
      </c>
      <c r="M523" s="37" t="e">
        <f>_xlfn.IFNA(VLOOKUP(G523,#REF!,2,0),"")</f>
        <v>#REF!</v>
      </c>
      <c r="N523" s="38" t="e">
        <f>_xlfn.IFNA(VLOOKUP(G523,#REF!,3,0),"")</f>
        <v>#REF!</v>
      </c>
      <c r="O523" s="39">
        <v>11</v>
      </c>
      <c r="P523" s="79">
        <v>171.08055555555555</v>
      </c>
      <c r="Q523" s="39" t="s">
        <v>10</v>
      </c>
      <c r="R523" s="34">
        <v>4</v>
      </c>
      <c r="S523" s="38">
        <v>200</v>
      </c>
      <c r="T523" s="40">
        <v>23.655913978494624</v>
      </c>
      <c r="U523" s="41">
        <f t="shared" si="63"/>
        <v>707.97813620071679</v>
      </c>
      <c r="V523" s="42">
        <f t="shared" si="64"/>
        <v>2.1453882915173237</v>
      </c>
      <c r="W523" s="43">
        <f t="shared" si="65"/>
        <v>0.32020720768915278</v>
      </c>
      <c r="X523" s="38"/>
      <c r="Y523" s="38"/>
      <c r="Z523" s="44"/>
      <c r="AA523" s="45">
        <v>46142</v>
      </c>
      <c r="AB523" s="45">
        <v>46166</v>
      </c>
      <c r="AC523" s="45"/>
      <c r="AD523" s="46" t="e">
        <f>IF(ISNA(VLOOKUP(D523,#REF!,5,0)),0,VLOOKUP(D523,#REF!,5,0))</f>
        <v>#REF!</v>
      </c>
      <c r="AE523" s="46" t="e">
        <f t="shared" si="62"/>
        <v>#REF!</v>
      </c>
      <c r="AF523" s="45">
        <v>46181</v>
      </c>
      <c r="AG523" s="76">
        <f t="shared" si="66"/>
        <v>39</v>
      </c>
      <c r="AH523" s="45"/>
      <c r="AI523" s="39"/>
      <c r="AJ523" s="39"/>
      <c r="AK523" s="39"/>
      <c r="AL523" s="35"/>
      <c r="AM523" s="34"/>
      <c r="AN523" s="34"/>
      <c r="AO523" s="39"/>
      <c r="AP523" s="47"/>
      <c r="AQ523" s="47"/>
      <c r="AR523" s="47"/>
      <c r="AS523" s="47"/>
    </row>
    <row r="524" spans="1:45" ht="12" customHeight="1" x14ac:dyDescent="0.25">
      <c r="A524" s="33">
        <v>523</v>
      </c>
      <c r="B524" s="34"/>
      <c r="C524" s="34" t="s">
        <v>660</v>
      </c>
      <c r="D524" s="35" t="s">
        <v>666</v>
      </c>
      <c r="E524" s="34" t="s">
        <v>58</v>
      </c>
      <c r="F524" s="34" t="s">
        <v>0</v>
      </c>
      <c r="G524" s="16" t="s">
        <v>222</v>
      </c>
      <c r="H524" s="34">
        <v>210</v>
      </c>
      <c r="I524" s="34" t="s">
        <v>54</v>
      </c>
      <c r="J524" s="34" t="s">
        <v>3</v>
      </c>
      <c r="K524" s="35" t="s">
        <v>9</v>
      </c>
      <c r="L524" s="36" t="e">
        <f>VLOOKUP(G524,#REF!,4,0)</f>
        <v>#REF!</v>
      </c>
      <c r="M524" s="37" t="e">
        <f>_xlfn.IFNA(VLOOKUP(G524,#REF!,2,0),"")</f>
        <v>#REF!</v>
      </c>
      <c r="N524" s="38" t="e">
        <f>_xlfn.IFNA(VLOOKUP(G524,#REF!,3,0),"")</f>
        <v>#REF!</v>
      </c>
      <c r="O524" s="39">
        <v>7</v>
      </c>
      <c r="P524" s="79">
        <v>108.86944444444444</v>
      </c>
      <c r="Q524" s="39" t="s">
        <v>10</v>
      </c>
      <c r="R524" s="34">
        <v>4</v>
      </c>
      <c r="S524" s="48">
        <v>200</v>
      </c>
      <c r="T524" s="40">
        <v>15.053763440860216</v>
      </c>
      <c r="U524" s="41">
        <f t="shared" si="63"/>
        <v>450.53154121863798</v>
      </c>
      <c r="V524" s="42">
        <f t="shared" si="64"/>
        <v>2.1453882915173237</v>
      </c>
      <c r="W524" s="43">
        <f t="shared" si="65"/>
        <v>0.32020720768915278</v>
      </c>
      <c r="X524" s="38"/>
      <c r="Y524" s="38"/>
      <c r="Z524" s="44"/>
      <c r="AA524" s="45">
        <v>46142</v>
      </c>
      <c r="AB524" s="45">
        <v>46166</v>
      </c>
      <c r="AC524" s="45"/>
      <c r="AD524" s="46" t="e">
        <f>IF(ISNA(VLOOKUP(D524,#REF!,5,0)),0,VLOOKUP(D524,#REF!,5,0))</f>
        <v>#REF!</v>
      </c>
      <c r="AE524" s="46" t="e">
        <f t="shared" si="62"/>
        <v>#REF!</v>
      </c>
      <c r="AF524" s="45">
        <v>46181</v>
      </c>
      <c r="AG524" s="76">
        <f t="shared" si="66"/>
        <v>39</v>
      </c>
      <c r="AH524" s="45"/>
      <c r="AI524" s="39"/>
      <c r="AJ524" s="39"/>
      <c r="AK524" s="39"/>
      <c r="AL524" s="35"/>
      <c r="AM524" s="34"/>
      <c r="AN524" s="34"/>
      <c r="AO524" s="39"/>
      <c r="AP524" s="47"/>
      <c r="AQ524" s="47"/>
      <c r="AR524" s="47"/>
      <c r="AS524" s="47"/>
    </row>
    <row r="525" spans="1:45" ht="12" customHeight="1" x14ac:dyDescent="0.25">
      <c r="A525" s="33">
        <v>524</v>
      </c>
      <c r="B525" s="34"/>
      <c r="C525" s="34" t="s">
        <v>170</v>
      </c>
      <c r="D525" s="35" t="s">
        <v>667</v>
      </c>
      <c r="E525" s="34" t="s">
        <v>470</v>
      </c>
      <c r="F525" s="34" t="s">
        <v>0</v>
      </c>
      <c r="G525" s="16" t="s">
        <v>435</v>
      </c>
      <c r="H525" s="34">
        <v>200</v>
      </c>
      <c r="I525" s="34" t="s">
        <v>54</v>
      </c>
      <c r="J525" s="34" t="s">
        <v>3</v>
      </c>
      <c r="K525" s="35" t="s">
        <v>9</v>
      </c>
      <c r="L525" s="36" t="e">
        <f>VLOOKUP(G525,#REF!,4,0)</f>
        <v>#REF!</v>
      </c>
      <c r="M525" s="37" t="e">
        <f>_xlfn.IFNA(VLOOKUP(G525,#REF!,2,0),"")</f>
        <v>#REF!</v>
      </c>
      <c r="N525" s="38" t="e">
        <f>_xlfn.IFNA(VLOOKUP(G525,#REF!,3,0),"")</f>
        <v>#REF!</v>
      </c>
      <c r="O525" s="39">
        <v>10</v>
      </c>
      <c r="P525" s="79">
        <v>142.13999999999999</v>
      </c>
      <c r="Q525" s="39" t="s">
        <v>10</v>
      </c>
      <c r="R525" s="34">
        <v>4</v>
      </c>
      <c r="S525" s="38">
        <v>200</v>
      </c>
      <c r="T525" s="40">
        <v>36.363636363636367</v>
      </c>
      <c r="U525" s="41">
        <f t="shared" si="63"/>
        <v>604.92363636363632</v>
      </c>
      <c r="V525" s="42">
        <f t="shared" si="64"/>
        <v>3.0246181818181817</v>
      </c>
      <c r="W525" s="43">
        <f t="shared" si="65"/>
        <v>0.45143554952510173</v>
      </c>
      <c r="X525" s="38"/>
      <c r="Y525" s="38"/>
      <c r="Z525" s="44"/>
      <c r="AA525" s="45">
        <v>46142</v>
      </c>
      <c r="AB525" s="45">
        <v>46166</v>
      </c>
      <c r="AC525" s="45"/>
      <c r="AD525" s="46" t="e">
        <f>IF(ISNA(VLOOKUP(D525,#REF!,5,0)),0,VLOOKUP(D525,#REF!,5,0))</f>
        <v>#REF!</v>
      </c>
      <c r="AE525" s="46" t="e">
        <f t="shared" si="62"/>
        <v>#REF!</v>
      </c>
      <c r="AF525" s="45">
        <v>46181</v>
      </c>
      <c r="AG525" s="76">
        <f t="shared" si="66"/>
        <v>39</v>
      </c>
      <c r="AH525" s="45"/>
      <c r="AI525" s="39"/>
      <c r="AJ525" s="39"/>
      <c r="AK525" s="39"/>
      <c r="AL525" s="35"/>
      <c r="AM525" s="34"/>
      <c r="AN525" s="34"/>
      <c r="AO525" s="39"/>
      <c r="AP525" s="47"/>
      <c r="AQ525" s="47"/>
      <c r="AR525" s="47"/>
      <c r="AS525" s="47"/>
    </row>
    <row r="526" spans="1:45" ht="12" customHeight="1" x14ac:dyDescent="0.25">
      <c r="A526" s="33">
        <v>525</v>
      </c>
      <c r="B526" s="34"/>
      <c r="C526" s="34" t="s">
        <v>170</v>
      </c>
      <c r="D526" s="35" t="s">
        <v>668</v>
      </c>
      <c r="E526" s="34" t="s">
        <v>470</v>
      </c>
      <c r="F526" s="34" t="s">
        <v>0</v>
      </c>
      <c r="G526" s="16" t="s">
        <v>433</v>
      </c>
      <c r="H526" s="34">
        <v>120</v>
      </c>
      <c r="I526" s="34" t="s">
        <v>54</v>
      </c>
      <c r="J526" s="34" t="s">
        <v>3</v>
      </c>
      <c r="K526" s="35" t="s">
        <v>9</v>
      </c>
      <c r="L526" s="36" t="e">
        <f>VLOOKUP(G526,#REF!,4,0)</f>
        <v>#REF!</v>
      </c>
      <c r="M526" s="37" t="e">
        <f>_xlfn.IFNA(VLOOKUP(G526,#REF!,2,0),"")</f>
        <v>#REF!</v>
      </c>
      <c r="N526" s="38" t="e">
        <f>_xlfn.IFNA(VLOOKUP(G526,#REF!,3,0),"")</f>
        <v>#REF!</v>
      </c>
      <c r="O526" s="39">
        <v>4</v>
      </c>
      <c r="P526" s="79">
        <v>56.86</v>
      </c>
      <c r="Q526" s="39" t="s">
        <v>10</v>
      </c>
      <c r="R526" s="34">
        <v>4</v>
      </c>
      <c r="S526" s="48">
        <v>200</v>
      </c>
      <c r="T526" s="40">
        <v>14.545454545454545</v>
      </c>
      <c r="U526" s="41">
        <f t="shared" si="63"/>
        <v>241.98545454545453</v>
      </c>
      <c r="V526" s="42">
        <f t="shared" si="64"/>
        <v>2.0165454545454544</v>
      </c>
      <c r="W526" s="43">
        <f t="shared" si="65"/>
        <v>0.30097693351424692</v>
      </c>
      <c r="X526" s="38"/>
      <c r="Y526" s="38"/>
      <c r="Z526" s="44"/>
      <c r="AA526" s="45">
        <v>46142</v>
      </c>
      <c r="AB526" s="45">
        <v>46166</v>
      </c>
      <c r="AC526" s="45"/>
      <c r="AD526" s="46" t="e">
        <f>IF(ISNA(VLOOKUP(D526,#REF!,5,0)),0,VLOOKUP(D526,#REF!,5,0))</f>
        <v>#REF!</v>
      </c>
      <c r="AE526" s="46" t="e">
        <f t="shared" si="62"/>
        <v>#REF!</v>
      </c>
      <c r="AF526" s="45">
        <v>46181</v>
      </c>
      <c r="AG526" s="76">
        <f t="shared" si="66"/>
        <v>39</v>
      </c>
      <c r="AH526" s="45"/>
      <c r="AI526" s="39"/>
      <c r="AJ526" s="39"/>
      <c r="AK526" s="39"/>
      <c r="AL526" s="35"/>
      <c r="AM526" s="34"/>
      <c r="AN526" s="34"/>
      <c r="AO526" s="39"/>
      <c r="AP526" s="47"/>
      <c r="AQ526" s="47"/>
      <c r="AR526" s="47"/>
      <c r="AS526" s="47"/>
    </row>
    <row r="527" spans="1:45" ht="12" customHeight="1" x14ac:dyDescent="0.25">
      <c r="A527" s="33">
        <v>526</v>
      </c>
      <c r="B527" s="34"/>
      <c r="C527" s="34" t="s">
        <v>170</v>
      </c>
      <c r="D527" s="35" t="s">
        <v>669</v>
      </c>
      <c r="E527" s="34" t="s">
        <v>470</v>
      </c>
      <c r="F527" s="34" t="s">
        <v>0</v>
      </c>
      <c r="G527" s="16" t="s">
        <v>143</v>
      </c>
      <c r="H527" s="34">
        <v>40</v>
      </c>
      <c r="I527" s="34" t="s">
        <v>54</v>
      </c>
      <c r="J527" s="34" t="s">
        <v>3</v>
      </c>
      <c r="K527" s="35" t="s">
        <v>7</v>
      </c>
      <c r="L527" s="36" t="e">
        <f>VLOOKUP(G527,#REF!,4,0)</f>
        <v>#REF!</v>
      </c>
      <c r="M527" s="37" t="e">
        <f>_xlfn.IFNA(VLOOKUP(G527,#REF!,2,0),"")</f>
        <v>#REF!</v>
      </c>
      <c r="N527" s="38" t="e">
        <f>_xlfn.IFNA(VLOOKUP(G527,#REF!,3,0),"")</f>
        <v>#REF!</v>
      </c>
      <c r="O527" s="39">
        <v>1</v>
      </c>
      <c r="P527" s="79">
        <v>13.5</v>
      </c>
      <c r="Q527" s="39" t="s">
        <v>10</v>
      </c>
      <c r="R527" s="34">
        <v>3.6</v>
      </c>
      <c r="S527" s="38"/>
      <c r="T527" s="40">
        <v>3.6363636363636362</v>
      </c>
      <c r="U527" s="41">
        <f t="shared" si="63"/>
        <v>52.236363636363635</v>
      </c>
      <c r="V527" s="42">
        <f t="shared" si="64"/>
        <v>1.3059090909090909</v>
      </c>
      <c r="W527" s="43">
        <f t="shared" si="65"/>
        <v>0.19491180461329716</v>
      </c>
      <c r="X527" s="38"/>
      <c r="Y527" s="38"/>
      <c r="Z527" s="44"/>
      <c r="AA527" s="45">
        <v>46142</v>
      </c>
      <c r="AB527" s="45">
        <v>46166</v>
      </c>
      <c r="AC527" s="45"/>
      <c r="AD527" s="46" t="e">
        <f>IF(ISNA(VLOOKUP(D527,#REF!,5,0)),0,VLOOKUP(D527,#REF!,5,0))</f>
        <v>#REF!</v>
      </c>
      <c r="AE527" s="46" t="e">
        <f t="shared" si="62"/>
        <v>#REF!</v>
      </c>
      <c r="AF527" s="45">
        <v>46184</v>
      </c>
      <c r="AG527" s="76">
        <f t="shared" si="66"/>
        <v>42</v>
      </c>
      <c r="AH527" s="45"/>
      <c r="AI527" s="39"/>
      <c r="AJ527" s="39"/>
      <c r="AK527" s="39"/>
      <c r="AL527" s="35"/>
      <c r="AM527" s="34"/>
      <c r="AN527" s="34"/>
      <c r="AO527" s="39"/>
      <c r="AP527" s="47"/>
      <c r="AQ527" s="47"/>
      <c r="AR527" s="47"/>
      <c r="AS527" s="47"/>
    </row>
    <row r="528" spans="1:45" ht="12" customHeight="1" x14ac:dyDescent="0.25">
      <c r="A528" s="33">
        <v>527</v>
      </c>
      <c r="B528" s="34"/>
      <c r="C528" s="34" t="s">
        <v>170</v>
      </c>
      <c r="D528" s="35" t="s">
        <v>669</v>
      </c>
      <c r="E528" s="34" t="s">
        <v>470</v>
      </c>
      <c r="F528" s="34" t="s">
        <v>0</v>
      </c>
      <c r="G528" s="16" t="s">
        <v>135</v>
      </c>
      <c r="H528" s="34">
        <v>40</v>
      </c>
      <c r="I528" s="34" t="s">
        <v>54</v>
      </c>
      <c r="J528" s="34" t="s">
        <v>3</v>
      </c>
      <c r="K528" s="35" t="s">
        <v>7</v>
      </c>
      <c r="L528" s="36" t="e">
        <f>VLOOKUP(G528,#REF!,4,0)</f>
        <v>#REF!</v>
      </c>
      <c r="M528" s="37" t="e">
        <f>_xlfn.IFNA(VLOOKUP(G528,#REF!,2,0),"")</f>
        <v>#REF!</v>
      </c>
      <c r="N528" s="38" t="e">
        <f>_xlfn.IFNA(VLOOKUP(G528,#REF!,3,0),"")</f>
        <v>#REF!</v>
      </c>
      <c r="O528" s="39">
        <v>1</v>
      </c>
      <c r="P528" s="79">
        <v>13.5</v>
      </c>
      <c r="Q528" s="39" t="s">
        <v>10</v>
      </c>
      <c r="R528" s="34">
        <v>3.6</v>
      </c>
      <c r="S528" s="38"/>
      <c r="T528" s="40">
        <v>3.6363636363636362</v>
      </c>
      <c r="U528" s="41">
        <f t="shared" si="63"/>
        <v>52.236363636363635</v>
      </c>
      <c r="V528" s="42">
        <f t="shared" si="64"/>
        <v>1.3059090909090909</v>
      </c>
      <c r="W528" s="43">
        <f t="shared" si="65"/>
        <v>0.19491180461329716</v>
      </c>
      <c r="X528" s="38"/>
      <c r="Y528" s="38"/>
      <c r="Z528" s="44"/>
      <c r="AA528" s="45">
        <v>46142</v>
      </c>
      <c r="AB528" s="45">
        <v>46166</v>
      </c>
      <c r="AC528" s="45"/>
      <c r="AD528" s="46" t="e">
        <f>IF(ISNA(VLOOKUP(D528,#REF!,5,0)),0,VLOOKUP(D528,#REF!,5,0))</f>
        <v>#REF!</v>
      </c>
      <c r="AE528" s="46" t="e">
        <f t="shared" si="62"/>
        <v>#REF!</v>
      </c>
      <c r="AF528" s="45">
        <v>46184</v>
      </c>
      <c r="AG528" s="76">
        <f t="shared" si="66"/>
        <v>42</v>
      </c>
      <c r="AH528" s="45"/>
      <c r="AI528" s="39"/>
      <c r="AJ528" s="39"/>
      <c r="AK528" s="39"/>
      <c r="AL528" s="35"/>
      <c r="AM528" s="34"/>
      <c r="AN528" s="34"/>
      <c r="AO528" s="39"/>
      <c r="AP528" s="47"/>
      <c r="AQ528" s="47"/>
      <c r="AR528" s="47"/>
      <c r="AS528" s="47"/>
    </row>
    <row r="529" spans="1:45" ht="12" customHeight="1" x14ac:dyDescent="0.25">
      <c r="A529" s="33">
        <v>528</v>
      </c>
      <c r="B529" s="34"/>
      <c r="C529" s="34" t="s">
        <v>170</v>
      </c>
      <c r="D529" s="35" t="s">
        <v>670</v>
      </c>
      <c r="E529" s="34" t="s">
        <v>470</v>
      </c>
      <c r="F529" s="34" t="s">
        <v>0</v>
      </c>
      <c r="G529" s="16" t="s">
        <v>434</v>
      </c>
      <c r="H529" s="34">
        <v>100</v>
      </c>
      <c r="I529" s="34" t="s">
        <v>54</v>
      </c>
      <c r="J529" s="34" t="s">
        <v>3</v>
      </c>
      <c r="K529" s="35" t="s">
        <v>5</v>
      </c>
      <c r="L529" s="36" t="e">
        <f>VLOOKUP(G529,#REF!,4,0)</f>
        <v>#REF!</v>
      </c>
      <c r="M529" s="37" t="e">
        <f>_xlfn.IFNA(VLOOKUP(G529,#REF!,2,0),"")</f>
        <v>#REF!</v>
      </c>
      <c r="N529" s="38" t="e">
        <f>_xlfn.IFNA(VLOOKUP(G529,#REF!,3,0),"")</f>
        <v>#REF!</v>
      </c>
      <c r="O529" s="39">
        <v>5</v>
      </c>
      <c r="P529" s="79">
        <v>67</v>
      </c>
      <c r="Q529" s="39" t="s">
        <v>10</v>
      </c>
      <c r="R529" s="34">
        <v>3.6</v>
      </c>
      <c r="S529" s="38"/>
      <c r="T529" s="40">
        <v>18.181818181818183</v>
      </c>
      <c r="U529" s="41">
        <f t="shared" si="63"/>
        <v>259.38181818181818</v>
      </c>
      <c r="V529" s="42">
        <f t="shared" si="64"/>
        <v>2.5938181818181816</v>
      </c>
      <c r="W529" s="43">
        <f t="shared" si="65"/>
        <v>0.38713704206241517</v>
      </c>
      <c r="X529" s="38"/>
      <c r="Y529" s="38"/>
      <c r="Z529" s="44"/>
      <c r="AA529" s="45">
        <v>46142</v>
      </c>
      <c r="AB529" s="45">
        <v>46166</v>
      </c>
      <c r="AC529" s="45"/>
      <c r="AD529" s="46" t="e">
        <f>IF(ISNA(VLOOKUP(D529,#REF!,5,0)),0,VLOOKUP(D529,#REF!,5,0))</f>
        <v>#REF!</v>
      </c>
      <c r="AE529" s="46" t="e">
        <f t="shared" si="62"/>
        <v>#REF!</v>
      </c>
      <c r="AF529" s="45">
        <v>46181</v>
      </c>
      <c r="AG529" s="76">
        <f t="shared" si="66"/>
        <v>39</v>
      </c>
      <c r="AH529" s="45"/>
      <c r="AI529" s="39"/>
      <c r="AJ529" s="39"/>
      <c r="AK529" s="39"/>
      <c r="AL529" s="35"/>
      <c r="AM529" s="34"/>
      <c r="AN529" s="34"/>
      <c r="AO529" s="39"/>
      <c r="AP529" s="47"/>
      <c r="AQ529" s="47"/>
      <c r="AR529" s="47"/>
      <c r="AS529" s="47"/>
    </row>
    <row r="530" spans="1:45" ht="12" customHeight="1" x14ac:dyDescent="0.25">
      <c r="A530" s="33">
        <v>529</v>
      </c>
      <c r="B530" s="34"/>
      <c r="C530" s="34" t="s">
        <v>660</v>
      </c>
      <c r="D530" s="35" t="s">
        <v>671</v>
      </c>
      <c r="E530" s="34" t="s">
        <v>61</v>
      </c>
      <c r="F530" s="34" t="s">
        <v>0</v>
      </c>
      <c r="G530" s="16" t="s">
        <v>68</v>
      </c>
      <c r="H530" s="34">
        <v>150</v>
      </c>
      <c r="I530" s="34" t="s">
        <v>54</v>
      </c>
      <c r="J530" s="34" t="s">
        <v>3</v>
      </c>
      <c r="K530" s="35" t="s">
        <v>5</v>
      </c>
      <c r="L530" s="36" t="e">
        <f>VLOOKUP(G530,#REF!,4,0)</f>
        <v>#REF!</v>
      </c>
      <c r="M530" s="37" t="e">
        <f>_xlfn.IFNA(VLOOKUP(G530,#REF!,2,0),"")</f>
        <v>#REF!</v>
      </c>
      <c r="N530" s="38" t="e">
        <f>_xlfn.IFNA(VLOOKUP(G530,#REF!,3,0),"")</f>
        <v>#REF!</v>
      </c>
      <c r="O530" s="39">
        <v>5</v>
      </c>
      <c r="P530" s="79">
        <v>66.219512195121951</v>
      </c>
      <c r="Q530" s="39" t="s">
        <v>10</v>
      </c>
      <c r="R530" s="34">
        <v>3.6</v>
      </c>
      <c r="S530" s="38">
        <v>200</v>
      </c>
      <c r="T530" s="40">
        <v>10.75268817204301</v>
      </c>
      <c r="U530" s="41">
        <f t="shared" si="63"/>
        <v>249.14293207448205</v>
      </c>
      <c r="V530" s="42">
        <f t="shared" si="64"/>
        <v>1.660952880496547</v>
      </c>
      <c r="W530" s="43">
        <f t="shared" si="65"/>
        <v>0.24790341499948462</v>
      </c>
      <c r="X530" s="38"/>
      <c r="Y530" s="38"/>
      <c r="Z530" s="44"/>
      <c r="AA530" s="45">
        <v>46142</v>
      </c>
      <c r="AB530" s="45">
        <v>46166</v>
      </c>
      <c r="AC530" s="45"/>
      <c r="AD530" s="46" t="e">
        <f>IF(ISNA(VLOOKUP(D530,#REF!,5,0)),0,VLOOKUP(D530,#REF!,5,0))</f>
        <v>#REF!</v>
      </c>
      <c r="AE530" s="46" t="e">
        <f t="shared" si="62"/>
        <v>#REF!</v>
      </c>
      <c r="AF530" s="45">
        <v>46183</v>
      </c>
      <c r="AG530" s="76">
        <f t="shared" si="66"/>
        <v>41</v>
      </c>
      <c r="AH530" s="45"/>
      <c r="AI530" s="39"/>
      <c r="AJ530" s="39"/>
      <c r="AK530" s="39"/>
      <c r="AL530" s="35"/>
      <c r="AM530" s="34"/>
      <c r="AN530" s="34"/>
      <c r="AO530" s="39"/>
      <c r="AP530" s="47"/>
      <c r="AQ530" s="47"/>
      <c r="AR530" s="47"/>
      <c r="AS530" s="47"/>
    </row>
    <row r="531" spans="1:45" ht="12" customHeight="1" x14ac:dyDescent="0.25">
      <c r="A531" s="33">
        <v>530</v>
      </c>
      <c r="B531" s="34"/>
      <c r="C531" s="34" t="s">
        <v>660</v>
      </c>
      <c r="D531" s="35" t="s">
        <v>671</v>
      </c>
      <c r="E531" s="34" t="s">
        <v>61</v>
      </c>
      <c r="F531" s="34" t="s">
        <v>0</v>
      </c>
      <c r="G531" s="16" t="s">
        <v>242</v>
      </c>
      <c r="H531" s="34">
        <v>1360</v>
      </c>
      <c r="I531" s="34" t="s">
        <v>54</v>
      </c>
      <c r="J531" s="34" t="s">
        <v>3</v>
      </c>
      <c r="K531" s="35" t="s">
        <v>5</v>
      </c>
      <c r="L531" s="36" t="e">
        <f>VLOOKUP(G531,#REF!,4,0)</f>
        <v>#REF!</v>
      </c>
      <c r="M531" s="37" t="e">
        <f>_xlfn.IFNA(VLOOKUP(G531,#REF!,2,0),"")</f>
        <v>#REF!</v>
      </c>
      <c r="N531" s="38" t="e">
        <f>_xlfn.IFNA(VLOOKUP(G531,#REF!,3,0),"")</f>
        <v>#REF!</v>
      </c>
      <c r="O531" s="39">
        <v>34</v>
      </c>
      <c r="P531" s="79">
        <v>450.29268292682929</v>
      </c>
      <c r="Q531" s="39" t="s">
        <v>10</v>
      </c>
      <c r="R531" s="34">
        <v>3.6</v>
      </c>
      <c r="S531" s="48">
        <v>200</v>
      </c>
      <c r="T531" s="40">
        <v>73.118279569892479</v>
      </c>
      <c r="U531" s="41">
        <f t="shared" si="63"/>
        <v>1694.1719381064781</v>
      </c>
      <c r="V531" s="42">
        <f t="shared" si="64"/>
        <v>1.2457146603724103</v>
      </c>
      <c r="W531" s="43">
        <f t="shared" si="65"/>
        <v>0.18592756124961346</v>
      </c>
      <c r="X531" s="38"/>
      <c r="Y531" s="38"/>
      <c r="Z531" s="44"/>
      <c r="AA531" s="45">
        <v>46142</v>
      </c>
      <c r="AB531" s="45">
        <v>46166</v>
      </c>
      <c r="AC531" s="45"/>
      <c r="AD531" s="46" t="e">
        <f>IF(ISNA(VLOOKUP(D531,#REF!,5,0)),0,VLOOKUP(D531,#REF!,5,0))</f>
        <v>#REF!</v>
      </c>
      <c r="AE531" s="46" t="e">
        <f t="shared" si="62"/>
        <v>#REF!</v>
      </c>
      <c r="AF531" s="45">
        <v>46183</v>
      </c>
      <c r="AG531" s="76">
        <f t="shared" si="66"/>
        <v>41</v>
      </c>
      <c r="AH531" s="45"/>
      <c r="AI531" s="39"/>
      <c r="AJ531" s="39"/>
      <c r="AK531" s="39"/>
      <c r="AL531" s="35"/>
      <c r="AM531" s="34"/>
      <c r="AN531" s="34"/>
      <c r="AO531" s="39"/>
      <c r="AP531" s="47"/>
      <c r="AQ531" s="47"/>
      <c r="AR531" s="47"/>
      <c r="AS531" s="47"/>
    </row>
    <row r="532" spans="1:45" ht="12" customHeight="1" x14ac:dyDescent="0.25">
      <c r="A532" s="33">
        <v>531</v>
      </c>
      <c r="B532" s="34"/>
      <c r="C532" s="34" t="s">
        <v>660</v>
      </c>
      <c r="D532" s="35" t="s">
        <v>671</v>
      </c>
      <c r="E532" s="34" t="s">
        <v>61</v>
      </c>
      <c r="F532" s="34" t="s">
        <v>0</v>
      </c>
      <c r="G532" s="16" t="s">
        <v>242</v>
      </c>
      <c r="H532" s="34">
        <v>40</v>
      </c>
      <c r="I532" s="34" t="s">
        <v>54</v>
      </c>
      <c r="J532" s="34" t="s">
        <v>3</v>
      </c>
      <c r="K532" s="35" t="s">
        <v>5</v>
      </c>
      <c r="L532" s="36" t="e">
        <f>VLOOKUP(G532,#REF!,4,0)</f>
        <v>#REF!</v>
      </c>
      <c r="M532" s="37" t="e">
        <f>_xlfn.IFNA(VLOOKUP(G532,#REF!,2,0),"")</f>
        <v>#REF!</v>
      </c>
      <c r="N532" s="38" t="e">
        <f>_xlfn.IFNA(VLOOKUP(G532,#REF!,3,0),"")</f>
        <v>#REF!</v>
      </c>
      <c r="O532" s="39">
        <v>1</v>
      </c>
      <c r="P532" s="79">
        <v>13.24390243902439</v>
      </c>
      <c r="Q532" s="39" t="s">
        <v>10</v>
      </c>
      <c r="R532" s="34">
        <v>3.6</v>
      </c>
      <c r="S532" s="38"/>
      <c r="T532" s="40">
        <v>2.150537634408602</v>
      </c>
      <c r="U532" s="41">
        <f t="shared" si="63"/>
        <v>49.828586414896407</v>
      </c>
      <c r="V532" s="42">
        <f t="shared" si="64"/>
        <v>1.2457146603724101</v>
      </c>
      <c r="W532" s="43">
        <f t="shared" si="65"/>
        <v>0.18592756124961343</v>
      </c>
      <c r="X532" s="38"/>
      <c r="Y532" s="38"/>
      <c r="Z532" s="44"/>
      <c r="AA532" s="45">
        <v>46142</v>
      </c>
      <c r="AB532" s="45">
        <v>46166</v>
      </c>
      <c r="AC532" s="45"/>
      <c r="AD532" s="46" t="e">
        <f>IF(ISNA(VLOOKUP(D532,#REF!,5,0)),0,VLOOKUP(D532,#REF!,5,0))</f>
        <v>#REF!</v>
      </c>
      <c r="AE532" s="46" t="e">
        <f t="shared" si="62"/>
        <v>#REF!</v>
      </c>
      <c r="AF532" s="45">
        <v>46183</v>
      </c>
      <c r="AG532" s="76">
        <f t="shared" si="66"/>
        <v>41</v>
      </c>
      <c r="AH532" s="45"/>
      <c r="AI532" s="39"/>
      <c r="AJ532" s="39"/>
      <c r="AK532" s="39"/>
      <c r="AL532" s="35"/>
      <c r="AM532" s="34"/>
      <c r="AN532" s="34"/>
      <c r="AO532" s="39"/>
      <c r="AP532" s="47"/>
      <c r="AQ532" s="47"/>
      <c r="AR532" s="47"/>
      <c r="AS532" s="47"/>
    </row>
    <row r="533" spans="1:45" ht="12" customHeight="1" x14ac:dyDescent="0.25">
      <c r="A533" s="33">
        <v>532</v>
      </c>
      <c r="B533" s="34"/>
      <c r="C533" s="34" t="s">
        <v>660</v>
      </c>
      <c r="D533" s="35" t="s">
        <v>671</v>
      </c>
      <c r="E533" s="34" t="s">
        <v>61</v>
      </c>
      <c r="F533" s="34" t="s">
        <v>0</v>
      </c>
      <c r="G533" s="16" t="s">
        <v>243</v>
      </c>
      <c r="H533" s="34">
        <v>40</v>
      </c>
      <c r="I533" s="34" t="s">
        <v>54</v>
      </c>
      <c r="J533" s="34" t="s">
        <v>3</v>
      </c>
      <c r="K533" s="35" t="s">
        <v>5</v>
      </c>
      <c r="L533" s="36" t="e">
        <f>VLOOKUP(G533,#REF!,4,0)</f>
        <v>#REF!</v>
      </c>
      <c r="M533" s="37" t="e">
        <f>_xlfn.IFNA(VLOOKUP(G533,#REF!,2,0),"")</f>
        <v>#REF!</v>
      </c>
      <c r="N533" s="38" t="e">
        <f>_xlfn.IFNA(VLOOKUP(G533,#REF!,3,0),"")</f>
        <v>#REF!</v>
      </c>
      <c r="O533" s="39">
        <v>1</v>
      </c>
      <c r="P533" s="79">
        <v>13.24390243902439</v>
      </c>
      <c r="Q533" s="39" t="s">
        <v>10</v>
      </c>
      <c r="R533" s="34">
        <v>3.6</v>
      </c>
      <c r="S533" s="38"/>
      <c r="T533" s="40">
        <v>2.150537634408602</v>
      </c>
      <c r="U533" s="41">
        <f t="shared" si="63"/>
        <v>49.828586414896407</v>
      </c>
      <c r="V533" s="42">
        <f t="shared" si="64"/>
        <v>1.2457146603724101</v>
      </c>
      <c r="W533" s="43">
        <f t="shared" si="65"/>
        <v>0.18592756124961343</v>
      </c>
      <c r="X533" s="38"/>
      <c r="Y533" s="38"/>
      <c r="Z533" s="44"/>
      <c r="AA533" s="45">
        <v>46142</v>
      </c>
      <c r="AB533" s="45">
        <v>46166</v>
      </c>
      <c r="AC533" s="45"/>
      <c r="AD533" s="46" t="e">
        <f>IF(ISNA(VLOOKUP(D533,#REF!,5,0)),0,VLOOKUP(D533,#REF!,5,0))</f>
        <v>#REF!</v>
      </c>
      <c r="AE533" s="46" t="e">
        <f t="shared" si="62"/>
        <v>#REF!</v>
      </c>
      <c r="AF533" s="45">
        <v>46183</v>
      </c>
      <c r="AG533" s="76">
        <f t="shared" si="66"/>
        <v>41</v>
      </c>
      <c r="AH533" s="45"/>
      <c r="AI533" s="39"/>
      <c r="AJ533" s="39"/>
      <c r="AK533" s="39"/>
      <c r="AL533" s="35"/>
      <c r="AM533" s="34"/>
      <c r="AN533" s="34"/>
      <c r="AO533" s="39"/>
      <c r="AP533" s="47"/>
      <c r="AQ533" s="47"/>
      <c r="AR533" s="47"/>
      <c r="AS533" s="47"/>
    </row>
    <row r="534" spans="1:45" ht="12" customHeight="1" x14ac:dyDescent="0.25">
      <c r="A534" s="33">
        <v>533</v>
      </c>
      <c r="B534" s="34"/>
      <c r="C534" s="34" t="s">
        <v>169</v>
      </c>
      <c r="D534" s="35" t="s">
        <v>672</v>
      </c>
      <c r="E534" s="34" t="s">
        <v>58</v>
      </c>
      <c r="F534" s="34" t="s">
        <v>0</v>
      </c>
      <c r="G534" s="16" t="s">
        <v>64</v>
      </c>
      <c r="H534" s="34">
        <v>600</v>
      </c>
      <c r="I534" s="34" t="s">
        <v>62</v>
      </c>
      <c r="J534" s="34" t="s">
        <v>3</v>
      </c>
      <c r="K534" s="35" t="s">
        <v>9</v>
      </c>
      <c r="L534" s="36" t="e">
        <f>VLOOKUP(G534,#REF!,4,0)</f>
        <v>#REF!</v>
      </c>
      <c r="M534" s="37" t="e">
        <f>_xlfn.IFNA(VLOOKUP(G534,#REF!,2,0),"")</f>
        <v>#REF!</v>
      </c>
      <c r="N534" s="38" t="e">
        <f>_xlfn.IFNA(VLOOKUP(G534,#REF!,3,0),"")</f>
        <v>#REF!</v>
      </c>
      <c r="O534" s="39">
        <v>15</v>
      </c>
      <c r="P534" s="79">
        <v>208.12</v>
      </c>
      <c r="Q534" s="39" t="s">
        <v>10</v>
      </c>
      <c r="R534" s="34">
        <v>3.8</v>
      </c>
      <c r="S534" s="38">
        <v>200</v>
      </c>
      <c r="T534" s="40">
        <v>15</v>
      </c>
      <c r="U534" s="41">
        <f t="shared" si="63"/>
        <v>805.85599999999999</v>
      </c>
      <c r="V534" s="42">
        <f t="shared" si="64"/>
        <v>1.3430933333333333</v>
      </c>
      <c r="W534" s="43">
        <f t="shared" si="65"/>
        <v>0.20046169154228854</v>
      </c>
      <c r="X534" s="38"/>
      <c r="Y534" s="38"/>
      <c r="Z534" s="44"/>
      <c r="AA534" s="45">
        <v>46142</v>
      </c>
      <c r="AB534" s="45">
        <v>46166</v>
      </c>
      <c r="AC534" s="45"/>
      <c r="AD534" s="46" t="e">
        <f>IF(ISNA(VLOOKUP(D534,#REF!,5,0)),0,VLOOKUP(D534,#REF!,5,0))</f>
        <v>#REF!</v>
      </c>
      <c r="AE534" s="46" t="e">
        <f t="shared" si="62"/>
        <v>#REF!</v>
      </c>
      <c r="AF534" s="45">
        <v>46175</v>
      </c>
      <c r="AG534" s="76">
        <f t="shared" si="66"/>
        <v>33</v>
      </c>
      <c r="AH534" s="45"/>
      <c r="AI534" s="39"/>
      <c r="AJ534" s="39"/>
      <c r="AK534" s="39"/>
      <c r="AL534" s="35"/>
      <c r="AM534" s="34"/>
      <c r="AN534" s="34"/>
      <c r="AO534" s="39"/>
      <c r="AP534" s="47"/>
      <c r="AQ534" s="47"/>
      <c r="AR534" s="47"/>
      <c r="AS534" s="47"/>
    </row>
    <row r="535" spans="1:45" ht="12" customHeight="1" x14ac:dyDescent="0.25">
      <c r="A535" s="33">
        <v>534</v>
      </c>
      <c r="B535" s="34"/>
      <c r="C535" s="34" t="s">
        <v>660</v>
      </c>
      <c r="D535" s="35" t="s">
        <v>673</v>
      </c>
      <c r="E535" s="34" t="s">
        <v>58</v>
      </c>
      <c r="F535" s="34" t="s">
        <v>0</v>
      </c>
      <c r="G535" s="16" t="s">
        <v>285</v>
      </c>
      <c r="H535" s="34">
        <v>300</v>
      </c>
      <c r="I535" s="34" t="s">
        <v>54</v>
      </c>
      <c r="J535" s="34" t="s">
        <v>3</v>
      </c>
      <c r="K535" s="35" t="s">
        <v>9</v>
      </c>
      <c r="L535" s="36" t="e">
        <f>VLOOKUP(G535,#REF!,4,0)</f>
        <v>#REF!</v>
      </c>
      <c r="M535" s="37" t="e">
        <f>_xlfn.IFNA(VLOOKUP(G535,#REF!,2,0),"")</f>
        <v>#REF!</v>
      </c>
      <c r="N535" s="38" t="e">
        <f>_xlfn.IFNA(VLOOKUP(G535,#REF!,3,0),"")</f>
        <v>#REF!</v>
      </c>
      <c r="O535" s="39">
        <v>10</v>
      </c>
      <c r="P535" s="79">
        <v>155.52500000000001</v>
      </c>
      <c r="Q535" s="39" t="s">
        <v>10</v>
      </c>
      <c r="R535" s="34">
        <v>4</v>
      </c>
      <c r="S535" s="38">
        <v>200</v>
      </c>
      <c r="T535" s="40">
        <v>21.50537634408602</v>
      </c>
      <c r="U535" s="41">
        <f t="shared" si="63"/>
        <v>643.60537634408604</v>
      </c>
      <c r="V535" s="42">
        <f t="shared" si="64"/>
        <v>2.1453512544802869</v>
      </c>
      <c r="W535" s="43">
        <f t="shared" si="65"/>
        <v>0.32020167977317715</v>
      </c>
      <c r="X535" s="38"/>
      <c r="Y535" s="38"/>
      <c r="Z535" s="44"/>
      <c r="AA535" s="45">
        <v>46142</v>
      </c>
      <c r="AB535" s="45">
        <v>46166</v>
      </c>
      <c r="AC535" s="45"/>
      <c r="AD535" s="46" t="e">
        <f>IF(ISNA(VLOOKUP(D535,#REF!,5,0)),0,VLOOKUP(D535,#REF!,5,0))</f>
        <v>#REF!</v>
      </c>
      <c r="AE535" s="46" t="e">
        <f t="shared" ref="AE535:AE598" si="67">AD535*H535</f>
        <v>#REF!</v>
      </c>
      <c r="AF535" s="45">
        <v>46181</v>
      </c>
      <c r="AG535" s="76">
        <f t="shared" si="66"/>
        <v>39</v>
      </c>
      <c r="AH535" s="45"/>
      <c r="AI535" s="39"/>
      <c r="AJ535" s="39"/>
      <c r="AK535" s="39"/>
      <c r="AL535" s="35"/>
      <c r="AM535" s="34"/>
      <c r="AN535" s="34"/>
      <c r="AO535" s="39"/>
      <c r="AP535" s="47"/>
      <c r="AQ535" s="47"/>
      <c r="AR535" s="47"/>
      <c r="AS535" s="47"/>
    </row>
    <row r="536" spans="1:45" ht="12" customHeight="1" x14ac:dyDescent="0.25">
      <c r="A536" s="33">
        <v>535</v>
      </c>
      <c r="B536" s="34"/>
      <c r="C536" s="34" t="s">
        <v>660</v>
      </c>
      <c r="D536" s="35" t="s">
        <v>673</v>
      </c>
      <c r="E536" s="34" t="s">
        <v>58</v>
      </c>
      <c r="F536" s="34" t="s">
        <v>0</v>
      </c>
      <c r="G536" s="16" t="s">
        <v>486</v>
      </c>
      <c r="H536" s="34">
        <v>300</v>
      </c>
      <c r="I536" s="34" t="s">
        <v>54</v>
      </c>
      <c r="J536" s="34" t="s">
        <v>3</v>
      </c>
      <c r="K536" s="35" t="s">
        <v>9</v>
      </c>
      <c r="L536" s="36" t="e">
        <f>VLOOKUP(G536,#REF!,4,0)</f>
        <v>#REF!</v>
      </c>
      <c r="M536" s="37" t="e">
        <f>_xlfn.IFNA(VLOOKUP(G536,#REF!,2,0),"")</f>
        <v>#REF!</v>
      </c>
      <c r="N536" s="38" t="e">
        <f>_xlfn.IFNA(VLOOKUP(G536,#REF!,3,0),"")</f>
        <v>#REF!</v>
      </c>
      <c r="O536" s="39">
        <v>10</v>
      </c>
      <c r="P536" s="79">
        <v>155.52500000000001</v>
      </c>
      <c r="Q536" s="39" t="s">
        <v>10</v>
      </c>
      <c r="R536" s="34">
        <v>4</v>
      </c>
      <c r="S536" s="48">
        <v>200</v>
      </c>
      <c r="T536" s="40">
        <v>21.50537634408602</v>
      </c>
      <c r="U536" s="41">
        <f t="shared" si="63"/>
        <v>643.60537634408604</v>
      </c>
      <c r="V536" s="42">
        <f t="shared" si="64"/>
        <v>2.1453512544802869</v>
      </c>
      <c r="W536" s="43">
        <f t="shared" si="65"/>
        <v>0.32020167977317715</v>
      </c>
      <c r="X536" s="38"/>
      <c r="Y536" s="38"/>
      <c r="Z536" s="44"/>
      <c r="AA536" s="45">
        <v>46142</v>
      </c>
      <c r="AB536" s="45">
        <v>46166</v>
      </c>
      <c r="AC536" s="45"/>
      <c r="AD536" s="46" t="e">
        <f>IF(ISNA(VLOOKUP(D536,#REF!,5,0)),0,VLOOKUP(D536,#REF!,5,0))</f>
        <v>#REF!</v>
      </c>
      <c r="AE536" s="46" t="e">
        <f t="shared" si="67"/>
        <v>#REF!</v>
      </c>
      <c r="AF536" s="45">
        <v>46181</v>
      </c>
      <c r="AG536" s="76">
        <f t="shared" si="66"/>
        <v>39</v>
      </c>
      <c r="AH536" s="45"/>
      <c r="AI536" s="39"/>
      <c r="AJ536" s="39"/>
      <c r="AK536" s="39"/>
      <c r="AL536" s="35"/>
      <c r="AM536" s="34"/>
      <c r="AN536" s="34"/>
      <c r="AO536" s="39"/>
      <c r="AP536" s="47"/>
      <c r="AQ536" s="47"/>
      <c r="AR536" s="47"/>
      <c r="AS536" s="47"/>
    </row>
    <row r="537" spans="1:45" ht="12" customHeight="1" x14ac:dyDescent="0.25">
      <c r="A537" s="33">
        <v>536</v>
      </c>
      <c r="B537" s="34"/>
      <c r="C537" s="34" t="s">
        <v>169</v>
      </c>
      <c r="D537" s="35" t="s">
        <v>674</v>
      </c>
      <c r="E537" s="34" t="s">
        <v>58</v>
      </c>
      <c r="F537" s="34" t="s">
        <v>0</v>
      </c>
      <c r="G537" s="16" t="s">
        <v>53</v>
      </c>
      <c r="H537" s="34">
        <v>480</v>
      </c>
      <c r="I537" s="34" t="s">
        <v>62</v>
      </c>
      <c r="J537" s="34" t="s">
        <v>3</v>
      </c>
      <c r="K537" s="35" t="s">
        <v>9</v>
      </c>
      <c r="L537" s="36" t="e">
        <f>VLOOKUP(G537,#REF!,4,0)</f>
        <v>#REF!</v>
      </c>
      <c r="M537" s="37" t="e">
        <f>_xlfn.IFNA(VLOOKUP(G537,#REF!,2,0),"")</f>
        <v>#REF!</v>
      </c>
      <c r="N537" s="38" t="e">
        <f>_xlfn.IFNA(VLOOKUP(G537,#REF!,3,0),"")</f>
        <v>#REF!</v>
      </c>
      <c r="O537" s="39">
        <v>40</v>
      </c>
      <c r="P537" s="79">
        <v>572.08333333333337</v>
      </c>
      <c r="Q537" s="39" t="s">
        <v>10</v>
      </c>
      <c r="R537" s="34">
        <v>3.8</v>
      </c>
      <c r="S537" s="38">
        <v>200</v>
      </c>
      <c r="T537" s="40">
        <v>40</v>
      </c>
      <c r="U537" s="41">
        <f t="shared" si="63"/>
        <v>2213.9166666666665</v>
      </c>
      <c r="V537" s="42">
        <f t="shared" si="64"/>
        <v>4.6123263888888886</v>
      </c>
      <c r="W537" s="43">
        <f t="shared" si="65"/>
        <v>0.68840692371475942</v>
      </c>
      <c r="X537" s="38"/>
      <c r="Y537" s="38"/>
      <c r="Z537" s="44"/>
      <c r="AA537" s="45">
        <v>46142</v>
      </c>
      <c r="AB537" s="45">
        <v>46166</v>
      </c>
      <c r="AC537" s="45"/>
      <c r="AD537" s="46" t="e">
        <f>IF(ISNA(VLOOKUP(D537,#REF!,5,0)),0,VLOOKUP(D537,#REF!,5,0))</f>
        <v>#REF!</v>
      </c>
      <c r="AE537" s="46" t="e">
        <f t="shared" si="67"/>
        <v>#REF!</v>
      </c>
      <c r="AF537" s="45">
        <v>46177</v>
      </c>
      <c r="AG537" s="76">
        <f t="shared" si="66"/>
        <v>35</v>
      </c>
      <c r="AH537" s="45"/>
      <c r="AI537" s="39"/>
      <c r="AJ537" s="39"/>
      <c r="AK537" s="39"/>
      <c r="AL537" s="35"/>
      <c r="AM537" s="34"/>
      <c r="AN537" s="34"/>
      <c r="AO537" s="39"/>
      <c r="AP537" s="47"/>
      <c r="AQ537" s="47"/>
      <c r="AR537" s="47"/>
      <c r="AS537" s="47"/>
    </row>
    <row r="538" spans="1:45" ht="12" customHeight="1" x14ac:dyDescent="0.25">
      <c r="A538" s="33">
        <v>537</v>
      </c>
      <c r="B538" s="34"/>
      <c r="C538" s="34" t="s">
        <v>169</v>
      </c>
      <c r="D538" s="35" t="s">
        <v>674</v>
      </c>
      <c r="E538" s="34" t="s">
        <v>58</v>
      </c>
      <c r="F538" s="34" t="s">
        <v>0</v>
      </c>
      <c r="G538" s="16" t="s">
        <v>57</v>
      </c>
      <c r="H538" s="34">
        <v>600</v>
      </c>
      <c r="I538" s="34" t="s">
        <v>62</v>
      </c>
      <c r="J538" s="34" t="s">
        <v>3</v>
      </c>
      <c r="K538" s="35" t="s">
        <v>9</v>
      </c>
      <c r="L538" s="36" t="e">
        <f>VLOOKUP(G538,#REF!,4,0)</f>
        <v>#REF!</v>
      </c>
      <c r="M538" s="37" t="e">
        <f>_xlfn.IFNA(VLOOKUP(G538,#REF!,2,0),"")</f>
        <v>#REF!</v>
      </c>
      <c r="N538" s="38" t="e">
        <f>_xlfn.IFNA(VLOOKUP(G538,#REF!,3,0),"")</f>
        <v>#REF!</v>
      </c>
      <c r="O538" s="39">
        <v>50</v>
      </c>
      <c r="P538" s="79">
        <v>715.10416666666674</v>
      </c>
      <c r="Q538" s="39" t="s">
        <v>10</v>
      </c>
      <c r="R538" s="34">
        <v>3.8</v>
      </c>
      <c r="S538" s="48">
        <v>200</v>
      </c>
      <c r="T538" s="40">
        <v>50</v>
      </c>
      <c r="U538" s="41">
        <f t="shared" si="63"/>
        <v>2767.3958333333335</v>
      </c>
      <c r="V538" s="42">
        <f t="shared" si="64"/>
        <v>4.6123263888888895</v>
      </c>
      <c r="W538" s="43">
        <f t="shared" si="65"/>
        <v>0.68840692371475964</v>
      </c>
      <c r="X538" s="38"/>
      <c r="Y538" s="38"/>
      <c r="Z538" s="44"/>
      <c r="AA538" s="45">
        <v>46142</v>
      </c>
      <c r="AB538" s="45">
        <v>46166</v>
      </c>
      <c r="AC538" s="45"/>
      <c r="AD538" s="46" t="e">
        <f>IF(ISNA(VLOOKUP(D538,#REF!,5,0)),0,VLOOKUP(D538,#REF!,5,0))</f>
        <v>#REF!</v>
      </c>
      <c r="AE538" s="46" t="e">
        <f t="shared" si="67"/>
        <v>#REF!</v>
      </c>
      <c r="AF538" s="45">
        <v>46177</v>
      </c>
      <c r="AG538" s="76">
        <f t="shared" si="66"/>
        <v>35</v>
      </c>
      <c r="AH538" s="45"/>
      <c r="AI538" s="39"/>
      <c r="AJ538" s="39"/>
      <c r="AK538" s="39"/>
      <c r="AL538" s="35"/>
      <c r="AM538" s="34"/>
      <c r="AN538" s="34"/>
      <c r="AO538" s="39"/>
      <c r="AP538" s="47"/>
      <c r="AQ538" s="47"/>
      <c r="AR538" s="47"/>
      <c r="AS538" s="47"/>
    </row>
    <row r="539" spans="1:45" ht="12" customHeight="1" x14ac:dyDescent="0.25">
      <c r="A539" s="33">
        <v>538</v>
      </c>
      <c r="B539" s="34"/>
      <c r="C539" s="34" t="s">
        <v>169</v>
      </c>
      <c r="D539" s="35" t="s">
        <v>674</v>
      </c>
      <c r="E539" s="34" t="s">
        <v>58</v>
      </c>
      <c r="F539" s="34" t="s">
        <v>0</v>
      </c>
      <c r="G539" s="16" t="s">
        <v>239</v>
      </c>
      <c r="H539" s="34">
        <v>160</v>
      </c>
      <c r="I539" s="34" t="s">
        <v>62</v>
      </c>
      <c r="J539" s="34" t="s">
        <v>3</v>
      </c>
      <c r="K539" s="35" t="s">
        <v>9</v>
      </c>
      <c r="L539" s="36" t="e">
        <f>VLOOKUP(G539,#REF!,4,0)</f>
        <v>#REF!</v>
      </c>
      <c r="M539" s="37" t="e">
        <f>_xlfn.IFNA(VLOOKUP(G539,#REF!,2,0),"")</f>
        <v>#REF!</v>
      </c>
      <c r="N539" s="38" t="e">
        <f>_xlfn.IFNA(VLOOKUP(G539,#REF!,3,0),"")</f>
        <v>#REF!</v>
      </c>
      <c r="O539" s="39">
        <v>5</v>
      </c>
      <c r="P539" s="79">
        <v>71.510416666666671</v>
      </c>
      <c r="Q539" s="39" t="s">
        <v>10</v>
      </c>
      <c r="R539" s="34">
        <v>3.8</v>
      </c>
      <c r="S539" s="38"/>
      <c r="T539" s="40">
        <v>5</v>
      </c>
      <c r="U539" s="41">
        <f t="shared" si="63"/>
        <v>276.73958333333331</v>
      </c>
      <c r="V539" s="42">
        <f t="shared" si="64"/>
        <v>1.7296223958333332</v>
      </c>
      <c r="W539" s="43">
        <f t="shared" si="65"/>
        <v>0.25815259639303478</v>
      </c>
      <c r="X539" s="38"/>
      <c r="Y539" s="38"/>
      <c r="Z539" s="44"/>
      <c r="AA539" s="45">
        <v>46142</v>
      </c>
      <c r="AB539" s="45">
        <v>46166</v>
      </c>
      <c r="AC539" s="45"/>
      <c r="AD539" s="46" t="e">
        <f>IF(ISNA(VLOOKUP(D539,#REF!,5,0)),0,VLOOKUP(D539,#REF!,5,0))</f>
        <v>#REF!</v>
      </c>
      <c r="AE539" s="46" t="e">
        <f t="shared" si="67"/>
        <v>#REF!</v>
      </c>
      <c r="AF539" s="45">
        <v>46177</v>
      </c>
      <c r="AG539" s="76">
        <f t="shared" si="66"/>
        <v>35</v>
      </c>
      <c r="AH539" s="45"/>
      <c r="AI539" s="39"/>
      <c r="AJ539" s="39"/>
      <c r="AK539" s="39"/>
      <c r="AL539" s="35"/>
      <c r="AM539" s="34"/>
      <c r="AN539" s="34"/>
      <c r="AO539" s="39"/>
      <c r="AP539" s="47"/>
      <c r="AQ539" s="47"/>
      <c r="AR539" s="47"/>
      <c r="AS539" s="47"/>
    </row>
    <row r="540" spans="1:45" ht="12" customHeight="1" x14ac:dyDescent="0.25">
      <c r="A540" s="33">
        <v>539</v>
      </c>
      <c r="B540" s="34"/>
      <c r="C540" s="34" t="s">
        <v>169</v>
      </c>
      <c r="D540" s="35" t="s">
        <v>674</v>
      </c>
      <c r="E540" s="34" t="s">
        <v>58</v>
      </c>
      <c r="F540" s="34" t="s">
        <v>0</v>
      </c>
      <c r="G540" s="16" t="s">
        <v>59</v>
      </c>
      <c r="H540" s="34">
        <v>90</v>
      </c>
      <c r="I540" s="34" t="s">
        <v>62</v>
      </c>
      <c r="J540" s="34" t="s">
        <v>3</v>
      </c>
      <c r="K540" s="35" t="s">
        <v>9</v>
      </c>
      <c r="L540" s="36" t="e">
        <f>VLOOKUP(G540,#REF!,4,0)</f>
        <v>#REF!</v>
      </c>
      <c r="M540" s="37" t="e">
        <f>_xlfn.IFNA(VLOOKUP(G540,#REF!,2,0),"")</f>
        <v>#REF!</v>
      </c>
      <c r="N540" s="38" t="e">
        <f>_xlfn.IFNA(VLOOKUP(G540,#REF!,3,0),"")</f>
        <v>#REF!</v>
      </c>
      <c r="O540" s="39">
        <v>1</v>
      </c>
      <c r="P540" s="79">
        <v>14.302083333333334</v>
      </c>
      <c r="Q540" s="39" t="s">
        <v>10</v>
      </c>
      <c r="R540" s="34">
        <v>3.8</v>
      </c>
      <c r="S540" s="38"/>
      <c r="T540" s="40">
        <v>1</v>
      </c>
      <c r="U540" s="41">
        <f t="shared" si="63"/>
        <v>55.347916666666663</v>
      </c>
      <c r="V540" s="42">
        <f t="shared" si="64"/>
        <v>0.6149768518518518</v>
      </c>
      <c r="W540" s="43">
        <f t="shared" si="65"/>
        <v>9.1787589828634594E-2</v>
      </c>
      <c r="X540" s="38"/>
      <c r="Y540" s="38"/>
      <c r="Z540" s="44"/>
      <c r="AA540" s="45">
        <v>46142</v>
      </c>
      <c r="AB540" s="45">
        <v>46166</v>
      </c>
      <c r="AC540" s="45"/>
      <c r="AD540" s="46" t="e">
        <f>IF(ISNA(VLOOKUP(D540,#REF!,5,0)),0,VLOOKUP(D540,#REF!,5,0))</f>
        <v>#REF!</v>
      </c>
      <c r="AE540" s="46" t="e">
        <f t="shared" si="67"/>
        <v>#REF!</v>
      </c>
      <c r="AF540" s="45">
        <v>46177</v>
      </c>
      <c r="AG540" s="76">
        <f t="shared" si="66"/>
        <v>35</v>
      </c>
      <c r="AH540" s="45"/>
      <c r="AI540" s="39"/>
      <c r="AJ540" s="39"/>
      <c r="AK540" s="39"/>
      <c r="AL540" s="35"/>
      <c r="AM540" s="34"/>
      <c r="AN540" s="34"/>
      <c r="AO540" s="39"/>
      <c r="AP540" s="47"/>
      <c r="AQ540" s="47"/>
      <c r="AR540" s="47"/>
      <c r="AS540" s="47"/>
    </row>
    <row r="541" spans="1:45" ht="12" customHeight="1" x14ac:dyDescent="0.25">
      <c r="A541" s="33">
        <v>540</v>
      </c>
      <c r="B541" s="34"/>
      <c r="C541" s="34" t="s">
        <v>660</v>
      </c>
      <c r="D541" s="35" t="s">
        <v>675</v>
      </c>
      <c r="E541" s="34" t="s">
        <v>58</v>
      </c>
      <c r="F541" s="34" t="s">
        <v>0</v>
      </c>
      <c r="G541" s="16" t="s">
        <v>240</v>
      </c>
      <c r="H541" s="34">
        <v>120</v>
      </c>
      <c r="I541" s="34" t="s">
        <v>54</v>
      </c>
      <c r="J541" s="34" t="s">
        <v>3</v>
      </c>
      <c r="K541" s="35" t="s">
        <v>9</v>
      </c>
      <c r="L541" s="36" t="e">
        <f>VLOOKUP(G541,#REF!,4,0)</f>
        <v>#REF!</v>
      </c>
      <c r="M541" s="37" t="e">
        <f>_xlfn.IFNA(VLOOKUP(G541,#REF!,2,0),"")</f>
        <v>#REF!</v>
      </c>
      <c r="N541" s="38" t="e">
        <f>_xlfn.IFNA(VLOOKUP(G541,#REF!,3,0),"")</f>
        <v>#REF!</v>
      </c>
      <c r="O541" s="39">
        <v>10</v>
      </c>
      <c r="P541" s="79">
        <v>171</v>
      </c>
      <c r="Q541" s="39" t="s">
        <v>10</v>
      </c>
      <c r="R541" s="34">
        <v>5</v>
      </c>
      <c r="S541" s="38">
        <v>200</v>
      </c>
      <c r="T541" s="40">
        <v>21.50537634408602</v>
      </c>
      <c r="U541" s="41">
        <f t="shared" si="63"/>
        <v>876.50537634408602</v>
      </c>
      <c r="V541" s="42">
        <f t="shared" si="64"/>
        <v>7.3042114695340503</v>
      </c>
      <c r="W541" s="43">
        <f t="shared" si="65"/>
        <v>1.0901808163483657</v>
      </c>
      <c r="X541" s="38"/>
      <c r="Y541" s="38"/>
      <c r="Z541" s="44"/>
      <c r="AA541" s="45">
        <v>46142</v>
      </c>
      <c r="AB541" s="45">
        <v>46166</v>
      </c>
      <c r="AC541" s="45"/>
      <c r="AD541" s="46" t="e">
        <f>IF(ISNA(VLOOKUP(D541,#REF!,5,0)),0,VLOOKUP(D541,#REF!,5,0))</f>
        <v>#REF!</v>
      </c>
      <c r="AE541" s="46" t="e">
        <f t="shared" si="67"/>
        <v>#REF!</v>
      </c>
      <c r="AF541" s="45">
        <v>46181</v>
      </c>
      <c r="AG541" s="76">
        <f t="shared" si="66"/>
        <v>39</v>
      </c>
      <c r="AH541" s="45"/>
      <c r="AI541" s="39"/>
      <c r="AJ541" s="39"/>
      <c r="AK541" s="39"/>
      <c r="AL541" s="35"/>
      <c r="AM541" s="34"/>
      <c r="AN541" s="34"/>
      <c r="AO541" s="39"/>
      <c r="AP541" s="47"/>
      <c r="AQ541" s="47"/>
      <c r="AR541" s="47"/>
      <c r="AS541" s="47"/>
    </row>
    <row r="542" spans="1:45" ht="12" customHeight="1" x14ac:dyDescent="0.25">
      <c r="A542" s="33">
        <v>541</v>
      </c>
      <c r="B542" s="34"/>
      <c r="C542" s="34" t="s">
        <v>170</v>
      </c>
      <c r="D542" s="35" t="s">
        <v>676</v>
      </c>
      <c r="E542" s="34" t="s">
        <v>470</v>
      </c>
      <c r="F542" s="34" t="s">
        <v>0</v>
      </c>
      <c r="G542" s="16" t="s">
        <v>677</v>
      </c>
      <c r="H542" s="34">
        <v>153</v>
      </c>
      <c r="I542" s="34" t="s">
        <v>54</v>
      </c>
      <c r="J542" s="34" t="s">
        <v>3</v>
      </c>
      <c r="K542" s="35" t="s">
        <v>22</v>
      </c>
      <c r="L542" s="36" t="e">
        <f>VLOOKUP(G542,#REF!,4,0)</f>
        <v>#REF!</v>
      </c>
      <c r="M542" s="37" t="e">
        <f>_xlfn.IFNA(VLOOKUP(G542,#REF!,2,0),"")</f>
        <v>#REF!</v>
      </c>
      <c r="N542" s="38" t="e">
        <f>_xlfn.IFNA(VLOOKUP(G542,#REF!,3,0),"")</f>
        <v>#REF!</v>
      </c>
      <c r="O542" s="39">
        <v>17</v>
      </c>
      <c r="P542" s="79">
        <v>281</v>
      </c>
      <c r="Q542" s="39" t="s">
        <v>10</v>
      </c>
      <c r="R542" s="34">
        <v>5.0999999999999996</v>
      </c>
      <c r="S542" s="38">
        <v>200</v>
      </c>
      <c r="T542" s="40">
        <v>61.81818181818182</v>
      </c>
      <c r="U542" s="41">
        <f t="shared" si="63"/>
        <v>1494.9181818181817</v>
      </c>
      <c r="V542" s="42">
        <f t="shared" si="64"/>
        <v>9.7707070707070702</v>
      </c>
      <c r="W542" s="43">
        <f t="shared" si="65"/>
        <v>1.4583144881652343</v>
      </c>
      <c r="X542" s="38"/>
      <c r="Y542" s="38"/>
      <c r="Z542" s="44"/>
      <c r="AA542" s="45">
        <v>46142</v>
      </c>
      <c r="AB542" s="45">
        <v>46166</v>
      </c>
      <c r="AC542" s="45"/>
      <c r="AD542" s="46" t="e">
        <f>IF(ISNA(VLOOKUP(D542,#REF!,5,0)),0,VLOOKUP(D542,#REF!,5,0))</f>
        <v>#REF!</v>
      </c>
      <c r="AE542" s="46" t="e">
        <f t="shared" si="67"/>
        <v>#REF!</v>
      </c>
      <c r="AF542" s="45">
        <v>46182</v>
      </c>
      <c r="AG542" s="76">
        <f t="shared" si="66"/>
        <v>40</v>
      </c>
      <c r="AH542" s="45"/>
      <c r="AI542" s="39"/>
      <c r="AJ542" s="39"/>
      <c r="AK542" s="39"/>
      <c r="AL542" s="35"/>
      <c r="AM542" s="34"/>
      <c r="AN542" s="34"/>
      <c r="AO542" s="39"/>
      <c r="AP542" s="47"/>
      <c r="AQ542" s="47"/>
      <c r="AR542" s="47"/>
      <c r="AS542" s="47"/>
    </row>
    <row r="543" spans="1:45" ht="12" customHeight="1" x14ac:dyDescent="0.25">
      <c r="A543" s="33">
        <v>542</v>
      </c>
      <c r="B543" s="34"/>
      <c r="C543" s="34" t="s">
        <v>170</v>
      </c>
      <c r="D543" s="35" t="s">
        <v>678</v>
      </c>
      <c r="E543" s="34" t="s">
        <v>470</v>
      </c>
      <c r="F543" s="34" t="s">
        <v>0</v>
      </c>
      <c r="G543" s="16" t="s">
        <v>679</v>
      </c>
      <c r="H543" s="34">
        <v>153</v>
      </c>
      <c r="I543" s="34" t="s">
        <v>54</v>
      </c>
      <c r="J543" s="34" t="s">
        <v>3</v>
      </c>
      <c r="K543" s="35" t="s">
        <v>4</v>
      </c>
      <c r="L543" s="36" t="e">
        <f>VLOOKUP(G543,#REF!,4,0)</f>
        <v>#REF!</v>
      </c>
      <c r="M543" s="37" t="e">
        <f>_xlfn.IFNA(VLOOKUP(G543,#REF!,2,0),"")</f>
        <v>#REF!</v>
      </c>
      <c r="N543" s="38" t="e">
        <f>_xlfn.IFNA(VLOOKUP(G543,#REF!,3,0),"")</f>
        <v>#REF!</v>
      </c>
      <c r="O543" s="39">
        <v>17</v>
      </c>
      <c r="P543" s="79">
        <v>280</v>
      </c>
      <c r="Q543" s="39" t="s">
        <v>10</v>
      </c>
      <c r="R543" s="34">
        <v>5.0999999999999996</v>
      </c>
      <c r="S543" s="48">
        <v>200</v>
      </c>
      <c r="T543" s="40">
        <v>61.81818181818182</v>
      </c>
      <c r="U543" s="41">
        <f t="shared" si="63"/>
        <v>1489.8181818181818</v>
      </c>
      <c r="V543" s="42">
        <f t="shared" si="64"/>
        <v>9.737373737373737</v>
      </c>
      <c r="W543" s="43">
        <f t="shared" si="65"/>
        <v>1.4533393637871248</v>
      </c>
      <c r="X543" s="38"/>
      <c r="Y543" s="38"/>
      <c r="Z543" s="44"/>
      <c r="AA543" s="45">
        <v>46142</v>
      </c>
      <c r="AB543" s="45">
        <v>46166</v>
      </c>
      <c r="AC543" s="45"/>
      <c r="AD543" s="46" t="e">
        <f>IF(ISNA(VLOOKUP(D543,#REF!,5,0)),0,VLOOKUP(D543,#REF!,5,0))</f>
        <v>#REF!</v>
      </c>
      <c r="AE543" s="46" t="e">
        <f t="shared" si="67"/>
        <v>#REF!</v>
      </c>
      <c r="AF543" s="45">
        <v>46181</v>
      </c>
      <c r="AG543" s="76">
        <f t="shared" si="66"/>
        <v>39</v>
      </c>
      <c r="AH543" s="45"/>
      <c r="AI543" s="39"/>
      <c r="AJ543" s="39"/>
      <c r="AK543" s="39"/>
      <c r="AL543" s="35"/>
      <c r="AM543" s="34"/>
      <c r="AN543" s="34"/>
      <c r="AO543" s="39"/>
      <c r="AP543" s="47"/>
      <c r="AQ543" s="47"/>
      <c r="AR543" s="47"/>
      <c r="AS543" s="47"/>
    </row>
    <row r="544" spans="1:45" ht="12" customHeight="1" x14ac:dyDescent="0.25">
      <c r="A544" s="33">
        <v>543</v>
      </c>
      <c r="B544" s="34"/>
      <c r="C544" s="34" t="s">
        <v>166</v>
      </c>
      <c r="D544" s="35" t="s">
        <v>680</v>
      </c>
      <c r="E544" s="34" t="s">
        <v>61</v>
      </c>
      <c r="F544" s="34" t="s">
        <v>0</v>
      </c>
      <c r="G544" s="16" t="s">
        <v>245</v>
      </c>
      <c r="H544" s="34">
        <v>180</v>
      </c>
      <c r="I544" s="34" t="s">
        <v>87</v>
      </c>
      <c r="J544" s="34" t="s">
        <v>3</v>
      </c>
      <c r="K544" s="35" t="s">
        <v>5</v>
      </c>
      <c r="L544" s="36" t="e">
        <f>VLOOKUP(G544,#REF!,4,0)</f>
        <v>#REF!</v>
      </c>
      <c r="M544" s="37" t="e">
        <f>_xlfn.IFNA(VLOOKUP(G544,#REF!,2,0),"")</f>
        <v>#REF!</v>
      </c>
      <c r="N544" s="38" t="e">
        <f>_xlfn.IFNA(VLOOKUP(G544,#REF!,3,0),"")</f>
        <v>#REF!</v>
      </c>
      <c r="O544" s="39">
        <v>2</v>
      </c>
      <c r="P544" s="79">
        <v>40.285714285714285</v>
      </c>
      <c r="Q544" s="39" t="s">
        <v>10</v>
      </c>
      <c r="R544" s="34">
        <v>5.4</v>
      </c>
      <c r="S544" s="38">
        <v>200</v>
      </c>
      <c r="T544" s="40">
        <v>57.142857142857146</v>
      </c>
      <c r="U544" s="41">
        <f t="shared" si="63"/>
        <v>274.68571428571431</v>
      </c>
      <c r="V544" s="42">
        <f t="shared" si="64"/>
        <v>1.5260317460317461</v>
      </c>
      <c r="W544" s="43">
        <f t="shared" si="65"/>
        <v>0.22776593224354419</v>
      </c>
      <c r="X544" s="38"/>
      <c r="Y544" s="38"/>
      <c r="Z544" s="44"/>
      <c r="AA544" s="45">
        <v>46142</v>
      </c>
      <c r="AB544" s="45">
        <v>46164</v>
      </c>
      <c r="AC544" s="45"/>
      <c r="AD544" s="46" t="e">
        <f>IF(ISNA(VLOOKUP(D544,#REF!,5,0)),0,VLOOKUP(D544,#REF!,5,0))</f>
        <v>#REF!</v>
      </c>
      <c r="AE544" s="46" t="e">
        <f t="shared" si="67"/>
        <v>#REF!</v>
      </c>
      <c r="AF544" s="45">
        <v>46172</v>
      </c>
      <c r="AG544" s="76">
        <f t="shared" si="66"/>
        <v>30</v>
      </c>
      <c r="AH544" s="45"/>
      <c r="AI544" s="39"/>
      <c r="AJ544" s="39"/>
      <c r="AK544" s="39"/>
      <c r="AL544" s="35"/>
      <c r="AM544" s="34"/>
      <c r="AN544" s="34"/>
      <c r="AO544" s="39"/>
      <c r="AP544" s="47"/>
      <c r="AQ544" s="47"/>
      <c r="AR544" s="47"/>
      <c r="AS544" s="47"/>
    </row>
    <row r="545" spans="1:45" ht="12" customHeight="1" x14ac:dyDescent="0.25">
      <c r="A545" s="33">
        <v>544</v>
      </c>
      <c r="B545" s="34"/>
      <c r="C545" s="34" t="s">
        <v>166</v>
      </c>
      <c r="D545" s="35" t="s">
        <v>680</v>
      </c>
      <c r="E545" s="34" t="s">
        <v>61</v>
      </c>
      <c r="F545" s="34" t="s">
        <v>0</v>
      </c>
      <c r="G545" s="16" t="s">
        <v>329</v>
      </c>
      <c r="H545" s="34">
        <v>152</v>
      </c>
      <c r="I545" s="34" t="s">
        <v>87</v>
      </c>
      <c r="J545" s="34" t="s">
        <v>3</v>
      </c>
      <c r="K545" s="35" t="s">
        <v>5</v>
      </c>
      <c r="L545" s="36" t="e">
        <f>VLOOKUP(G545,#REF!,4,0)</f>
        <v>#REF!</v>
      </c>
      <c r="M545" s="37" t="e">
        <f>_xlfn.IFNA(VLOOKUP(G545,#REF!,2,0),"")</f>
        <v>#REF!</v>
      </c>
      <c r="N545" s="38" t="e">
        <f>_xlfn.IFNA(VLOOKUP(G545,#REF!,3,0),"")</f>
        <v>#REF!</v>
      </c>
      <c r="O545" s="39">
        <v>2</v>
      </c>
      <c r="P545" s="79">
        <v>40.285714285714285</v>
      </c>
      <c r="Q545" s="39" t="s">
        <v>10</v>
      </c>
      <c r="R545" s="34">
        <v>5.4</v>
      </c>
      <c r="S545" s="48">
        <v>200</v>
      </c>
      <c r="T545" s="40">
        <v>57.142857142857146</v>
      </c>
      <c r="U545" s="41">
        <f t="shared" si="63"/>
        <v>274.68571428571431</v>
      </c>
      <c r="V545" s="42">
        <f t="shared" si="64"/>
        <v>1.8071428571428574</v>
      </c>
      <c r="W545" s="43">
        <f t="shared" si="65"/>
        <v>0.26972281449893393</v>
      </c>
      <c r="X545" s="38"/>
      <c r="Y545" s="38"/>
      <c r="Z545" s="44"/>
      <c r="AA545" s="45">
        <v>46142</v>
      </c>
      <c r="AB545" s="45">
        <v>46164</v>
      </c>
      <c r="AC545" s="45"/>
      <c r="AD545" s="46" t="e">
        <f>IF(ISNA(VLOOKUP(D545,#REF!,5,0)),0,VLOOKUP(D545,#REF!,5,0))</f>
        <v>#REF!</v>
      </c>
      <c r="AE545" s="46" t="e">
        <f t="shared" si="67"/>
        <v>#REF!</v>
      </c>
      <c r="AF545" s="45">
        <v>46172</v>
      </c>
      <c r="AG545" s="76">
        <f t="shared" si="66"/>
        <v>30</v>
      </c>
      <c r="AH545" s="45"/>
      <c r="AI545" s="39"/>
      <c r="AJ545" s="39"/>
      <c r="AK545" s="39"/>
      <c r="AL545" s="35"/>
      <c r="AM545" s="34"/>
      <c r="AN545" s="34"/>
      <c r="AO545" s="39"/>
      <c r="AP545" s="47"/>
      <c r="AQ545" s="47"/>
      <c r="AR545" s="47"/>
      <c r="AS545" s="47"/>
    </row>
    <row r="546" spans="1:45" ht="12" customHeight="1" x14ac:dyDescent="0.25">
      <c r="A546" s="33">
        <v>545</v>
      </c>
      <c r="B546" s="34"/>
      <c r="C546" s="34" t="s">
        <v>166</v>
      </c>
      <c r="D546" s="35" t="s">
        <v>680</v>
      </c>
      <c r="E546" s="34" t="s">
        <v>61</v>
      </c>
      <c r="F546" s="34" t="s">
        <v>0</v>
      </c>
      <c r="G546" s="16" t="s">
        <v>174</v>
      </c>
      <c r="H546" s="34">
        <v>90</v>
      </c>
      <c r="I546" s="34" t="s">
        <v>87</v>
      </c>
      <c r="J546" s="34" t="s">
        <v>3</v>
      </c>
      <c r="K546" s="35" t="s">
        <v>5</v>
      </c>
      <c r="L546" s="36" t="e">
        <f>VLOOKUP(G546,#REF!,4,0)</f>
        <v>#REF!</v>
      </c>
      <c r="M546" s="37" t="e">
        <f>_xlfn.IFNA(VLOOKUP(G546,#REF!,2,0),"")</f>
        <v>#REF!</v>
      </c>
      <c r="N546" s="38" t="e">
        <f>_xlfn.IFNA(VLOOKUP(G546,#REF!,3,0),"")</f>
        <v>#REF!</v>
      </c>
      <c r="O546" s="39">
        <v>1</v>
      </c>
      <c r="P546" s="79">
        <v>20.142857142857142</v>
      </c>
      <c r="Q546" s="39" t="s">
        <v>10</v>
      </c>
      <c r="R546" s="34">
        <v>5.4</v>
      </c>
      <c r="S546" s="38"/>
      <c r="T546" s="40">
        <v>28.571428571428573</v>
      </c>
      <c r="U546" s="41">
        <f t="shared" si="63"/>
        <v>137.34285714285716</v>
      </c>
      <c r="V546" s="42">
        <f t="shared" si="64"/>
        <v>1.5260317460317461</v>
      </c>
      <c r="W546" s="43">
        <f t="shared" si="65"/>
        <v>0.22776593224354419</v>
      </c>
      <c r="X546" s="38"/>
      <c r="Y546" s="38"/>
      <c r="Z546" s="44"/>
      <c r="AA546" s="45">
        <v>46142</v>
      </c>
      <c r="AB546" s="45">
        <v>46164</v>
      </c>
      <c r="AC546" s="45"/>
      <c r="AD546" s="46" t="e">
        <f>IF(ISNA(VLOOKUP(D546,#REF!,5,0)),0,VLOOKUP(D546,#REF!,5,0))</f>
        <v>#REF!</v>
      </c>
      <c r="AE546" s="46" t="e">
        <f t="shared" si="67"/>
        <v>#REF!</v>
      </c>
      <c r="AF546" s="45">
        <v>46172</v>
      </c>
      <c r="AG546" s="76">
        <f t="shared" si="66"/>
        <v>30</v>
      </c>
      <c r="AH546" s="45"/>
      <c r="AI546" s="39"/>
      <c r="AJ546" s="39"/>
      <c r="AK546" s="39"/>
      <c r="AL546" s="35"/>
      <c r="AM546" s="34"/>
      <c r="AN546" s="34"/>
      <c r="AO546" s="39"/>
      <c r="AP546" s="47"/>
      <c r="AQ546" s="47"/>
      <c r="AR546" s="47"/>
      <c r="AS546" s="47"/>
    </row>
    <row r="547" spans="1:45" ht="12" customHeight="1" x14ac:dyDescent="0.25">
      <c r="A547" s="33">
        <v>546</v>
      </c>
      <c r="B547" s="34"/>
      <c r="C547" s="34" t="s">
        <v>166</v>
      </c>
      <c r="D547" s="35" t="s">
        <v>680</v>
      </c>
      <c r="E547" s="34" t="s">
        <v>61</v>
      </c>
      <c r="F547" s="34" t="s">
        <v>0</v>
      </c>
      <c r="G547" s="16" t="s">
        <v>121</v>
      </c>
      <c r="H547" s="34">
        <v>180</v>
      </c>
      <c r="I547" s="34" t="s">
        <v>87</v>
      </c>
      <c r="J547" s="34" t="s">
        <v>3</v>
      </c>
      <c r="K547" s="35" t="s">
        <v>5</v>
      </c>
      <c r="L547" s="36" t="e">
        <f>VLOOKUP(G547,#REF!,4,0)</f>
        <v>#REF!</v>
      </c>
      <c r="M547" s="37" t="e">
        <f>_xlfn.IFNA(VLOOKUP(G547,#REF!,2,0),"")</f>
        <v>#REF!</v>
      </c>
      <c r="N547" s="38" t="e">
        <f>_xlfn.IFNA(VLOOKUP(G547,#REF!,3,0),"")</f>
        <v>#REF!</v>
      </c>
      <c r="O547" s="39">
        <v>2</v>
      </c>
      <c r="P547" s="79">
        <v>40.285714285714285</v>
      </c>
      <c r="Q547" s="39" t="s">
        <v>10</v>
      </c>
      <c r="R547" s="34">
        <v>5.4</v>
      </c>
      <c r="S547" s="38"/>
      <c r="T547" s="40">
        <v>57.142857142857146</v>
      </c>
      <c r="U547" s="41">
        <f t="shared" si="63"/>
        <v>274.68571428571431</v>
      </c>
      <c r="V547" s="42">
        <f t="shared" si="64"/>
        <v>1.5260317460317461</v>
      </c>
      <c r="W547" s="43">
        <f t="shared" si="65"/>
        <v>0.22776593224354419</v>
      </c>
      <c r="X547" s="38"/>
      <c r="Y547" s="38"/>
      <c r="Z547" s="44"/>
      <c r="AA547" s="45">
        <v>46142</v>
      </c>
      <c r="AB547" s="45">
        <v>46164</v>
      </c>
      <c r="AC547" s="45"/>
      <c r="AD547" s="46" t="e">
        <f>IF(ISNA(VLOOKUP(D547,#REF!,5,0)),0,VLOOKUP(D547,#REF!,5,0))</f>
        <v>#REF!</v>
      </c>
      <c r="AE547" s="46" t="e">
        <f t="shared" si="67"/>
        <v>#REF!</v>
      </c>
      <c r="AF547" s="45">
        <v>46172</v>
      </c>
      <c r="AG547" s="76">
        <f t="shared" si="66"/>
        <v>30</v>
      </c>
      <c r="AH547" s="45"/>
      <c r="AI547" s="39"/>
      <c r="AJ547" s="39"/>
      <c r="AK547" s="39"/>
      <c r="AL547" s="35"/>
      <c r="AM547" s="34"/>
      <c r="AN547" s="34"/>
      <c r="AO547" s="39"/>
      <c r="AP547" s="47"/>
      <c r="AQ547" s="47"/>
      <c r="AR547" s="47"/>
      <c r="AS547" s="47"/>
    </row>
    <row r="548" spans="1:45" ht="12" customHeight="1" x14ac:dyDescent="0.25">
      <c r="A548" s="33">
        <v>547</v>
      </c>
      <c r="B548" s="34" t="s">
        <v>683</v>
      </c>
      <c r="C548" s="34" t="s">
        <v>168</v>
      </c>
      <c r="D548" s="35" t="s">
        <v>681</v>
      </c>
      <c r="E548" s="34" t="s">
        <v>58</v>
      </c>
      <c r="F548" s="34" t="s">
        <v>0</v>
      </c>
      <c r="G548" s="16" t="s">
        <v>476</v>
      </c>
      <c r="H548" s="34">
        <v>1280</v>
      </c>
      <c r="I548" s="34" t="s">
        <v>218</v>
      </c>
      <c r="J548" s="34" t="s">
        <v>3</v>
      </c>
      <c r="K548" s="35" t="s">
        <v>15</v>
      </c>
      <c r="L548" s="36" t="e">
        <f>VLOOKUP(G548,#REF!,4,0)</f>
        <v>#REF!</v>
      </c>
      <c r="M548" s="37" t="e">
        <f>_xlfn.IFNA(VLOOKUP(G548,#REF!,2,0),"")</f>
        <v>#REF!</v>
      </c>
      <c r="N548" s="38" t="e">
        <f>_xlfn.IFNA(VLOOKUP(G548,#REF!,3,0),"")</f>
        <v>#REF!</v>
      </c>
      <c r="O548" s="39">
        <v>20</v>
      </c>
      <c r="P548" s="79">
        <v>0.8</v>
      </c>
      <c r="Q548" s="39" t="s">
        <v>420</v>
      </c>
      <c r="R548" s="34">
        <v>1240</v>
      </c>
      <c r="S548" s="38">
        <v>180</v>
      </c>
      <c r="T548" s="40">
        <v>90</v>
      </c>
      <c r="U548" s="41">
        <f t="shared" si="63"/>
        <v>1082</v>
      </c>
      <c r="V548" s="42">
        <f t="shared" si="64"/>
        <v>0.84531250000000002</v>
      </c>
      <c r="W548" s="43">
        <f t="shared" si="65"/>
        <v>0.1261660447761194</v>
      </c>
      <c r="X548" s="38"/>
      <c r="Y548" s="38"/>
      <c r="Z548" s="44"/>
      <c r="AA548" s="45">
        <v>46141</v>
      </c>
      <c r="AB548" s="45">
        <v>46165</v>
      </c>
      <c r="AC548" s="45"/>
      <c r="AD548" s="46" t="e">
        <f>IF(ISNA(VLOOKUP(D548,#REF!,5,0)),0,VLOOKUP(D548,#REF!,5,0))</f>
        <v>#REF!</v>
      </c>
      <c r="AE548" s="46" t="e">
        <f t="shared" si="67"/>
        <v>#REF!</v>
      </c>
      <c r="AF548" s="45">
        <v>46181</v>
      </c>
      <c r="AG548" s="76">
        <f t="shared" si="66"/>
        <v>40</v>
      </c>
      <c r="AH548" s="45"/>
      <c r="AI548" s="39"/>
      <c r="AJ548" s="39"/>
      <c r="AK548" s="39"/>
      <c r="AL548" s="35"/>
      <c r="AM548" s="34"/>
      <c r="AN548" s="34"/>
      <c r="AO548" s="39"/>
      <c r="AP548" s="47"/>
      <c r="AQ548" s="47"/>
      <c r="AR548" s="47"/>
      <c r="AS548" s="47"/>
    </row>
    <row r="549" spans="1:45" ht="12" customHeight="1" x14ac:dyDescent="0.25">
      <c r="A549" s="33">
        <v>548</v>
      </c>
      <c r="B549" s="34"/>
      <c r="C549" s="34" t="s">
        <v>168</v>
      </c>
      <c r="D549" s="35" t="s">
        <v>681</v>
      </c>
      <c r="E549" s="34" t="s">
        <v>58</v>
      </c>
      <c r="F549" s="34" t="s">
        <v>0</v>
      </c>
      <c r="G549" s="16" t="s">
        <v>615</v>
      </c>
      <c r="H549" s="34">
        <v>100</v>
      </c>
      <c r="I549" s="34" t="s">
        <v>218</v>
      </c>
      <c r="J549" s="34" t="s">
        <v>3</v>
      </c>
      <c r="K549" s="35" t="s">
        <v>15</v>
      </c>
      <c r="L549" s="36" t="e">
        <f>VLOOKUP(G549,#REF!,4,0)</f>
        <v>#REF!</v>
      </c>
      <c r="M549" s="37" t="e">
        <f>_xlfn.IFNA(VLOOKUP(G549,#REF!,2,0),"")</f>
        <v>#REF!</v>
      </c>
      <c r="N549" s="38" t="e">
        <f>_xlfn.IFNA(VLOOKUP(G549,#REF!,3,0),"")</f>
        <v>#REF!</v>
      </c>
      <c r="O549" s="39">
        <v>5</v>
      </c>
      <c r="P549" s="79">
        <v>0.2</v>
      </c>
      <c r="Q549" s="39" t="s">
        <v>420</v>
      </c>
      <c r="R549" s="34">
        <v>1240</v>
      </c>
      <c r="S549" s="48">
        <v>180</v>
      </c>
      <c r="T549" s="40">
        <v>22.5</v>
      </c>
      <c r="U549" s="41">
        <f t="shared" si="63"/>
        <v>270.5</v>
      </c>
      <c r="V549" s="42">
        <f t="shared" si="64"/>
        <v>2.7050000000000001</v>
      </c>
      <c r="W549" s="43">
        <f t="shared" si="65"/>
        <v>0.40373134328358207</v>
      </c>
      <c r="X549" s="38"/>
      <c r="Y549" s="38"/>
      <c r="Z549" s="44"/>
      <c r="AA549" s="45">
        <v>46141</v>
      </c>
      <c r="AB549" s="45">
        <v>46165</v>
      </c>
      <c r="AC549" s="45"/>
      <c r="AD549" s="46" t="e">
        <f>IF(ISNA(VLOOKUP(D549,#REF!,5,0)),0,VLOOKUP(D549,#REF!,5,0))</f>
        <v>#REF!</v>
      </c>
      <c r="AE549" s="46" t="e">
        <f t="shared" si="67"/>
        <v>#REF!</v>
      </c>
      <c r="AF549" s="45">
        <v>46181</v>
      </c>
      <c r="AG549" s="76">
        <f t="shared" si="66"/>
        <v>40</v>
      </c>
      <c r="AH549" s="45"/>
      <c r="AI549" s="39"/>
      <c r="AJ549" s="39"/>
      <c r="AK549" s="39"/>
      <c r="AL549" s="35"/>
      <c r="AM549" s="34"/>
      <c r="AN549" s="34"/>
      <c r="AO549" s="39"/>
      <c r="AP549" s="47"/>
      <c r="AQ549" s="47"/>
      <c r="AR549" s="47"/>
      <c r="AS549" s="47"/>
    </row>
    <row r="550" spans="1:45" ht="12" customHeight="1" x14ac:dyDescent="0.25">
      <c r="A550" s="33">
        <v>549</v>
      </c>
      <c r="B550" s="34"/>
      <c r="C550" s="34" t="s">
        <v>168</v>
      </c>
      <c r="D550" s="35" t="s">
        <v>682</v>
      </c>
      <c r="E550" s="34" t="s">
        <v>61</v>
      </c>
      <c r="F550" s="34" t="s">
        <v>0</v>
      </c>
      <c r="G550" s="16" t="s">
        <v>278</v>
      </c>
      <c r="H550" s="34">
        <v>256</v>
      </c>
      <c r="I550" s="34" t="s">
        <v>218</v>
      </c>
      <c r="J550" s="34" t="s">
        <v>3</v>
      </c>
      <c r="K550" s="35" t="s">
        <v>22</v>
      </c>
      <c r="L550" s="36" t="e">
        <f>VLOOKUP(G550,#REF!,4,0)</f>
        <v>#REF!</v>
      </c>
      <c r="M550" s="37" t="e">
        <f>_xlfn.IFNA(VLOOKUP(G550,#REF!,2,0),"")</f>
        <v>#REF!</v>
      </c>
      <c r="N550" s="38" t="e">
        <f>_xlfn.IFNA(VLOOKUP(G550,#REF!,3,0),"")</f>
        <v>#REF!</v>
      </c>
      <c r="O550" s="39">
        <v>4</v>
      </c>
      <c r="P550" s="79">
        <v>0.26666666666666666</v>
      </c>
      <c r="Q550" s="39" t="s">
        <v>420</v>
      </c>
      <c r="R550" s="34">
        <v>1240</v>
      </c>
      <c r="S550" s="38"/>
      <c r="T550" s="40">
        <v>18</v>
      </c>
      <c r="U550" s="41">
        <f t="shared" si="63"/>
        <v>348.66666666666669</v>
      </c>
      <c r="V550" s="42">
        <f t="shared" si="64"/>
        <v>1.3619791666666667</v>
      </c>
      <c r="W550" s="43">
        <f t="shared" si="65"/>
        <v>0.20328047263681592</v>
      </c>
      <c r="X550" s="38"/>
      <c r="Y550" s="38"/>
      <c r="Z550" s="44"/>
      <c r="AA550" s="45">
        <v>46141</v>
      </c>
      <c r="AB550" s="45">
        <v>46165</v>
      </c>
      <c r="AC550" s="45"/>
      <c r="AD550" s="46" t="e">
        <f>IF(ISNA(VLOOKUP(D550,#REF!,5,0)),0,VLOOKUP(D550,#REF!,5,0))</f>
        <v>#REF!</v>
      </c>
      <c r="AE550" s="46" t="e">
        <f t="shared" si="67"/>
        <v>#REF!</v>
      </c>
      <c r="AF550" s="45">
        <v>46170</v>
      </c>
      <c r="AG550" s="33">
        <f t="shared" si="66"/>
        <v>29</v>
      </c>
      <c r="AH550" s="45"/>
      <c r="AI550" s="39"/>
      <c r="AJ550" s="39"/>
      <c r="AK550" s="39"/>
      <c r="AL550" s="35"/>
      <c r="AM550" s="34"/>
      <c r="AN550" s="34"/>
      <c r="AO550" s="39"/>
      <c r="AP550" s="47"/>
      <c r="AQ550" s="47"/>
      <c r="AR550" s="47"/>
      <c r="AS550" s="47"/>
    </row>
    <row r="551" spans="1:45" ht="12" customHeight="1" x14ac:dyDescent="0.25">
      <c r="A551" s="33">
        <v>550</v>
      </c>
      <c r="B551" s="34"/>
      <c r="C551" s="34" t="s">
        <v>168</v>
      </c>
      <c r="D551" s="35" t="s">
        <v>682</v>
      </c>
      <c r="E551" s="34" t="s">
        <v>61</v>
      </c>
      <c r="F551" s="34" t="s">
        <v>0</v>
      </c>
      <c r="G551" s="16" t="s">
        <v>293</v>
      </c>
      <c r="H551" s="34">
        <v>192</v>
      </c>
      <c r="I551" s="34" t="s">
        <v>218</v>
      </c>
      <c r="J551" s="34" t="s">
        <v>3</v>
      </c>
      <c r="K551" s="35" t="s">
        <v>22</v>
      </c>
      <c r="L551" s="36" t="e">
        <f>VLOOKUP(G551,#REF!,4,0)</f>
        <v>#REF!</v>
      </c>
      <c r="M551" s="37" t="e">
        <f>_xlfn.IFNA(VLOOKUP(G551,#REF!,2,0),"")</f>
        <v>#REF!</v>
      </c>
      <c r="N551" s="38" t="e">
        <f>_xlfn.IFNA(VLOOKUP(G551,#REF!,3,0),"")</f>
        <v>#REF!</v>
      </c>
      <c r="O551" s="39">
        <v>3</v>
      </c>
      <c r="P551" s="79">
        <v>0.2</v>
      </c>
      <c r="Q551" s="39" t="s">
        <v>420</v>
      </c>
      <c r="R551" s="34">
        <v>1240</v>
      </c>
      <c r="S551" s="38"/>
      <c r="T551" s="40">
        <v>13.5</v>
      </c>
      <c r="U551" s="41">
        <f t="shared" si="63"/>
        <v>261.5</v>
      </c>
      <c r="V551" s="42">
        <f t="shared" si="64"/>
        <v>1.3619791666666667</v>
      </c>
      <c r="W551" s="43">
        <f t="shared" si="65"/>
        <v>0.20328047263681592</v>
      </c>
      <c r="X551" s="38"/>
      <c r="Y551" s="38"/>
      <c r="Z551" s="44"/>
      <c r="AA551" s="45">
        <v>46141</v>
      </c>
      <c r="AB551" s="45">
        <v>46165</v>
      </c>
      <c r="AC551" s="45"/>
      <c r="AD551" s="46" t="e">
        <f>IF(ISNA(VLOOKUP(D551,#REF!,5,0)),0,VLOOKUP(D551,#REF!,5,0))</f>
        <v>#REF!</v>
      </c>
      <c r="AE551" s="46" t="e">
        <f t="shared" si="67"/>
        <v>#REF!</v>
      </c>
      <c r="AF551" s="45">
        <v>46170</v>
      </c>
      <c r="AG551" s="33">
        <f t="shared" si="66"/>
        <v>29</v>
      </c>
      <c r="AH551" s="45"/>
      <c r="AI551" s="39"/>
      <c r="AJ551" s="39"/>
      <c r="AK551" s="39"/>
      <c r="AL551" s="35"/>
      <c r="AM551" s="34"/>
      <c r="AN551" s="34"/>
      <c r="AO551" s="39"/>
      <c r="AP551" s="47"/>
      <c r="AQ551" s="47"/>
      <c r="AR551" s="47"/>
      <c r="AS551" s="47"/>
    </row>
    <row r="552" spans="1:45" ht="12" customHeight="1" x14ac:dyDescent="0.25">
      <c r="A552" s="33">
        <v>551</v>
      </c>
      <c r="B552" s="34"/>
      <c r="C552" s="34" t="s">
        <v>168</v>
      </c>
      <c r="D552" s="35" t="s">
        <v>682</v>
      </c>
      <c r="E552" s="34" t="s">
        <v>61</v>
      </c>
      <c r="F552" s="34" t="s">
        <v>0</v>
      </c>
      <c r="G552" s="16" t="s">
        <v>277</v>
      </c>
      <c r="H552" s="34">
        <v>320</v>
      </c>
      <c r="I552" s="34" t="s">
        <v>218</v>
      </c>
      <c r="J552" s="34" t="s">
        <v>3</v>
      </c>
      <c r="K552" s="35" t="s">
        <v>22</v>
      </c>
      <c r="L552" s="36" t="e">
        <f>VLOOKUP(G552,#REF!,4,0)</f>
        <v>#REF!</v>
      </c>
      <c r="M552" s="37" t="e">
        <f>_xlfn.IFNA(VLOOKUP(G552,#REF!,2,0),"")</f>
        <v>#REF!</v>
      </c>
      <c r="N552" s="38" t="e">
        <f>_xlfn.IFNA(VLOOKUP(G552,#REF!,3,0),"")</f>
        <v>#REF!</v>
      </c>
      <c r="O552" s="39">
        <v>5</v>
      </c>
      <c r="P552" s="79">
        <v>0.33333333333333331</v>
      </c>
      <c r="Q552" s="39" t="s">
        <v>420</v>
      </c>
      <c r="R552" s="34">
        <v>1240</v>
      </c>
      <c r="S552" s="38"/>
      <c r="T552" s="40">
        <v>22.5</v>
      </c>
      <c r="U552" s="41">
        <f t="shared" si="63"/>
        <v>435.83333333333331</v>
      </c>
      <c r="V552" s="42">
        <f t="shared" si="64"/>
        <v>1.3619791666666665</v>
      </c>
      <c r="W552" s="43">
        <f t="shared" si="65"/>
        <v>0.2032804726368159</v>
      </c>
      <c r="X552" s="38"/>
      <c r="Y552" s="38"/>
      <c r="Z552" s="44"/>
      <c r="AA552" s="45">
        <v>46141</v>
      </c>
      <c r="AB552" s="45">
        <v>46165</v>
      </c>
      <c r="AC552" s="45"/>
      <c r="AD552" s="46" t="e">
        <f>IF(ISNA(VLOOKUP(D552,#REF!,5,0)),0,VLOOKUP(D552,#REF!,5,0))</f>
        <v>#REF!</v>
      </c>
      <c r="AE552" s="46" t="e">
        <f t="shared" si="67"/>
        <v>#REF!</v>
      </c>
      <c r="AF552" s="45">
        <v>46170</v>
      </c>
      <c r="AG552" s="33">
        <f t="shared" si="66"/>
        <v>29</v>
      </c>
      <c r="AH552" s="45"/>
      <c r="AI552" s="39"/>
      <c r="AJ552" s="39"/>
      <c r="AK552" s="39"/>
      <c r="AL552" s="35"/>
      <c r="AM552" s="34"/>
      <c r="AN552" s="34"/>
      <c r="AO552" s="39"/>
      <c r="AP552" s="47"/>
      <c r="AQ552" s="47"/>
      <c r="AR552" s="47"/>
      <c r="AS552" s="47"/>
    </row>
    <row r="553" spans="1:45" ht="12" customHeight="1" x14ac:dyDescent="0.25">
      <c r="A553" s="33">
        <v>552</v>
      </c>
      <c r="B553" s="34"/>
      <c r="C553" s="34" t="s">
        <v>168</v>
      </c>
      <c r="D553" s="35" t="s">
        <v>682</v>
      </c>
      <c r="E553" s="34" t="s">
        <v>61</v>
      </c>
      <c r="F553" s="34" t="s">
        <v>0</v>
      </c>
      <c r="G553" s="16" t="s">
        <v>253</v>
      </c>
      <c r="H553" s="34">
        <v>192</v>
      </c>
      <c r="I553" s="34" t="s">
        <v>218</v>
      </c>
      <c r="J553" s="34" t="s">
        <v>3</v>
      </c>
      <c r="K553" s="35" t="s">
        <v>22</v>
      </c>
      <c r="L553" s="36" t="e">
        <f>VLOOKUP(G553,#REF!,4,0)</f>
        <v>#REF!</v>
      </c>
      <c r="M553" s="37" t="e">
        <f>_xlfn.IFNA(VLOOKUP(G553,#REF!,2,0),"")</f>
        <v>#REF!</v>
      </c>
      <c r="N553" s="38" t="e">
        <f>_xlfn.IFNA(VLOOKUP(G553,#REF!,3,0),"")</f>
        <v>#REF!</v>
      </c>
      <c r="O553" s="39">
        <v>3</v>
      </c>
      <c r="P553" s="79">
        <v>0.2</v>
      </c>
      <c r="Q553" s="39" t="s">
        <v>420</v>
      </c>
      <c r="R553" s="34">
        <v>1240</v>
      </c>
      <c r="S553" s="38"/>
      <c r="T553" s="40">
        <v>13.5</v>
      </c>
      <c r="U553" s="41">
        <f t="shared" si="63"/>
        <v>261.5</v>
      </c>
      <c r="V553" s="42">
        <f t="shared" si="64"/>
        <v>1.3619791666666667</v>
      </c>
      <c r="W553" s="43">
        <f t="shared" si="65"/>
        <v>0.20328047263681592</v>
      </c>
      <c r="X553" s="38"/>
      <c r="Y553" s="38"/>
      <c r="Z553" s="44"/>
      <c r="AA553" s="45">
        <v>46141</v>
      </c>
      <c r="AB553" s="45">
        <v>46165</v>
      </c>
      <c r="AC553" s="45"/>
      <c r="AD553" s="46" t="e">
        <f>IF(ISNA(VLOOKUP(D553,#REF!,5,0)),0,VLOOKUP(D553,#REF!,5,0))</f>
        <v>#REF!</v>
      </c>
      <c r="AE553" s="46" t="e">
        <f t="shared" si="67"/>
        <v>#REF!</v>
      </c>
      <c r="AF553" s="45">
        <v>46170</v>
      </c>
      <c r="AG553" s="33">
        <f t="shared" si="66"/>
        <v>29</v>
      </c>
      <c r="AH553" s="45"/>
      <c r="AI553" s="39"/>
      <c r="AJ553" s="39"/>
      <c r="AK553" s="39"/>
      <c r="AL553" s="35"/>
      <c r="AM553" s="34"/>
      <c r="AN553" s="34"/>
      <c r="AO553" s="39"/>
      <c r="AP553" s="47"/>
      <c r="AQ553" s="47"/>
      <c r="AR553" s="47"/>
      <c r="AS553" s="47"/>
    </row>
    <row r="554" spans="1:45" ht="12" customHeight="1" x14ac:dyDescent="0.25">
      <c r="A554" s="33">
        <v>553</v>
      </c>
      <c r="B554" s="34"/>
      <c r="C554" s="34" t="s">
        <v>685</v>
      </c>
      <c r="D554" s="35" t="s">
        <v>686</v>
      </c>
      <c r="E554" s="34" t="s">
        <v>58</v>
      </c>
      <c r="F554" s="34" t="s">
        <v>0</v>
      </c>
      <c r="G554" s="16" t="s">
        <v>285</v>
      </c>
      <c r="H554" s="34">
        <v>300</v>
      </c>
      <c r="I554" s="34" t="s">
        <v>66</v>
      </c>
      <c r="J554" s="34" t="s">
        <v>2</v>
      </c>
      <c r="K554" s="35" t="s">
        <v>22</v>
      </c>
      <c r="L554" s="36" t="e">
        <f>VLOOKUP(G554,#REF!,4,0)</f>
        <v>#REF!</v>
      </c>
      <c r="M554" s="37" t="e">
        <f>_xlfn.IFNA(VLOOKUP(G554,#REF!,2,0),"")</f>
        <v>#REF!</v>
      </c>
      <c r="N554" s="38" t="e">
        <f>_xlfn.IFNA(VLOOKUP(G554,#REF!,3,0),"")</f>
        <v>#REF!</v>
      </c>
      <c r="O554" s="39">
        <v>10</v>
      </c>
      <c r="P554" s="79">
        <v>178</v>
      </c>
      <c r="Q554" s="39" t="s">
        <v>10</v>
      </c>
      <c r="R554" s="34">
        <v>9.4</v>
      </c>
      <c r="S554" s="38">
        <v>200</v>
      </c>
      <c r="T554" s="40">
        <v>200</v>
      </c>
      <c r="U554" s="41">
        <f t="shared" ref="U554:U572" si="68">R554*P554+T554</f>
        <v>1873.2</v>
      </c>
      <c r="V554" s="42">
        <f t="shared" ref="V554:V572" si="69">U554/H554</f>
        <v>6.2439999999999998</v>
      </c>
      <c r="W554" s="43">
        <f t="shared" ref="W554:W572" si="70">V554/6.7</f>
        <v>0.93194029850746263</v>
      </c>
      <c r="X554" s="38"/>
      <c r="Y554" s="38"/>
      <c r="Z554" s="44"/>
      <c r="AA554" s="45">
        <v>46151</v>
      </c>
      <c r="AB554" s="45">
        <v>46174</v>
      </c>
      <c r="AC554" s="45"/>
      <c r="AD554" s="46" t="e">
        <f>IF(ISNA(VLOOKUP(D554,#REF!,5,0)),0,VLOOKUP(D554,#REF!,5,0))</f>
        <v>#REF!</v>
      </c>
      <c r="AE554" s="46" t="e">
        <f t="shared" si="67"/>
        <v>#REF!</v>
      </c>
      <c r="AF554" s="45">
        <v>46180</v>
      </c>
      <c r="AG554" s="76">
        <f t="shared" si="66"/>
        <v>29</v>
      </c>
      <c r="AH554" s="45"/>
      <c r="AI554" s="39"/>
      <c r="AJ554" s="39"/>
      <c r="AK554" s="39"/>
      <c r="AL554" s="35"/>
      <c r="AM554" s="34"/>
      <c r="AN554" s="34"/>
      <c r="AO554" s="39"/>
      <c r="AP554" s="47"/>
      <c r="AQ554" s="47"/>
      <c r="AR554" s="47"/>
      <c r="AS554" s="47"/>
    </row>
    <row r="555" spans="1:45" ht="12" customHeight="1" x14ac:dyDescent="0.25">
      <c r="A555" s="33">
        <v>554</v>
      </c>
      <c r="B555" s="34"/>
      <c r="C555" s="34" t="s">
        <v>687</v>
      </c>
      <c r="D555" s="35" t="s">
        <v>688</v>
      </c>
      <c r="E555" s="34" t="s">
        <v>58</v>
      </c>
      <c r="F555" s="34" t="s">
        <v>0</v>
      </c>
      <c r="G555" s="16" t="s">
        <v>284</v>
      </c>
      <c r="H555" s="34">
        <v>300</v>
      </c>
      <c r="I555" s="34" t="s">
        <v>66</v>
      </c>
      <c r="J555" s="34" t="s">
        <v>3</v>
      </c>
      <c r="K555" s="35" t="s">
        <v>22</v>
      </c>
      <c r="L555" s="36" t="e">
        <f>VLOOKUP(G555,#REF!,4,0)</f>
        <v>#REF!</v>
      </c>
      <c r="M555" s="37" t="e">
        <f>_xlfn.IFNA(VLOOKUP(G555,#REF!,2,0),"")</f>
        <v>#REF!</v>
      </c>
      <c r="N555" s="38" t="e">
        <f>_xlfn.IFNA(VLOOKUP(G555,#REF!,3,0),"")</f>
        <v>#REF!</v>
      </c>
      <c r="O555" s="39">
        <v>10</v>
      </c>
      <c r="P555" s="79">
        <v>178</v>
      </c>
      <c r="Q555" s="39" t="s">
        <v>10</v>
      </c>
      <c r="R555" s="34">
        <v>4.0999999999999996</v>
      </c>
      <c r="S555" s="38">
        <v>200</v>
      </c>
      <c r="T555" s="40">
        <v>23.529411764705884</v>
      </c>
      <c r="U555" s="41">
        <f t="shared" si="68"/>
        <v>753.32941176470581</v>
      </c>
      <c r="V555" s="42">
        <f t="shared" si="69"/>
        <v>2.5110980392156859</v>
      </c>
      <c r="W555" s="43">
        <f t="shared" si="70"/>
        <v>0.37479075212174418</v>
      </c>
      <c r="X555" s="38"/>
      <c r="Y555" s="38"/>
      <c r="Z555" s="44"/>
      <c r="AA555" s="45">
        <v>46151</v>
      </c>
      <c r="AB555" s="45">
        <v>46171</v>
      </c>
      <c r="AC555" s="45"/>
      <c r="AD555" s="46" t="e">
        <f>IF(ISNA(VLOOKUP(D555,#REF!,5,0)),0,VLOOKUP(D555,#REF!,5,0))</f>
        <v>#REF!</v>
      </c>
      <c r="AE555" s="46" t="e">
        <f t="shared" si="67"/>
        <v>#REF!</v>
      </c>
      <c r="AF555" s="45"/>
      <c r="AG555" s="76">
        <f t="shared" si="66"/>
        <v>-46151</v>
      </c>
      <c r="AH555" s="45"/>
      <c r="AI555" s="39"/>
      <c r="AJ555" s="39"/>
      <c r="AK555" s="39"/>
      <c r="AL555" s="35"/>
      <c r="AM555" s="34"/>
      <c r="AN555" s="34"/>
      <c r="AO555" s="39"/>
      <c r="AP555" s="47"/>
      <c r="AQ555" s="47"/>
      <c r="AR555" s="47"/>
      <c r="AS555" s="47"/>
    </row>
    <row r="556" spans="1:45" ht="12" customHeight="1" x14ac:dyDescent="0.25">
      <c r="A556" s="33">
        <v>555</v>
      </c>
      <c r="B556" s="34"/>
      <c r="C556" s="34" t="s">
        <v>687</v>
      </c>
      <c r="D556" s="35" t="s">
        <v>689</v>
      </c>
      <c r="E556" s="34" t="s">
        <v>58</v>
      </c>
      <c r="F556" s="34" t="s">
        <v>0</v>
      </c>
      <c r="G556" s="16" t="s">
        <v>64</v>
      </c>
      <c r="H556" s="34">
        <v>1200</v>
      </c>
      <c r="I556" s="34" t="s">
        <v>66</v>
      </c>
      <c r="J556" s="34" t="s">
        <v>3</v>
      </c>
      <c r="K556" s="35" t="s">
        <v>15</v>
      </c>
      <c r="L556" s="36" t="e">
        <f>VLOOKUP(G556,#REF!,4,0)</f>
        <v>#REF!</v>
      </c>
      <c r="M556" s="37" t="e">
        <f>_xlfn.IFNA(VLOOKUP(G556,#REF!,2,0),"")</f>
        <v>#REF!</v>
      </c>
      <c r="N556" s="38" t="e">
        <f>_xlfn.IFNA(VLOOKUP(G556,#REF!,3,0),"")</f>
        <v>#REF!</v>
      </c>
      <c r="O556" s="39">
        <v>30</v>
      </c>
      <c r="P556" s="79">
        <v>417.85714285714289</v>
      </c>
      <c r="Q556" s="39" t="s">
        <v>10</v>
      </c>
      <c r="R556" s="34">
        <v>3.6</v>
      </c>
      <c r="S556" s="48">
        <v>200</v>
      </c>
      <c r="T556" s="40">
        <v>70.588235294117652</v>
      </c>
      <c r="U556" s="41">
        <f t="shared" si="68"/>
        <v>1574.873949579832</v>
      </c>
      <c r="V556" s="42">
        <f t="shared" si="69"/>
        <v>1.3123949579831933</v>
      </c>
      <c r="W556" s="43">
        <f t="shared" si="70"/>
        <v>0.19587984447510348</v>
      </c>
      <c r="X556" s="38"/>
      <c r="Y556" s="38"/>
      <c r="Z556" s="44"/>
      <c r="AA556" s="45">
        <v>46151</v>
      </c>
      <c r="AB556" s="45">
        <v>46171</v>
      </c>
      <c r="AC556" s="45"/>
      <c r="AD556" s="46" t="e">
        <f>IF(ISNA(VLOOKUP(D556,#REF!,5,0)),0,VLOOKUP(D556,#REF!,5,0))</f>
        <v>#REF!</v>
      </c>
      <c r="AE556" s="46" t="e">
        <f t="shared" si="67"/>
        <v>#REF!</v>
      </c>
      <c r="AF556" s="45"/>
      <c r="AG556" s="76">
        <f t="shared" si="66"/>
        <v>-46151</v>
      </c>
      <c r="AH556" s="45"/>
      <c r="AI556" s="39"/>
      <c r="AJ556" s="39"/>
      <c r="AK556" s="39"/>
      <c r="AL556" s="35"/>
      <c r="AM556" s="34"/>
      <c r="AN556" s="34"/>
      <c r="AO556" s="39"/>
      <c r="AP556" s="47"/>
      <c r="AQ556" s="47"/>
      <c r="AR556" s="47"/>
      <c r="AS556" s="47"/>
    </row>
    <row r="557" spans="1:45" ht="12" customHeight="1" x14ac:dyDescent="0.25">
      <c r="A557" s="33">
        <v>556</v>
      </c>
      <c r="B557" s="34"/>
      <c r="C557" s="34" t="s">
        <v>687</v>
      </c>
      <c r="D557" s="35" t="s">
        <v>689</v>
      </c>
      <c r="E557" s="34" t="s">
        <v>58</v>
      </c>
      <c r="F557" s="34" t="s">
        <v>0</v>
      </c>
      <c r="G557" s="16" t="s">
        <v>97</v>
      </c>
      <c r="H557" s="34">
        <v>120</v>
      </c>
      <c r="I557" s="34" t="s">
        <v>66</v>
      </c>
      <c r="J557" s="34" t="s">
        <v>3</v>
      </c>
      <c r="K557" s="35" t="s">
        <v>15</v>
      </c>
      <c r="L557" s="36" t="e">
        <f>VLOOKUP(G557,#REF!,4,0)</f>
        <v>#REF!</v>
      </c>
      <c r="M557" s="37" t="e">
        <f>_xlfn.IFNA(VLOOKUP(G557,#REF!,2,0),"")</f>
        <v>#REF!</v>
      </c>
      <c r="N557" s="38" t="e">
        <f>_xlfn.IFNA(VLOOKUP(G557,#REF!,3,0),"")</f>
        <v>#REF!</v>
      </c>
      <c r="O557" s="39">
        <v>3</v>
      </c>
      <c r="P557" s="79">
        <v>41.785714285714285</v>
      </c>
      <c r="Q557" s="39" t="s">
        <v>10</v>
      </c>
      <c r="R557" s="34">
        <v>3.6</v>
      </c>
      <c r="S557" s="38"/>
      <c r="T557" s="40">
        <v>7.0588235294117645</v>
      </c>
      <c r="U557" s="41">
        <f t="shared" si="68"/>
        <v>157.48739495798318</v>
      </c>
      <c r="V557" s="42">
        <f t="shared" si="69"/>
        <v>1.3123949579831933</v>
      </c>
      <c r="W557" s="43">
        <f t="shared" si="70"/>
        <v>0.19587984447510348</v>
      </c>
      <c r="X557" s="38"/>
      <c r="Y557" s="38"/>
      <c r="Z557" s="44"/>
      <c r="AA557" s="45">
        <v>46151</v>
      </c>
      <c r="AB557" s="45">
        <v>46171</v>
      </c>
      <c r="AC557" s="45"/>
      <c r="AD557" s="46" t="e">
        <f>IF(ISNA(VLOOKUP(D557,#REF!,5,0)),0,VLOOKUP(D557,#REF!,5,0))</f>
        <v>#REF!</v>
      </c>
      <c r="AE557" s="46" t="e">
        <f t="shared" si="67"/>
        <v>#REF!</v>
      </c>
      <c r="AF557" s="45"/>
      <c r="AG557" s="76">
        <f t="shared" si="66"/>
        <v>-46151</v>
      </c>
      <c r="AH557" s="45"/>
      <c r="AI557" s="39"/>
      <c r="AJ557" s="39"/>
      <c r="AK557" s="39"/>
      <c r="AL557" s="35"/>
      <c r="AM557" s="34"/>
      <c r="AN557" s="34"/>
      <c r="AO557" s="39"/>
      <c r="AP557" s="47"/>
      <c r="AQ557" s="47"/>
      <c r="AR557" s="47"/>
      <c r="AS557" s="47"/>
    </row>
    <row r="558" spans="1:45" ht="12" customHeight="1" x14ac:dyDescent="0.25">
      <c r="A558" s="33">
        <v>557</v>
      </c>
      <c r="B558" s="34"/>
      <c r="C558" s="34" t="s">
        <v>687</v>
      </c>
      <c r="D558" s="35" t="s">
        <v>689</v>
      </c>
      <c r="E558" s="34" t="s">
        <v>58</v>
      </c>
      <c r="F558" s="34" t="s">
        <v>0</v>
      </c>
      <c r="G558" s="16" t="s">
        <v>65</v>
      </c>
      <c r="H558" s="34">
        <v>1000</v>
      </c>
      <c r="I558" s="34" t="s">
        <v>66</v>
      </c>
      <c r="J558" s="34" t="s">
        <v>3</v>
      </c>
      <c r="K558" s="35" t="s">
        <v>15</v>
      </c>
      <c r="L558" s="36" t="e">
        <f>VLOOKUP(G558,#REF!,4,0)</f>
        <v>#REF!</v>
      </c>
      <c r="M558" s="37" t="e">
        <f>_xlfn.IFNA(VLOOKUP(G558,#REF!,2,0),"")</f>
        <v>#REF!</v>
      </c>
      <c r="N558" s="38" t="e">
        <f>_xlfn.IFNA(VLOOKUP(G558,#REF!,3,0),"")</f>
        <v>#REF!</v>
      </c>
      <c r="O558" s="39">
        <v>25</v>
      </c>
      <c r="P558" s="79">
        <v>348.21428571428572</v>
      </c>
      <c r="Q558" s="39" t="s">
        <v>10</v>
      </c>
      <c r="R558" s="34">
        <v>3.6</v>
      </c>
      <c r="S558" s="38"/>
      <c r="T558" s="40">
        <v>58.823529411764703</v>
      </c>
      <c r="U558" s="41">
        <f t="shared" si="68"/>
        <v>1312.3949579831933</v>
      </c>
      <c r="V558" s="42">
        <f t="shared" si="69"/>
        <v>1.3123949579831933</v>
      </c>
      <c r="W558" s="43">
        <f t="shared" si="70"/>
        <v>0.19587984447510348</v>
      </c>
      <c r="X558" s="38"/>
      <c r="Y558" s="38"/>
      <c r="Z558" s="44"/>
      <c r="AA558" s="45">
        <v>46151</v>
      </c>
      <c r="AB558" s="45">
        <v>46171</v>
      </c>
      <c r="AC558" s="45"/>
      <c r="AD558" s="46" t="e">
        <f>IF(ISNA(VLOOKUP(D558,#REF!,5,0)),0,VLOOKUP(D558,#REF!,5,0))</f>
        <v>#REF!</v>
      </c>
      <c r="AE558" s="46" t="e">
        <f t="shared" si="67"/>
        <v>#REF!</v>
      </c>
      <c r="AF558" s="45"/>
      <c r="AG558" s="76">
        <f t="shared" si="66"/>
        <v>-46151</v>
      </c>
      <c r="AH558" s="45"/>
      <c r="AI558" s="39"/>
      <c r="AJ558" s="39"/>
      <c r="AK558" s="39"/>
      <c r="AL558" s="35"/>
      <c r="AM558" s="34"/>
      <c r="AN558" s="34"/>
      <c r="AO558" s="39"/>
      <c r="AP558" s="47"/>
      <c r="AQ558" s="47"/>
      <c r="AR558" s="47"/>
      <c r="AS558" s="47"/>
    </row>
    <row r="559" spans="1:45" ht="12" customHeight="1" x14ac:dyDescent="0.25">
      <c r="A559" s="33">
        <v>558</v>
      </c>
      <c r="B559" s="34"/>
      <c r="C559" s="34" t="s">
        <v>687</v>
      </c>
      <c r="D559" s="35" t="s">
        <v>689</v>
      </c>
      <c r="E559" s="34" t="s">
        <v>58</v>
      </c>
      <c r="F559" s="34" t="s">
        <v>0</v>
      </c>
      <c r="G559" s="16" t="s">
        <v>135</v>
      </c>
      <c r="H559" s="34">
        <v>80</v>
      </c>
      <c r="I559" s="34" t="s">
        <v>66</v>
      </c>
      <c r="J559" s="34" t="s">
        <v>3</v>
      </c>
      <c r="K559" s="35" t="s">
        <v>15</v>
      </c>
      <c r="L559" s="36" t="e">
        <f>VLOOKUP(G559,#REF!,4,0)</f>
        <v>#REF!</v>
      </c>
      <c r="M559" s="37" t="e">
        <f>_xlfn.IFNA(VLOOKUP(G559,#REF!,2,0),"")</f>
        <v>#REF!</v>
      </c>
      <c r="N559" s="38" t="e">
        <f>_xlfn.IFNA(VLOOKUP(G559,#REF!,3,0),"")</f>
        <v>#REF!</v>
      </c>
      <c r="O559" s="39">
        <v>2</v>
      </c>
      <c r="P559" s="79">
        <v>27.857142857142858</v>
      </c>
      <c r="Q559" s="39" t="s">
        <v>10</v>
      </c>
      <c r="R559" s="34">
        <v>3.6</v>
      </c>
      <c r="S559" s="38"/>
      <c r="T559" s="40">
        <v>4.7058823529411766</v>
      </c>
      <c r="U559" s="41">
        <f t="shared" si="68"/>
        <v>104.99159663865547</v>
      </c>
      <c r="V559" s="42">
        <f t="shared" si="69"/>
        <v>1.3123949579831933</v>
      </c>
      <c r="W559" s="43">
        <f t="shared" si="70"/>
        <v>0.19587984447510348</v>
      </c>
      <c r="X559" s="38"/>
      <c r="Y559" s="38"/>
      <c r="Z559" s="44"/>
      <c r="AA559" s="45">
        <v>46151</v>
      </c>
      <c r="AB559" s="45">
        <v>46171</v>
      </c>
      <c r="AC559" s="45"/>
      <c r="AD559" s="46" t="e">
        <f>IF(ISNA(VLOOKUP(D559,#REF!,5,0)),0,VLOOKUP(D559,#REF!,5,0))</f>
        <v>#REF!</v>
      </c>
      <c r="AE559" s="46" t="e">
        <f t="shared" si="67"/>
        <v>#REF!</v>
      </c>
      <c r="AF559" s="45"/>
      <c r="AG559" s="76">
        <f t="shared" si="66"/>
        <v>-46151</v>
      </c>
      <c r="AH559" s="45"/>
      <c r="AI559" s="39"/>
      <c r="AJ559" s="39"/>
      <c r="AK559" s="39"/>
      <c r="AL559" s="35"/>
      <c r="AM559" s="34"/>
      <c r="AN559" s="34"/>
      <c r="AO559" s="39"/>
      <c r="AP559" s="47"/>
      <c r="AQ559" s="47"/>
      <c r="AR559" s="47"/>
      <c r="AS559" s="47"/>
    </row>
    <row r="560" spans="1:45" ht="12" customHeight="1" x14ac:dyDescent="0.25">
      <c r="A560" s="33">
        <v>559</v>
      </c>
      <c r="B560" s="34"/>
      <c r="C560" s="34" t="s">
        <v>687</v>
      </c>
      <c r="D560" s="35" t="s">
        <v>689</v>
      </c>
      <c r="E560" s="34" t="s">
        <v>58</v>
      </c>
      <c r="F560" s="34" t="s">
        <v>0</v>
      </c>
      <c r="G560" s="16" t="s">
        <v>251</v>
      </c>
      <c r="H560" s="34">
        <v>300</v>
      </c>
      <c r="I560" s="34" t="s">
        <v>66</v>
      </c>
      <c r="J560" s="34" t="s">
        <v>3</v>
      </c>
      <c r="K560" s="35" t="s">
        <v>15</v>
      </c>
      <c r="L560" s="36" t="e">
        <f>VLOOKUP(G560,#REF!,4,0)</f>
        <v>#REF!</v>
      </c>
      <c r="M560" s="37" t="e">
        <f>_xlfn.IFNA(VLOOKUP(G560,#REF!,2,0),"")</f>
        <v>#REF!</v>
      </c>
      <c r="N560" s="38" t="e">
        <f>_xlfn.IFNA(VLOOKUP(G560,#REF!,3,0),"")</f>
        <v>#REF!</v>
      </c>
      <c r="O560" s="39">
        <v>10</v>
      </c>
      <c r="P560" s="79">
        <v>139.28571428571428</v>
      </c>
      <c r="Q560" s="39" t="s">
        <v>10</v>
      </c>
      <c r="R560" s="34">
        <v>3.6</v>
      </c>
      <c r="S560" s="38"/>
      <c r="T560" s="40">
        <v>23.529411764705884</v>
      </c>
      <c r="U560" s="41">
        <f t="shared" si="68"/>
        <v>524.9579831932773</v>
      </c>
      <c r="V560" s="42">
        <f t="shared" si="69"/>
        <v>1.749859943977591</v>
      </c>
      <c r="W560" s="43">
        <f t="shared" si="70"/>
        <v>0.26117312596680464</v>
      </c>
      <c r="X560" s="38"/>
      <c r="Y560" s="38"/>
      <c r="Z560" s="44"/>
      <c r="AA560" s="45">
        <v>46151</v>
      </c>
      <c r="AB560" s="45">
        <v>46171</v>
      </c>
      <c r="AC560" s="45"/>
      <c r="AD560" s="46" t="e">
        <f>IF(ISNA(VLOOKUP(D560,#REF!,5,0)),0,VLOOKUP(D560,#REF!,5,0))</f>
        <v>#REF!</v>
      </c>
      <c r="AE560" s="46" t="e">
        <f t="shared" si="67"/>
        <v>#REF!</v>
      </c>
      <c r="AF560" s="45"/>
      <c r="AG560" s="76">
        <f t="shared" si="66"/>
        <v>-46151</v>
      </c>
      <c r="AH560" s="45"/>
      <c r="AI560" s="39"/>
      <c r="AJ560" s="39"/>
      <c r="AK560" s="39"/>
      <c r="AL560" s="35"/>
      <c r="AM560" s="34"/>
      <c r="AN560" s="34"/>
      <c r="AO560" s="39"/>
      <c r="AP560" s="47"/>
      <c r="AQ560" s="47"/>
      <c r="AR560" s="47"/>
      <c r="AS560" s="47"/>
    </row>
    <row r="561" spans="1:45" ht="12" customHeight="1" x14ac:dyDescent="0.25">
      <c r="A561" s="33">
        <v>560</v>
      </c>
      <c r="B561" s="34"/>
      <c r="C561" s="34" t="s">
        <v>690</v>
      </c>
      <c r="D561" s="35" t="s">
        <v>684</v>
      </c>
      <c r="E561" s="34" t="s">
        <v>61</v>
      </c>
      <c r="F561" s="34" t="s">
        <v>0</v>
      </c>
      <c r="G561" s="16" t="s">
        <v>69</v>
      </c>
      <c r="H561" s="34">
        <v>90</v>
      </c>
      <c r="I561" s="34" t="s">
        <v>66</v>
      </c>
      <c r="J561" s="34" t="s">
        <v>3</v>
      </c>
      <c r="K561" s="35" t="s">
        <v>4</v>
      </c>
      <c r="L561" s="36" t="e">
        <f>VLOOKUP(G561,#REF!,4,0)</f>
        <v>#REF!</v>
      </c>
      <c r="M561" s="37" t="e">
        <f>_xlfn.IFNA(VLOOKUP(G561,#REF!,2,0),"")</f>
        <v>#REF!</v>
      </c>
      <c r="N561" s="38" t="e">
        <f>_xlfn.IFNA(VLOOKUP(G561,#REF!,3,0),"")</f>
        <v>#REF!</v>
      </c>
      <c r="O561" s="39">
        <v>3</v>
      </c>
      <c r="P561" s="79">
        <v>38</v>
      </c>
      <c r="Q561" s="39" t="s">
        <v>10</v>
      </c>
      <c r="R561" s="34">
        <v>4.4000000000000004</v>
      </c>
      <c r="S561" s="38">
        <v>200</v>
      </c>
      <c r="T561" s="40">
        <v>13.043478260869565</v>
      </c>
      <c r="U561" s="41">
        <f t="shared" si="68"/>
        <v>180.24347826086958</v>
      </c>
      <c r="V561" s="42">
        <f t="shared" si="69"/>
        <v>2.002705314009662</v>
      </c>
      <c r="W561" s="43">
        <f t="shared" si="70"/>
        <v>0.29891124089696447</v>
      </c>
      <c r="X561" s="38"/>
      <c r="Y561" s="38"/>
      <c r="Z561" s="44"/>
      <c r="AA561" s="45">
        <v>46151</v>
      </c>
      <c r="AB561" s="45">
        <v>46171</v>
      </c>
      <c r="AC561" s="45"/>
      <c r="AD561" s="46" t="e">
        <f>IF(ISNA(VLOOKUP(D561,#REF!,5,0)),0,VLOOKUP(D561,#REF!,5,0))</f>
        <v>#REF!</v>
      </c>
      <c r="AE561" s="46" t="e">
        <f t="shared" si="67"/>
        <v>#REF!</v>
      </c>
      <c r="AF561" s="45"/>
      <c r="AG561" s="76">
        <f t="shared" si="66"/>
        <v>-46151</v>
      </c>
      <c r="AH561" s="45"/>
      <c r="AI561" s="39"/>
      <c r="AJ561" s="39"/>
      <c r="AK561" s="39"/>
      <c r="AL561" s="35"/>
      <c r="AM561" s="34"/>
      <c r="AN561" s="34"/>
      <c r="AO561" s="39"/>
      <c r="AP561" s="47"/>
      <c r="AQ561" s="47"/>
      <c r="AR561" s="47"/>
      <c r="AS561" s="47"/>
    </row>
    <row r="562" spans="1:45" ht="12" customHeight="1" x14ac:dyDescent="0.25">
      <c r="A562" s="33">
        <v>561</v>
      </c>
      <c r="B562" s="34"/>
      <c r="C562" s="34" t="s">
        <v>690</v>
      </c>
      <c r="D562" s="35" t="s">
        <v>691</v>
      </c>
      <c r="E562" s="34" t="s">
        <v>260</v>
      </c>
      <c r="F562" s="34" t="s">
        <v>0</v>
      </c>
      <c r="G562" s="16" t="s">
        <v>475</v>
      </c>
      <c r="H562" s="34">
        <v>600</v>
      </c>
      <c r="I562" s="34" t="s">
        <v>66</v>
      </c>
      <c r="J562" s="34" t="s">
        <v>3</v>
      </c>
      <c r="K562" s="35" t="s">
        <v>20</v>
      </c>
      <c r="L562" s="36" t="e">
        <f>VLOOKUP(G562,#REF!,4,0)</f>
        <v>#REF!</v>
      </c>
      <c r="M562" s="37" t="e">
        <f>_xlfn.IFNA(VLOOKUP(G562,#REF!,2,0),"")</f>
        <v>#REF!</v>
      </c>
      <c r="N562" s="38" t="e">
        <f>_xlfn.IFNA(VLOOKUP(G562,#REF!,3,0),"")</f>
        <v>#REF!</v>
      </c>
      <c r="O562" s="39">
        <v>20</v>
      </c>
      <c r="P562" s="79">
        <v>275.2</v>
      </c>
      <c r="Q562" s="39" t="s">
        <v>10</v>
      </c>
      <c r="R562" s="34">
        <v>4.5999999999999996</v>
      </c>
      <c r="S562" s="48">
        <v>200</v>
      </c>
      <c r="T562" s="40">
        <v>86.956521739130437</v>
      </c>
      <c r="U562" s="41">
        <f t="shared" si="68"/>
        <v>1352.8765217391303</v>
      </c>
      <c r="V562" s="42">
        <f t="shared" si="69"/>
        <v>2.2547942028985504</v>
      </c>
      <c r="W562" s="43">
        <f t="shared" si="70"/>
        <v>0.33653644819381345</v>
      </c>
      <c r="X562" s="38"/>
      <c r="Y562" s="38"/>
      <c r="Z562" s="44"/>
      <c r="AA562" s="45">
        <v>46151</v>
      </c>
      <c r="AB562" s="45">
        <v>46171</v>
      </c>
      <c r="AC562" s="45"/>
      <c r="AD562" s="46" t="e">
        <f>IF(ISNA(VLOOKUP(D562,#REF!,5,0)),0,VLOOKUP(D562,#REF!,5,0))</f>
        <v>#REF!</v>
      </c>
      <c r="AE562" s="46" t="e">
        <f t="shared" si="67"/>
        <v>#REF!</v>
      </c>
      <c r="AF562" s="45"/>
      <c r="AG562" s="76">
        <f t="shared" si="66"/>
        <v>-46151</v>
      </c>
      <c r="AH562" s="45"/>
      <c r="AI562" s="39"/>
      <c r="AJ562" s="39"/>
      <c r="AK562" s="39"/>
      <c r="AL562" s="35"/>
      <c r="AM562" s="34"/>
      <c r="AN562" s="34"/>
      <c r="AO562" s="39"/>
      <c r="AP562" s="47"/>
      <c r="AQ562" s="47"/>
      <c r="AR562" s="47"/>
      <c r="AS562" s="47"/>
    </row>
    <row r="563" spans="1:45" ht="12" customHeight="1" x14ac:dyDescent="0.25">
      <c r="A563" s="33">
        <v>562</v>
      </c>
      <c r="B563" s="34"/>
      <c r="C563" s="34" t="s">
        <v>690</v>
      </c>
      <c r="D563" s="35" t="s">
        <v>691</v>
      </c>
      <c r="E563" s="34" t="s">
        <v>260</v>
      </c>
      <c r="F563" s="34" t="s">
        <v>0</v>
      </c>
      <c r="G563" s="16" t="s">
        <v>474</v>
      </c>
      <c r="H563" s="34">
        <v>150</v>
      </c>
      <c r="I563" s="34" t="s">
        <v>66</v>
      </c>
      <c r="J563" s="34" t="s">
        <v>3</v>
      </c>
      <c r="K563" s="35" t="s">
        <v>20</v>
      </c>
      <c r="L563" s="36" t="e">
        <f>VLOOKUP(G563,#REF!,4,0)</f>
        <v>#REF!</v>
      </c>
      <c r="M563" s="37" t="e">
        <f>_xlfn.IFNA(VLOOKUP(G563,#REF!,2,0),"")</f>
        <v>#REF!</v>
      </c>
      <c r="N563" s="38" t="e">
        <f>_xlfn.IFNA(VLOOKUP(G563,#REF!,3,0),"")</f>
        <v>#REF!</v>
      </c>
      <c r="O563" s="39">
        <v>5</v>
      </c>
      <c r="P563" s="79">
        <v>68.8</v>
      </c>
      <c r="Q563" s="39" t="s">
        <v>10</v>
      </c>
      <c r="R563" s="34">
        <v>4.5999999999999996</v>
      </c>
      <c r="S563" s="38"/>
      <c r="T563" s="40">
        <v>21.739130434782609</v>
      </c>
      <c r="U563" s="41">
        <f t="shared" si="68"/>
        <v>338.21913043478258</v>
      </c>
      <c r="V563" s="42">
        <f t="shared" si="69"/>
        <v>2.2547942028985504</v>
      </c>
      <c r="W563" s="43">
        <f t="shared" si="70"/>
        <v>0.33653644819381345</v>
      </c>
      <c r="X563" s="38"/>
      <c r="Y563" s="38"/>
      <c r="Z563" s="44"/>
      <c r="AA563" s="45">
        <v>46151</v>
      </c>
      <c r="AB563" s="45">
        <v>46171</v>
      </c>
      <c r="AC563" s="45"/>
      <c r="AD563" s="46" t="e">
        <f>IF(ISNA(VLOOKUP(D563,#REF!,5,0)),0,VLOOKUP(D563,#REF!,5,0))</f>
        <v>#REF!</v>
      </c>
      <c r="AE563" s="46" t="e">
        <f t="shared" si="67"/>
        <v>#REF!</v>
      </c>
      <c r="AF563" s="45"/>
      <c r="AG563" s="76">
        <f t="shared" si="66"/>
        <v>-46151</v>
      </c>
      <c r="AH563" s="45"/>
      <c r="AI563" s="39"/>
      <c r="AJ563" s="39"/>
      <c r="AK563" s="39"/>
      <c r="AL563" s="35"/>
      <c r="AM563" s="34"/>
      <c r="AN563" s="34"/>
      <c r="AO563" s="39"/>
      <c r="AP563" s="47"/>
      <c r="AQ563" s="47"/>
      <c r="AR563" s="47"/>
      <c r="AS563" s="47"/>
    </row>
    <row r="564" spans="1:45" ht="12" customHeight="1" x14ac:dyDescent="0.25">
      <c r="A564" s="33">
        <v>563</v>
      </c>
      <c r="B564" s="34"/>
      <c r="C564" s="34" t="s">
        <v>690</v>
      </c>
      <c r="D564" s="35" t="s">
        <v>692</v>
      </c>
      <c r="E564" s="34" t="s">
        <v>58</v>
      </c>
      <c r="F564" s="34" t="s">
        <v>0</v>
      </c>
      <c r="G564" s="16" t="s">
        <v>258</v>
      </c>
      <c r="H564" s="34">
        <v>120</v>
      </c>
      <c r="I564" s="34" t="s">
        <v>66</v>
      </c>
      <c r="J564" s="34" t="s">
        <v>3</v>
      </c>
      <c r="K564" s="35" t="s">
        <v>4</v>
      </c>
      <c r="L564" s="36" t="e">
        <f>VLOOKUP(G564,#REF!,4,0)</f>
        <v>#REF!</v>
      </c>
      <c r="M564" s="37" t="e">
        <f>_xlfn.IFNA(VLOOKUP(G564,#REF!,2,0),"")</f>
        <v>#REF!</v>
      </c>
      <c r="N564" s="38" t="e">
        <f>_xlfn.IFNA(VLOOKUP(G564,#REF!,3,0),"")</f>
        <v>#REF!</v>
      </c>
      <c r="O564" s="39">
        <v>10</v>
      </c>
      <c r="P564" s="79">
        <v>158.33000000000001</v>
      </c>
      <c r="Q564" s="39" t="s">
        <v>10</v>
      </c>
      <c r="R564" s="34">
        <v>4.5</v>
      </c>
      <c r="S564" s="38"/>
      <c r="T564" s="40">
        <v>43.478260869565219</v>
      </c>
      <c r="U564" s="41">
        <f t="shared" si="68"/>
        <v>755.96326086956526</v>
      </c>
      <c r="V564" s="42">
        <f t="shared" si="69"/>
        <v>6.2996938405797103</v>
      </c>
      <c r="W564" s="43">
        <f t="shared" si="70"/>
        <v>0.94025281202682243</v>
      </c>
      <c r="X564" s="38"/>
      <c r="Y564" s="38"/>
      <c r="Z564" s="44"/>
      <c r="AA564" s="45">
        <v>46151</v>
      </c>
      <c r="AB564" s="45">
        <v>46171</v>
      </c>
      <c r="AC564" s="45"/>
      <c r="AD564" s="46" t="e">
        <f>IF(ISNA(VLOOKUP(D564,#REF!,5,0)),0,VLOOKUP(D564,#REF!,5,0))</f>
        <v>#REF!</v>
      </c>
      <c r="AE564" s="46" t="e">
        <f t="shared" si="67"/>
        <v>#REF!</v>
      </c>
      <c r="AF564" s="45"/>
      <c r="AG564" s="76">
        <f t="shared" si="66"/>
        <v>-46151</v>
      </c>
      <c r="AH564" s="45"/>
      <c r="AI564" s="39"/>
      <c r="AJ564" s="39"/>
      <c r="AK564" s="39"/>
      <c r="AL564" s="35"/>
      <c r="AM564" s="34"/>
      <c r="AN564" s="34"/>
      <c r="AO564" s="39"/>
      <c r="AP564" s="47"/>
      <c r="AQ564" s="47"/>
      <c r="AR564" s="47"/>
      <c r="AS564" s="47"/>
    </row>
    <row r="565" spans="1:45" ht="12" customHeight="1" x14ac:dyDescent="0.25">
      <c r="A565" s="33">
        <v>564</v>
      </c>
      <c r="B565" s="34"/>
      <c r="C565" s="34" t="s">
        <v>173</v>
      </c>
      <c r="D565" s="35" t="s">
        <v>693</v>
      </c>
      <c r="E565" s="34" t="s">
        <v>194</v>
      </c>
      <c r="F565" s="34" t="s">
        <v>195</v>
      </c>
      <c r="G565" s="16" t="s">
        <v>281</v>
      </c>
      <c r="H565" s="34">
        <v>216</v>
      </c>
      <c r="I565" s="34" t="s">
        <v>705</v>
      </c>
      <c r="J565" s="34" t="s">
        <v>234</v>
      </c>
      <c r="K565" s="35" t="s">
        <v>454</v>
      </c>
      <c r="L565" s="36" t="e">
        <f>VLOOKUP(G565,#REF!,4,0)</f>
        <v>#REF!</v>
      </c>
      <c r="M565" s="37" t="e">
        <f>_xlfn.IFNA(VLOOKUP(G565,#REF!,2,0),"")</f>
        <v>#REF!</v>
      </c>
      <c r="N565" s="38" t="e">
        <f>_xlfn.IFNA(VLOOKUP(G565,#REF!,3,0),"")</f>
        <v>#REF!</v>
      </c>
      <c r="O565" s="39">
        <v>18</v>
      </c>
      <c r="P565" s="79">
        <v>267</v>
      </c>
      <c r="Q565" s="39" t="s">
        <v>10</v>
      </c>
      <c r="R565" s="34">
        <v>6.5</v>
      </c>
      <c r="S565" s="38">
        <v>200</v>
      </c>
      <c r="T565" s="40">
        <v>200</v>
      </c>
      <c r="U565" s="41">
        <f t="shared" si="68"/>
        <v>1935.5</v>
      </c>
      <c r="V565" s="42">
        <f t="shared" si="69"/>
        <v>8.9606481481481488</v>
      </c>
      <c r="W565" s="43">
        <f t="shared" si="70"/>
        <v>1.3374101713653954</v>
      </c>
      <c r="X565" s="38"/>
      <c r="Y565" s="38"/>
      <c r="Z565" s="44"/>
      <c r="AA565" s="45">
        <v>46150</v>
      </c>
      <c r="AB565" s="45">
        <v>45818</v>
      </c>
      <c r="AC565" s="45"/>
      <c r="AD565" s="46" t="e">
        <f>IF(ISNA(VLOOKUP(D565,#REF!,5,0)),0,VLOOKUP(D565,#REF!,5,0))</f>
        <v>#REF!</v>
      </c>
      <c r="AE565" s="46" t="e">
        <f t="shared" si="67"/>
        <v>#REF!</v>
      </c>
      <c r="AF565" s="45"/>
      <c r="AG565" s="76">
        <f t="shared" si="66"/>
        <v>-46150</v>
      </c>
      <c r="AH565" s="45"/>
      <c r="AI565" s="39"/>
      <c r="AJ565" s="39"/>
      <c r="AK565" s="39"/>
      <c r="AL565" s="35"/>
      <c r="AM565" s="34"/>
      <c r="AN565" s="34"/>
      <c r="AO565" s="39"/>
      <c r="AP565" s="47"/>
      <c r="AQ565" s="47"/>
      <c r="AR565" s="47"/>
      <c r="AS565" s="47"/>
    </row>
    <row r="566" spans="1:45" ht="12" customHeight="1" x14ac:dyDescent="0.25">
      <c r="A566" s="33">
        <v>565</v>
      </c>
      <c r="B566" s="34"/>
      <c r="C566" s="34" t="s">
        <v>690</v>
      </c>
      <c r="D566" s="35" t="s">
        <v>694</v>
      </c>
      <c r="E566" s="34" t="s">
        <v>58</v>
      </c>
      <c r="F566" s="34" t="s">
        <v>0</v>
      </c>
      <c r="G566" s="16" t="s">
        <v>239</v>
      </c>
      <c r="H566" s="34">
        <v>256</v>
      </c>
      <c r="I566" s="34" t="s">
        <v>66</v>
      </c>
      <c r="J566" s="34" t="s">
        <v>3</v>
      </c>
      <c r="K566" s="35" t="s">
        <v>4</v>
      </c>
      <c r="L566" s="36" t="e">
        <f>VLOOKUP(G566,#REF!,4,0)</f>
        <v>#REF!</v>
      </c>
      <c r="M566" s="37" t="e">
        <f>_xlfn.IFNA(VLOOKUP(G566,#REF!,2,0),"")</f>
        <v>#REF!</v>
      </c>
      <c r="N566" s="38" t="e">
        <f>_xlfn.IFNA(VLOOKUP(G566,#REF!,3,0),"")</f>
        <v>#REF!</v>
      </c>
      <c r="O566" s="39">
        <v>8</v>
      </c>
      <c r="P566" s="79">
        <v>126.67</v>
      </c>
      <c r="Q566" s="39" t="s">
        <v>10</v>
      </c>
      <c r="R566" s="34">
        <v>4.5</v>
      </c>
      <c r="S566" s="38">
        <v>200</v>
      </c>
      <c r="T566" s="40">
        <v>34.782608695652172</v>
      </c>
      <c r="U566" s="41">
        <f t="shared" si="68"/>
        <v>604.79760869565212</v>
      </c>
      <c r="V566" s="42">
        <f t="shared" si="69"/>
        <v>2.3624906589673911</v>
      </c>
      <c r="W566" s="43">
        <f t="shared" si="70"/>
        <v>0.35261054611453596</v>
      </c>
      <c r="X566" s="38"/>
      <c r="Y566" s="38"/>
      <c r="Z566" s="44"/>
      <c r="AA566" s="45">
        <v>46151</v>
      </c>
      <c r="AB566" s="45">
        <v>46171</v>
      </c>
      <c r="AC566" s="45"/>
      <c r="AD566" s="46" t="e">
        <f>IF(ISNA(VLOOKUP(D566,#REF!,5,0)),0,VLOOKUP(D566,#REF!,5,0))</f>
        <v>#REF!</v>
      </c>
      <c r="AE566" s="46" t="e">
        <f t="shared" si="67"/>
        <v>#REF!</v>
      </c>
      <c r="AF566" s="45"/>
      <c r="AG566" s="76">
        <f t="shared" si="66"/>
        <v>-46151</v>
      </c>
      <c r="AH566" s="45"/>
      <c r="AI566" s="39"/>
      <c r="AJ566" s="39"/>
      <c r="AK566" s="39"/>
      <c r="AL566" s="35"/>
      <c r="AM566" s="34"/>
      <c r="AN566" s="34"/>
      <c r="AO566" s="39"/>
      <c r="AP566" s="47"/>
      <c r="AQ566" s="47"/>
      <c r="AR566" s="47"/>
      <c r="AS566" s="47"/>
    </row>
    <row r="567" spans="1:45" ht="12" customHeight="1" x14ac:dyDescent="0.25">
      <c r="A567" s="33">
        <v>566</v>
      </c>
      <c r="B567" s="34"/>
      <c r="C567" s="34" t="s">
        <v>695</v>
      </c>
      <c r="D567" s="35" t="s">
        <v>696</v>
      </c>
      <c r="E567" s="34" t="s">
        <v>470</v>
      </c>
      <c r="F567" s="34" t="s">
        <v>0</v>
      </c>
      <c r="G567" s="16" t="s">
        <v>677</v>
      </c>
      <c r="H567" s="34">
        <v>1152</v>
      </c>
      <c r="I567" s="34" t="s">
        <v>66</v>
      </c>
      <c r="J567" s="34" t="s">
        <v>3</v>
      </c>
      <c r="K567" s="35" t="s">
        <v>5</v>
      </c>
      <c r="L567" s="36" t="e">
        <f>VLOOKUP(G567,#REF!,4,0)</f>
        <v>#REF!</v>
      </c>
      <c r="M567" s="37" t="e">
        <f>_xlfn.IFNA(VLOOKUP(G567,#REF!,2,0),"")</f>
        <v>#REF!</v>
      </c>
      <c r="N567" s="38" t="e">
        <f>_xlfn.IFNA(VLOOKUP(G567,#REF!,3,0),"")</f>
        <v>#REF!</v>
      </c>
      <c r="O567" s="39">
        <v>128</v>
      </c>
      <c r="P567" s="79">
        <v>2202</v>
      </c>
      <c r="Q567" s="39" t="s">
        <v>10</v>
      </c>
      <c r="R567" s="34">
        <v>4.9000000000000004</v>
      </c>
      <c r="S567" s="38">
        <v>200</v>
      </c>
      <c r="T567" s="40">
        <v>200</v>
      </c>
      <c r="U567" s="41">
        <f t="shared" si="68"/>
        <v>10989.800000000001</v>
      </c>
      <c r="V567" s="42">
        <f t="shared" si="69"/>
        <v>9.539756944444445</v>
      </c>
      <c r="W567" s="43">
        <f t="shared" si="70"/>
        <v>1.4238443200663351</v>
      </c>
      <c r="X567" s="38"/>
      <c r="Y567" s="38"/>
      <c r="Z567" s="44"/>
      <c r="AA567" s="45">
        <v>46151</v>
      </c>
      <c r="AB567" s="45">
        <v>46171</v>
      </c>
      <c r="AC567" s="45"/>
      <c r="AD567" s="46" t="e">
        <f>IF(ISNA(VLOOKUP(D567,#REF!,5,0)),0,VLOOKUP(D567,#REF!,5,0))</f>
        <v>#REF!</v>
      </c>
      <c r="AE567" s="46" t="e">
        <f t="shared" si="67"/>
        <v>#REF!</v>
      </c>
      <c r="AF567" s="45"/>
      <c r="AG567" s="76">
        <f t="shared" si="66"/>
        <v>-46151</v>
      </c>
      <c r="AH567" s="45"/>
      <c r="AI567" s="39"/>
      <c r="AJ567" s="39"/>
      <c r="AK567" s="39"/>
      <c r="AL567" s="35"/>
      <c r="AM567" s="34"/>
      <c r="AN567" s="34"/>
      <c r="AO567" s="39"/>
      <c r="AP567" s="47"/>
      <c r="AQ567" s="47"/>
      <c r="AR567" s="47"/>
      <c r="AS567" s="47"/>
    </row>
    <row r="568" spans="1:45" ht="12" customHeight="1" x14ac:dyDescent="0.25">
      <c r="A568" s="33">
        <v>567</v>
      </c>
      <c r="B568" s="34"/>
      <c r="C568" s="34" t="s">
        <v>697</v>
      </c>
      <c r="D568" s="35" t="s">
        <v>698</v>
      </c>
      <c r="E568" s="34" t="s">
        <v>470</v>
      </c>
      <c r="F568" s="34" t="s">
        <v>0</v>
      </c>
      <c r="G568" s="16" t="s">
        <v>679</v>
      </c>
      <c r="H568" s="34">
        <v>513</v>
      </c>
      <c r="I568" s="34" t="s">
        <v>62</v>
      </c>
      <c r="J568" s="34" t="s">
        <v>3</v>
      </c>
      <c r="K568" s="35" t="s">
        <v>5</v>
      </c>
      <c r="L568" s="36" t="e">
        <f>VLOOKUP(G568,#REF!,4,0)</f>
        <v>#REF!</v>
      </c>
      <c r="M568" s="37" t="e">
        <f>_xlfn.IFNA(VLOOKUP(G568,#REF!,2,0),"")</f>
        <v>#REF!</v>
      </c>
      <c r="N568" s="38" t="e">
        <f>_xlfn.IFNA(VLOOKUP(G568,#REF!,3,0),"")</f>
        <v>#REF!</v>
      </c>
      <c r="O568" s="39">
        <v>57</v>
      </c>
      <c r="P568" s="79">
        <v>973.99999999999989</v>
      </c>
      <c r="Q568" s="39" t="s">
        <v>10</v>
      </c>
      <c r="R568" s="34">
        <v>4.4000000000000004</v>
      </c>
      <c r="S568" s="38">
        <v>200</v>
      </c>
      <c r="T568" s="40">
        <v>200</v>
      </c>
      <c r="U568" s="41">
        <f t="shared" si="68"/>
        <v>4485.5999999999995</v>
      </c>
      <c r="V568" s="42">
        <f t="shared" si="69"/>
        <v>8.7438596491228058</v>
      </c>
      <c r="W568" s="43">
        <f t="shared" si="70"/>
        <v>1.3050536789735532</v>
      </c>
      <c r="X568" s="38"/>
      <c r="Y568" s="38"/>
      <c r="Z568" s="44"/>
      <c r="AA568" s="45">
        <v>46151</v>
      </c>
      <c r="AB568" s="45">
        <v>46172</v>
      </c>
      <c r="AC568" s="45"/>
      <c r="AD568" s="46" t="e">
        <f>IF(ISNA(VLOOKUP(D568,#REF!,5,0)),0,VLOOKUP(D568,#REF!,5,0))</f>
        <v>#REF!</v>
      </c>
      <c r="AE568" s="46" t="e">
        <f t="shared" si="67"/>
        <v>#REF!</v>
      </c>
      <c r="AF568" s="45">
        <v>46181</v>
      </c>
      <c r="AG568" s="76">
        <f t="shared" si="66"/>
        <v>30</v>
      </c>
      <c r="AH568" s="45"/>
      <c r="AI568" s="39"/>
      <c r="AJ568" s="39"/>
      <c r="AK568" s="39"/>
      <c r="AL568" s="35"/>
      <c r="AM568" s="34"/>
      <c r="AN568" s="34"/>
      <c r="AO568" s="39"/>
      <c r="AP568" s="47"/>
      <c r="AQ568" s="47"/>
      <c r="AR568" s="47"/>
      <c r="AS568" s="47"/>
    </row>
    <row r="569" spans="1:45" ht="12" customHeight="1" x14ac:dyDescent="0.25">
      <c r="A569" s="33">
        <v>568</v>
      </c>
      <c r="B569" s="34"/>
      <c r="C569" s="34" t="s">
        <v>699</v>
      </c>
      <c r="D569" s="35" t="s">
        <v>700</v>
      </c>
      <c r="E569" s="34" t="s">
        <v>58</v>
      </c>
      <c r="F569" s="34" t="s">
        <v>0</v>
      </c>
      <c r="G569" s="16" t="s">
        <v>53</v>
      </c>
      <c r="H569" s="34">
        <v>36</v>
      </c>
      <c r="I569" s="34" t="s">
        <v>62</v>
      </c>
      <c r="J569" s="34" t="s">
        <v>3</v>
      </c>
      <c r="K569" s="35" t="s">
        <v>9</v>
      </c>
      <c r="L569" s="36" t="e">
        <f>VLOOKUP(G569,#REF!,4,0)</f>
        <v>#REF!</v>
      </c>
      <c r="M569" s="37" t="e">
        <f>_xlfn.IFNA(VLOOKUP(G569,#REF!,2,0),"")</f>
        <v>#REF!</v>
      </c>
      <c r="N569" s="38" t="e">
        <f>_xlfn.IFNA(VLOOKUP(G569,#REF!,3,0),"")</f>
        <v>#REF!</v>
      </c>
      <c r="O569" s="39">
        <v>3</v>
      </c>
      <c r="P569" s="79">
        <v>43.018867924528301</v>
      </c>
      <c r="Q569" s="39" t="s">
        <v>10</v>
      </c>
      <c r="R569" s="34">
        <v>4</v>
      </c>
      <c r="S569" s="38">
        <v>200</v>
      </c>
      <c r="T569" s="40">
        <v>11.320754716981131</v>
      </c>
      <c r="U569" s="41">
        <f t="shared" si="68"/>
        <v>183.39622641509433</v>
      </c>
      <c r="V569" s="42">
        <f t="shared" si="69"/>
        <v>5.0943396226415096</v>
      </c>
      <c r="W569" s="43">
        <f t="shared" si="70"/>
        <v>0.7603491974091805</v>
      </c>
      <c r="X569" s="38"/>
      <c r="Y569" s="38"/>
      <c r="Z569" s="44"/>
      <c r="AA569" s="45">
        <v>46151</v>
      </c>
      <c r="AB569" s="45">
        <v>46181</v>
      </c>
      <c r="AC569" s="45"/>
      <c r="AD569" s="46" t="e">
        <f>IF(ISNA(VLOOKUP(D569,#REF!,5,0)),0,VLOOKUP(D569,#REF!,5,0))</f>
        <v>#REF!</v>
      </c>
      <c r="AE569" s="46" t="e">
        <f t="shared" si="67"/>
        <v>#REF!</v>
      </c>
      <c r="AF569" s="45"/>
      <c r="AG569" s="76">
        <f t="shared" si="66"/>
        <v>-46151</v>
      </c>
      <c r="AH569" s="45"/>
      <c r="AI569" s="39"/>
      <c r="AJ569" s="39"/>
      <c r="AK569" s="39"/>
      <c r="AL569" s="35"/>
      <c r="AM569" s="34"/>
      <c r="AN569" s="34"/>
      <c r="AO569" s="39"/>
      <c r="AP569" s="47"/>
      <c r="AQ569" s="47"/>
      <c r="AR569" s="47"/>
      <c r="AS569" s="47"/>
    </row>
    <row r="570" spans="1:45" ht="12" customHeight="1" x14ac:dyDescent="0.25">
      <c r="A570" s="33">
        <v>569</v>
      </c>
      <c r="B570" s="34"/>
      <c r="C570" s="34" t="s">
        <v>699</v>
      </c>
      <c r="D570" s="35" t="s">
        <v>700</v>
      </c>
      <c r="E570" s="34" t="s">
        <v>58</v>
      </c>
      <c r="F570" s="34" t="s">
        <v>0</v>
      </c>
      <c r="G570" s="16" t="s">
        <v>57</v>
      </c>
      <c r="H570" s="34">
        <v>600</v>
      </c>
      <c r="I570" s="34" t="s">
        <v>62</v>
      </c>
      <c r="J570" s="34" t="s">
        <v>3</v>
      </c>
      <c r="K570" s="35" t="s">
        <v>9</v>
      </c>
      <c r="L570" s="36" t="e">
        <f>VLOOKUP(G570,#REF!,4,0)</f>
        <v>#REF!</v>
      </c>
      <c r="M570" s="37" t="e">
        <f>_xlfn.IFNA(VLOOKUP(G570,#REF!,2,0),"")</f>
        <v>#REF!</v>
      </c>
      <c r="N570" s="38" t="e">
        <f>_xlfn.IFNA(VLOOKUP(G570,#REF!,3,0),"")</f>
        <v>#REF!</v>
      </c>
      <c r="O570" s="39">
        <v>50</v>
      </c>
      <c r="P570" s="79">
        <v>716.98113207547169</v>
      </c>
      <c r="Q570" s="39" t="s">
        <v>10</v>
      </c>
      <c r="R570" s="34">
        <v>4</v>
      </c>
      <c r="S570" s="48">
        <v>200</v>
      </c>
      <c r="T570" s="40">
        <v>188.67924528301887</v>
      </c>
      <c r="U570" s="41">
        <f t="shared" si="68"/>
        <v>3056.6037735849059</v>
      </c>
      <c r="V570" s="42">
        <f t="shared" si="69"/>
        <v>5.0943396226415096</v>
      </c>
      <c r="W570" s="43">
        <f t="shared" si="70"/>
        <v>0.7603491974091805</v>
      </c>
      <c r="X570" s="38"/>
      <c r="Y570" s="38"/>
      <c r="Z570" s="44"/>
      <c r="AA570" s="45">
        <v>46151</v>
      </c>
      <c r="AB570" s="45">
        <v>46181</v>
      </c>
      <c r="AC570" s="45"/>
      <c r="AD570" s="46" t="e">
        <f>IF(ISNA(VLOOKUP(D570,#REF!,5,0)),0,VLOOKUP(D570,#REF!,5,0))</f>
        <v>#REF!</v>
      </c>
      <c r="AE570" s="46" t="e">
        <f t="shared" si="67"/>
        <v>#REF!</v>
      </c>
      <c r="AF570" s="45"/>
      <c r="AG570" s="76">
        <f t="shared" si="66"/>
        <v>-46151</v>
      </c>
      <c r="AH570" s="45"/>
      <c r="AI570" s="39"/>
      <c r="AJ570" s="39"/>
      <c r="AK570" s="39"/>
      <c r="AL570" s="35"/>
      <c r="AM570" s="34"/>
      <c r="AN570" s="34"/>
      <c r="AO570" s="39"/>
      <c r="AP570" s="47"/>
      <c r="AQ570" s="47"/>
      <c r="AR570" s="47"/>
      <c r="AS570" s="47"/>
    </row>
    <row r="571" spans="1:45" ht="12" customHeight="1" x14ac:dyDescent="0.25">
      <c r="A571" s="33">
        <v>570</v>
      </c>
      <c r="B571" s="34"/>
      <c r="C571" s="34" t="s">
        <v>687</v>
      </c>
      <c r="D571" s="35" t="s">
        <v>701</v>
      </c>
      <c r="E571" s="34" t="s">
        <v>61</v>
      </c>
      <c r="F571" s="34" t="s">
        <v>0</v>
      </c>
      <c r="G571" s="16" t="s">
        <v>120</v>
      </c>
      <c r="H571" s="34">
        <v>180</v>
      </c>
      <c r="I571" s="34" t="s">
        <v>66</v>
      </c>
      <c r="J571" s="34" t="s">
        <v>3</v>
      </c>
      <c r="K571" s="35" t="s">
        <v>15</v>
      </c>
      <c r="L571" s="36" t="e">
        <f>VLOOKUP(G571,#REF!,4,0)</f>
        <v>#REF!</v>
      </c>
      <c r="M571" s="37" t="e">
        <f>_xlfn.IFNA(VLOOKUP(G571,#REF!,2,0),"")</f>
        <v>#REF!</v>
      </c>
      <c r="N571" s="38" t="e">
        <f>_xlfn.IFNA(VLOOKUP(G571,#REF!,3,0),"")</f>
        <v>#REF!</v>
      </c>
      <c r="O571" s="39">
        <v>5</v>
      </c>
      <c r="P571" s="79">
        <v>113</v>
      </c>
      <c r="Q571" s="39" t="s">
        <v>10</v>
      </c>
      <c r="R571" s="34">
        <v>4.8</v>
      </c>
      <c r="S571" s="38">
        <v>200</v>
      </c>
      <c r="T571" s="40">
        <v>11.764705882352942</v>
      </c>
      <c r="U571" s="41">
        <f t="shared" si="68"/>
        <v>554.16470588235291</v>
      </c>
      <c r="V571" s="42">
        <f t="shared" si="69"/>
        <v>3.078692810457516</v>
      </c>
      <c r="W571" s="43">
        <f t="shared" si="70"/>
        <v>0.45950638962052476</v>
      </c>
      <c r="X571" s="38"/>
      <c r="Y571" s="38"/>
      <c r="Z571" s="44"/>
      <c r="AA571" s="45">
        <v>46151</v>
      </c>
      <c r="AB571" s="45">
        <v>46171</v>
      </c>
      <c r="AC571" s="45"/>
      <c r="AD571" s="46" t="e">
        <f>IF(ISNA(VLOOKUP(D571,#REF!,5,0)),0,VLOOKUP(D571,#REF!,5,0))</f>
        <v>#REF!</v>
      </c>
      <c r="AE571" s="46" t="e">
        <f t="shared" si="67"/>
        <v>#REF!</v>
      </c>
      <c r="AF571" s="45"/>
      <c r="AG571" s="76">
        <f t="shared" si="66"/>
        <v>-46151</v>
      </c>
      <c r="AH571" s="45"/>
      <c r="AI571" s="39"/>
      <c r="AJ571" s="39"/>
      <c r="AK571" s="39"/>
      <c r="AL571" s="35"/>
      <c r="AM571" s="34"/>
      <c r="AN571" s="34"/>
      <c r="AO571" s="39"/>
      <c r="AP571" s="47"/>
      <c r="AQ571" s="47"/>
      <c r="AR571" s="47"/>
      <c r="AS571" s="47"/>
    </row>
    <row r="572" spans="1:45" ht="12" customHeight="1" x14ac:dyDescent="0.25">
      <c r="A572" s="33">
        <v>571</v>
      </c>
      <c r="B572" s="34"/>
      <c r="C572" s="34" t="s">
        <v>702</v>
      </c>
      <c r="D572" s="35" t="s">
        <v>703</v>
      </c>
      <c r="E572" s="34" t="s">
        <v>51</v>
      </c>
      <c r="F572" s="34" t="s">
        <v>52</v>
      </c>
      <c r="G572" s="16" t="s">
        <v>167</v>
      </c>
      <c r="H572" s="34">
        <v>60</v>
      </c>
      <c r="I572" s="34" t="s">
        <v>66</v>
      </c>
      <c r="J572" s="34" t="s">
        <v>55</v>
      </c>
      <c r="K572" s="35" t="s">
        <v>704</v>
      </c>
      <c r="L572" s="36" t="e">
        <f>VLOOKUP(G572,#REF!,4,0)</f>
        <v>#REF!</v>
      </c>
      <c r="M572" s="37" t="e">
        <f>_xlfn.IFNA(VLOOKUP(G572,#REF!,2,0),"")</f>
        <v>#REF!</v>
      </c>
      <c r="N572" s="38" t="e">
        <f>_xlfn.IFNA(VLOOKUP(G572,#REF!,3,0),"")</f>
        <v>#REF!</v>
      </c>
      <c r="O572" s="39">
        <v>15</v>
      </c>
      <c r="P572" s="79">
        <v>358</v>
      </c>
      <c r="Q572" s="39" t="s">
        <v>10</v>
      </c>
      <c r="R572" s="34">
        <v>6.6</v>
      </c>
      <c r="S572" s="38">
        <v>250</v>
      </c>
      <c r="T572" s="40">
        <v>250</v>
      </c>
      <c r="U572" s="41">
        <f t="shared" si="68"/>
        <v>2612.7999999999997</v>
      </c>
      <c r="V572" s="42">
        <f t="shared" si="69"/>
        <v>43.54666666666666</v>
      </c>
      <c r="W572" s="43">
        <f t="shared" si="70"/>
        <v>6.4995024875621876</v>
      </c>
      <c r="X572" s="38"/>
      <c r="Y572" s="38"/>
      <c r="Z572" s="44"/>
      <c r="AA572" s="45">
        <v>46151</v>
      </c>
      <c r="AB572" s="45">
        <v>46172</v>
      </c>
      <c r="AC572" s="45"/>
      <c r="AD572" s="46" t="e">
        <f>IF(ISNA(VLOOKUP(D572,#REF!,5,0)),0,VLOOKUP(D572,#REF!,5,0))</f>
        <v>#REF!</v>
      </c>
      <c r="AE572" s="46" t="e">
        <f t="shared" si="67"/>
        <v>#REF!</v>
      </c>
      <c r="AF572" s="45"/>
      <c r="AG572" s="76">
        <f t="shared" si="66"/>
        <v>-46151</v>
      </c>
      <c r="AH572" s="45"/>
      <c r="AI572" s="39"/>
      <c r="AJ572" s="39"/>
      <c r="AK572" s="39"/>
      <c r="AL572" s="35"/>
      <c r="AM572" s="34"/>
      <c r="AN572" s="34"/>
      <c r="AO572" s="39"/>
      <c r="AP572" s="47"/>
      <c r="AQ572" s="47"/>
      <c r="AR572" s="47"/>
      <c r="AS572" s="47"/>
    </row>
    <row r="573" spans="1:45" ht="12" customHeight="1" x14ac:dyDescent="0.25">
      <c r="A573" s="33">
        <v>572</v>
      </c>
      <c r="B573" s="34" t="s">
        <v>738</v>
      </c>
      <c r="C573" s="34" t="s">
        <v>187</v>
      </c>
      <c r="D573" s="35" t="s">
        <v>708</v>
      </c>
      <c r="E573" s="34" t="s">
        <v>397</v>
      </c>
      <c r="F573" s="34" t="s">
        <v>76</v>
      </c>
      <c r="G573" s="16" t="s">
        <v>64</v>
      </c>
      <c r="H573" s="34">
        <v>240</v>
      </c>
      <c r="I573" s="34" t="s">
        <v>184</v>
      </c>
      <c r="J573" s="34" t="s">
        <v>250</v>
      </c>
      <c r="K573" s="35" t="s">
        <v>78</v>
      </c>
      <c r="L573" s="36" t="e">
        <f>VLOOKUP(G573,#REF!,4,0)</f>
        <v>#REF!</v>
      </c>
      <c r="M573" s="37" t="e">
        <f>_xlfn.IFNA(VLOOKUP(G573,#REF!,2,0),"")</f>
        <v>#REF!</v>
      </c>
      <c r="N573" s="38" t="e">
        <f>_xlfn.IFNA(VLOOKUP(G573,#REF!,3,0),"")</f>
        <v>#REF!</v>
      </c>
      <c r="O573" s="39">
        <v>6</v>
      </c>
      <c r="P573" s="79">
        <v>0.5</v>
      </c>
      <c r="Q573" s="39" t="s">
        <v>420</v>
      </c>
      <c r="R573" s="34">
        <v>1400</v>
      </c>
      <c r="S573" s="38" t="s">
        <v>737</v>
      </c>
      <c r="T573" s="40">
        <v>250.41499999999999</v>
      </c>
      <c r="U573" s="41">
        <f t="shared" ref="U573:U618" si="71">R573*P573+T573</f>
        <v>950.41499999999996</v>
      </c>
      <c r="V573" s="42">
        <f t="shared" ref="V573:V618" si="72">U573/H573</f>
        <v>3.9600624999999998</v>
      </c>
      <c r="W573" s="43">
        <f t="shared" ref="W573:W618" si="73">V573/6.7</f>
        <v>0.59105410447761186</v>
      </c>
      <c r="X573" s="38"/>
      <c r="Y573" s="38"/>
      <c r="Z573" s="44"/>
      <c r="AA573" s="45">
        <v>46156</v>
      </c>
      <c r="AB573" s="45">
        <v>46201</v>
      </c>
      <c r="AC573" s="45"/>
      <c r="AD573" s="46" t="e">
        <f>IF(ISNA(VLOOKUP(D573,#REF!,5,0)),0,VLOOKUP(D573,#REF!,5,0))</f>
        <v>#REF!</v>
      </c>
      <c r="AE573" s="46" t="e">
        <f t="shared" si="67"/>
        <v>#REF!</v>
      </c>
      <c r="AF573" s="45"/>
      <c r="AG573" s="76">
        <f t="shared" si="66"/>
        <v>-46156</v>
      </c>
      <c r="AH573" s="45"/>
      <c r="AI573" s="39"/>
      <c r="AJ573" s="39"/>
      <c r="AK573" s="39"/>
      <c r="AL573" s="35"/>
      <c r="AM573" s="34"/>
      <c r="AN573" s="34"/>
      <c r="AO573" s="39"/>
      <c r="AP573" s="47"/>
      <c r="AQ573" s="47"/>
      <c r="AR573" s="47"/>
      <c r="AS573" s="47"/>
    </row>
    <row r="574" spans="1:45" ht="12" customHeight="1" x14ac:dyDescent="0.25">
      <c r="A574" s="33">
        <v>573</v>
      </c>
      <c r="B574" s="34"/>
      <c r="C574" s="34" t="s">
        <v>187</v>
      </c>
      <c r="D574" s="35" t="s">
        <v>708</v>
      </c>
      <c r="E574" s="34" t="s">
        <v>397</v>
      </c>
      <c r="F574" s="34" t="s">
        <v>76</v>
      </c>
      <c r="G574" s="16" t="s">
        <v>65</v>
      </c>
      <c r="H574" s="34">
        <v>80</v>
      </c>
      <c r="I574" s="34" t="s">
        <v>184</v>
      </c>
      <c r="J574" s="34" t="s">
        <v>250</v>
      </c>
      <c r="K574" s="35" t="s">
        <v>78</v>
      </c>
      <c r="L574" s="36" t="e">
        <f>VLOOKUP(G574,#REF!,4,0)</f>
        <v>#REF!</v>
      </c>
      <c r="M574" s="37" t="e">
        <f>_xlfn.IFNA(VLOOKUP(G574,#REF!,2,0),"")</f>
        <v>#REF!</v>
      </c>
      <c r="N574" s="38" t="e">
        <f>_xlfn.IFNA(VLOOKUP(G574,#REF!,3,0),"")</f>
        <v>#REF!</v>
      </c>
      <c r="O574" s="39">
        <v>2</v>
      </c>
      <c r="P574" s="79">
        <v>0.16666666666666666</v>
      </c>
      <c r="Q574" s="39" t="s">
        <v>420</v>
      </c>
      <c r="R574" s="34">
        <v>1400</v>
      </c>
      <c r="S574" s="48">
        <v>500.83</v>
      </c>
      <c r="T574" s="40">
        <v>83.471666666666664</v>
      </c>
      <c r="U574" s="41">
        <f t="shared" si="71"/>
        <v>316.80499999999995</v>
      </c>
      <c r="V574" s="42">
        <f t="shared" si="72"/>
        <v>3.9600624999999994</v>
      </c>
      <c r="W574" s="43">
        <f t="shared" si="73"/>
        <v>0.59105410447761186</v>
      </c>
      <c r="X574" s="38"/>
      <c r="Y574" s="38"/>
      <c r="Z574" s="44"/>
      <c r="AA574" s="45">
        <v>46156</v>
      </c>
      <c r="AB574" s="45">
        <v>46201</v>
      </c>
      <c r="AC574" s="45"/>
      <c r="AD574" s="46" t="e">
        <f>IF(ISNA(VLOOKUP(D574,#REF!,5,0)),0,VLOOKUP(D574,#REF!,5,0))</f>
        <v>#REF!</v>
      </c>
      <c r="AE574" s="46" t="e">
        <f t="shared" si="67"/>
        <v>#REF!</v>
      </c>
      <c r="AF574" s="45"/>
      <c r="AG574" s="76">
        <f t="shared" si="66"/>
        <v>-46156</v>
      </c>
      <c r="AH574" s="45"/>
      <c r="AI574" s="39"/>
      <c r="AJ574" s="39"/>
      <c r="AK574" s="39"/>
      <c r="AL574" s="35"/>
      <c r="AM574" s="34"/>
      <c r="AN574" s="34"/>
      <c r="AO574" s="39"/>
      <c r="AP574" s="47"/>
      <c r="AQ574" s="47"/>
      <c r="AR574" s="47"/>
      <c r="AS574" s="47"/>
    </row>
    <row r="575" spans="1:45" ht="12" customHeight="1" x14ac:dyDescent="0.25">
      <c r="A575" s="33">
        <v>574</v>
      </c>
      <c r="B575" s="34"/>
      <c r="C575" s="34" t="s">
        <v>187</v>
      </c>
      <c r="D575" s="35" t="s">
        <v>708</v>
      </c>
      <c r="E575" s="34" t="s">
        <v>397</v>
      </c>
      <c r="F575" s="34" t="s">
        <v>76</v>
      </c>
      <c r="G575" s="16" t="s">
        <v>68</v>
      </c>
      <c r="H575" s="34">
        <v>60</v>
      </c>
      <c r="I575" s="34" t="s">
        <v>184</v>
      </c>
      <c r="J575" s="34" t="s">
        <v>250</v>
      </c>
      <c r="K575" s="35" t="s">
        <v>78</v>
      </c>
      <c r="L575" s="36" t="e">
        <f>VLOOKUP(G575,#REF!,4,0)</f>
        <v>#REF!</v>
      </c>
      <c r="M575" s="37" t="e">
        <f>_xlfn.IFNA(VLOOKUP(G575,#REF!,2,0),"")</f>
        <v>#REF!</v>
      </c>
      <c r="N575" s="38" t="e">
        <f>_xlfn.IFNA(VLOOKUP(G575,#REF!,3,0),"")</f>
        <v>#REF!</v>
      </c>
      <c r="O575" s="39">
        <v>2</v>
      </c>
      <c r="P575" s="79">
        <v>0.16666666666666666</v>
      </c>
      <c r="Q575" s="39" t="s">
        <v>420</v>
      </c>
      <c r="R575" s="34">
        <v>1400</v>
      </c>
      <c r="S575" s="38"/>
      <c r="T575" s="40">
        <v>83.471666666666664</v>
      </c>
      <c r="U575" s="41">
        <f t="shared" si="71"/>
        <v>316.80499999999995</v>
      </c>
      <c r="V575" s="42">
        <f t="shared" si="72"/>
        <v>5.2800833333333328</v>
      </c>
      <c r="W575" s="43">
        <f t="shared" si="73"/>
        <v>0.78807213930348252</v>
      </c>
      <c r="X575" s="38"/>
      <c r="Y575" s="38"/>
      <c r="Z575" s="44"/>
      <c r="AA575" s="45">
        <v>46156</v>
      </c>
      <c r="AB575" s="45">
        <v>46201</v>
      </c>
      <c r="AC575" s="45"/>
      <c r="AD575" s="46" t="e">
        <f>IF(ISNA(VLOOKUP(D575,#REF!,5,0)),0,VLOOKUP(D575,#REF!,5,0))</f>
        <v>#REF!</v>
      </c>
      <c r="AE575" s="46" t="e">
        <f t="shared" si="67"/>
        <v>#REF!</v>
      </c>
      <c r="AF575" s="45"/>
      <c r="AG575" s="76">
        <f t="shared" si="66"/>
        <v>-46156</v>
      </c>
      <c r="AH575" s="45"/>
      <c r="AI575" s="39"/>
      <c r="AJ575" s="39"/>
      <c r="AK575" s="39"/>
      <c r="AL575" s="35"/>
      <c r="AM575" s="34"/>
      <c r="AN575" s="34"/>
      <c r="AO575" s="39"/>
      <c r="AP575" s="47"/>
      <c r="AQ575" s="47"/>
      <c r="AR575" s="47"/>
      <c r="AS575" s="47"/>
    </row>
    <row r="576" spans="1:45" ht="12" customHeight="1" x14ac:dyDescent="0.25">
      <c r="A576" s="33">
        <v>575</v>
      </c>
      <c r="B576" s="34"/>
      <c r="C576" s="34" t="s">
        <v>187</v>
      </c>
      <c r="D576" s="35" t="s">
        <v>708</v>
      </c>
      <c r="E576" s="34" t="s">
        <v>397</v>
      </c>
      <c r="F576" s="34" t="s">
        <v>76</v>
      </c>
      <c r="G576" s="16" t="s">
        <v>252</v>
      </c>
      <c r="H576" s="34">
        <v>60</v>
      </c>
      <c r="I576" s="34" t="s">
        <v>184</v>
      </c>
      <c r="J576" s="34" t="s">
        <v>250</v>
      </c>
      <c r="K576" s="35" t="s">
        <v>78</v>
      </c>
      <c r="L576" s="36" t="e">
        <f>VLOOKUP(G576,#REF!,4,0)</f>
        <v>#REF!</v>
      </c>
      <c r="M576" s="37" t="e">
        <f>_xlfn.IFNA(VLOOKUP(G576,#REF!,2,0),"")</f>
        <v>#REF!</v>
      </c>
      <c r="N576" s="38" t="e">
        <f>_xlfn.IFNA(VLOOKUP(G576,#REF!,3,0),"")</f>
        <v>#REF!</v>
      </c>
      <c r="O576" s="39">
        <v>2</v>
      </c>
      <c r="P576" s="79">
        <v>0.16666666666666666</v>
      </c>
      <c r="Q576" s="39" t="s">
        <v>420</v>
      </c>
      <c r="R576" s="34">
        <v>1400</v>
      </c>
      <c r="S576" s="38"/>
      <c r="T576" s="40">
        <v>83.471666666666664</v>
      </c>
      <c r="U576" s="41">
        <f t="shared" si="71"/>
        <v>316.80499999999995</v>
      </c>
      <c r="V576" s="42">
        <f t="shared" si="72"/>
        <v>5.2800833333333328</v>
      </c>
      <c r="W576" s="43">
        <f t="shared" si="73"/>
        <v>0.78807213930348252</v>
      </c>
      <c r="X576" s="38"/>
      <c r="Y576" s="38"/>
      <c r="Z576" s="44"/>
      <c r="AA576" s="45">
        <v>46156</v>
      </c>
      <c r="AB576" s="45">
        <v>46201</v>
      </c>
      <c r="AC576" s="45"/>
      <c r="AD576" s="46" t="e">
        <f>IF(ISNA(VLOOKUP(D576,#REF!,5,0)),0,VLOOKUP(D576,#REF!,5,0))</f>
        <v>#REF!</v>
      </c>
      <c r="AE576" s="46" t="e">
        <f t="shared" si="67"/>
        <v>#REF!</v>
      </c>
      <c r="AF576" s="45"/>
      <c r="AG576" s="76">
        <f t="shared" si="66"/>
        <v>-46156</v>
      </c>
      <c r="AH576" s="45"/>
      <c r="AI576" s="39"/>
      <c r="AJ576" s="39"/>
      <c r="AK576" s="39"/>
      <c r="AL576" s="35"/>
      <c r="AM576" s="34"/>
      <c r="AN576" s="34"/>
      <c r="AO576" s="39"/>
      <c r="AP576" s="47"/>
      <c r="AQ576" s="47"/>
      <c r="AR576" s="47"/>
      <c r="AS576" s="47"/>
    </row>
    <row r="577" spans="1:45" ht="12" customHeight="1" x14ac:dyDescent="0.25">
      <c r="A577" s="33">
        <v>576</v>
      </c>
      <c r="B577" s="34"/>
      <c r="C577" s="34" t="s">
        <v>188</v>
      </c>
      <c r="D577" s="35" t="s">
        <v>709</v>
      </c>
      <c r="E577" s="34" t="s">
        <v>71</v>
      </c>
      <c r="F577" s="34" t="s">
        <v>72</v>
      </c>
      <c r="G577" s="16" t="s">
        <v>64</v>
      </c>
      <c r="H577" s="34">
        <v>320</v>
      </c>
      <c r="I577" s="34" t="s">
        <v>66</v>
      </c>
      <c r="J577" s="34" t="s">
        <v>255</v>
      </c>
      <c r="K577" s="35" t="s">
        <v>111</v>
      </c>
      <c r="L577" s="36" t="e">
        <f>VLOOKUP(G577,#REF!,4,0)</f>
        <v>#REF!</v>
      </c>
      <c r="M577" s="37" t="e">
        <f>_xlfn.IFNA(VLOOKUP(G577,#REF!,2,0),"")</f>
        <v>#REF!</v>
      </c>
      <c r="N577" s="38" t="e">
        <f>_xlfn.IFNA(VLOOKUP(G577,#REF!,3,0),"")</f>
        <v>#REF!</v>
      </c>
      <c r="O577" s="39">
        <v>8</v>
      </c>
      <c r="P577" s="79">
        <v>0.39636363636363642</v>
      </c>
      <c r="Q577" s="39" t="s">
        <v>420</v>
      </c>
      <c r="R577" s="34">
        <v>780</v>
      </c>
      <c r="S577" s="38">
        <v>450</v>
      </c>
      <c r="T577" s="40">
        <v>163.63636363636363</v>
      </c>
      <c r="U577" s="41">
        <f t="shared" si="71"/>
        <v>472.8</v>
      </c>
      <c r="V577" s="42">
        <f t="shared" si="72"/>
        <v>1.4775</v>
      </c>
      <c r="W577" s="43">
        <f t="shared" si="73"/>
        <v>0.22052238805970148</v>
      </c>
      <c r="X577" s="38"/>
      <c r="Y577" s="38"/>
      <c r="Z577" s="44"/>
      <c r="AA577" s="45">
        <v>46156</v>
      </c>
      <c r="AB577" s="45">
        <v>46196</v>
      </c>
      <c r="AC577" s="45"/>
      <c r="AD577" s="46" t="e">
        <f>IF(ISNA(VLOOKUP(D577,#REF!,5,0)),0,VLOOKUP(D577,#REF!,5,0))</f>
        <v>#REF!</v>
      </c>
      <c r="AE577" s="46" t="e">
        <f t="shared" si="67"/>
        <v>#REF!</v>
      </c>
      <c r="AF577" s="45"/>
      <c r="AG577" s="76">
        <f t="shared" si="66"/>
        <v>-46156</v>
      </c>
      <c r="AH577" s="45"/>
      <c r="AI577" s="39"/>
      <c r="AJ577" s="39"/>
      <c r="AK577" s="39"/>
      <c r="AL577" s="35"/>
      <c r="AM577" s="34"/>
      <c r="AN577" s="34"/>
      <c r="AO577" s="39"/>
      <c r="AP577" s="47"/>
      <c r="AQ577" s="47"/>
      <c r="AR577" s="47"/>
      <c r="AS577" s="47"/>
    </row>
    <row r="578" spans="1:45" ht="12" customHeight="1" x14ac:dyDescent="0.25">
      <c r="A578" s="33">
        <v>577</v>
      </c>
      <c r="B578" s="34"/>
      <c r="C578" s="34" t="s">
        <v>188</v>
      </c>
      <c r="D578" s="35" t="s">
        <v>709</v>
      </c>
      <c r="E578" s="34" t="s">
        <v>71</v>
      </c>
      <c r="F578" s="34" t="s">
        <v>72</v>
      </c>
      <c r="G578" s="16" t="s">
        <v>97</v>
      </c>
      <c r="H578" s="34">
        <v>120</v>
      </c>
      <c r="I578" s="34" t="s">
        <v>66</v>
      </c>
      <c r="J578" s="34" t="s">
        <v>255</v>
      </c>
      <c r="K578" s="35" t="s">
        <v>111</v>
      </c>
      <c r="L578" s="36" t="e">
        <f>VLOOKUP(G578,#REF!,4,0)</f>
        <v>#REF!</v>
      </c>
      <c r="M578" s="37" t="e">
        <f>_xlfn.IFNA(VLOOKUP(G578,#REF!,2,0),"")</f>
        <v>#REF!</v>
      </c>
      <c r="N578" s="38" t="e">
        <f>_xlfn.IFNA(VLOOKUP(G578,#REF!,3,0),"")</f>
        <v>#REF!</v>
      </c>
      <c r="O578" s="39">
        <v>3</v>
      </c>
      <c r="P578" s="79">
        <v>0.14863636363636365</v>
      </c>
      <c r="Q578" s="39" t="s">
        <v>420</v>
      </c>
      <c r="R578" s="34">
        <v>780</v>
      </c>
      <c r="S578" s="48">
        <v>450</v>
      </c>
      <c r="T578" s="40">
        <v>61.363636363636367</v>
      </c>
      <c r="U578" s="41">
        <f t="shared" si="71"/>
        <v>177.3</v>
      </c>
      <c r="V578" s="42">
        <f t="shared" si="72"/>
        <v>1.4775</v>
      </c>
      <c r="W578" s="43">
        <f t="shared" si="73"/>
        <v>0.22052238805970148</v>
      </c>
      <c r="X578" s="38"/>
      <c r="Y578" s="38"/>
      <c r="Z578" s="44"/>
      <c r="AA578" s="45">
        <v>46156</v>
      </c>
      <c r="AB578" s="45">
        <v>46196</v>
      </c>
      <c r="AC578" s="45"/>
      <c r="AD578" s="46" t="e">
        <f>IF(ISNA(VLOOKUP(D578,#REF!,5,0)),0,VLOOKUP(D578,#REF!,5,0))</f>
        <v>#REF!</v>
      </c>
      <c r="AE578" s="46" t="e">
        <f t="shared" si="67"/>
        <v>#REF!</v>
      </c>
      <c r="AF578" s="45"/>
      <c r="AG578" s="76">
        <f t="shared" ref="AG578:AG641" si="74">AF578-AA578</f>
        <v>-46156</v>
      </c>
      <c r="AH578" s="45"/>
      <c r="AI578" s="39"/>
      <c r="AJ578" s="39"/>
      <c r="AK578" s="39"/>
      <c r="AL578" s="35"/>
      <c r="AM578" s="34"/>
      <c r="AN578" s="34"/>
      <c r="AO578" s="39"/>
      <c r="AP578" s="47"/>
      <c r="AQ578" s="47"/>
      <c r="AR578" s="47"/>
      <c r="AS578" s="47"/>
    </row>
    <row r="579" spans="1:45" ht="12" customHeight="1" x14ac:dyDescent="0.25">
      <c r="A579" s="33">
        <v>578</v>
      </c>
      <c r="B579" s="34"/>
      <c r="C579" s="34" t="s">
        <v>188</v>
      </c>
      <c r="D579" s="35" t="s">
        <v>709</v>
      </c>
      <c r="E579" s="34" t="s">
        <v>71</v>
      </c>
      <c r="F579" s="34" t="s">
        <v>72</v>
      </c>
      <c r="G579" s="16" t="s">
        <v>65</v>
      </c>
      <c r="H579" s="34">
        <v>200</v>
      </c>
      <c r="I579" s="34" t="s">
        <v>66</v>
      </c>
      <c r="J579" s="34" t="s">
        <v>255</v>
      </c>
      <c r="K579" s="35" t="s">
        <v>111</v>
      </c>
      <c r="L579" s="36" t="e">
        <f>VLOOKUP(G579,#REF!,4,0)</f>
        <v>#REF!</v>
      </c>
      <c r="M579" s="37" t="e">
        <f>_xlfn.IFNA(VLOOKUP(G579,#REF!,2,0),"")</f>
        <v>#REF!</v>
      </c>
      <c r="N579" s="38" t="e">
        <f>_xlfn.IFNA(VLOOKUP(G579,#REF!,3,0),"")</f>
        <v>#REF!</v>
      </c>
      <c r="O579" s="39">
        <v>5</v>
      </c>
      <c r="P579" s="79">
        <v>0.24772727272727277</v>
      </c>
      <c r="Q579" s="39" t="s">
        <v>420</v>
      </c>
      <c r="R579" s="34">
        <v>780</v>
      </c>
      <c r="S579" s="38"/>
      <c r="T579" s="40">
        <v>102.27272727272727</v>
      </c>
      <c r="U579" s="41">
        <f t="shared" si="71"/>
        <v>295.5</v>
      </c>
      <c r="V579" s="42">
        <f t="shared" si="72"/>
        <v>1.4775</v>
      </c>
      <c r="W579" s="43">
        <f t="shared" si="73"/>
        <v>0.22052238805970148</v>
      </c>
      <c r="X579" s="38"/>
      <c r="Y579" s="38"/>
      <c r="Z579" s="44"/>
      <c r="AA579" s="45">
        <v>46156</v>
      </c>
      <c r="AB579" s="45">
        <v>46196</v>
      </c>
      <c r="AC579" s="45"/>
      <c r="AD579" s="46" t="e">
        <f>IF(ISNA(VLOOKUP(D579,#REF!,5,0)),0,VLOOKUP(D579,#REF!,5,0))</f>
        <v>#REF!</v>
      </c>
      <c r="AE579" s="46" t="e">
        <f t="shared" si="67"/>
        <v>#REF!</v>
      </c>
      <c r="AF579" s="45"/>
      <c r="AG579" s="76">
        <f t="shared" si="74"/>
        <v>-46156</v>
      </c>
      <c r="AH579" s="45"/>
      <c r="AI579" s="39"/>
      <c r="AJ579" s="39"/>
      <c r="AK579" s="39"/>
      <c r="AL579" s="35"/>
      <c r="AM579" s="34"/>
      <c r="AN579" s="34"/>
      <c r="AO579" s="39"/>
      <c r="AP579" s="47"/>
      <c r="AQ579" s="47"/>
      <c r="AR579" s="47"/>
      <c r="AS579" s="47"/>
    </row>
    <row r="580" spans="1:45" ht="12" customHeight="1" x14ac:dyDescent="0.25">
      <c r="A580" s="33">
        <v>579</v>
      </c>
      <c r="B580" s="34"/>
      <c r="C580" s="34" t="s">
        <v>188</v>
      </c>
      <c r="D580" s="35" t="s">
        <v>709</v>
      </c>
      <c r="E580" s="34" t="s">
        <v>71</v>
      </c>
      <c r="F580" s="34" t="s">
        <v>72</v>
      </c>
      <c r="G580" s="16" t="s">
        <v>68</v>
      </c>
      <c r="H580" s="34">
        <v>120</v>
      </c>
      <c r="I580" s="34" t="s">
        <v>66</v>
      </c>
      <c r="J580" s="34" t="s">
        <v>255</v>
      </c>
      <c r="K580" s="35" t="s">
        <v>111</v>
      </c>
      <c r="L580" s="36" t="e">
        <f>VLOOKUP(G580,#REF!,4,0)</f>
        <v>#REF!</v>
      </c>
      <c r="M580" s="37" t="e">
        <f>_xlfn.IFNA(VLOOKUP(G580,#REF!,2,0),"")</f>
        <v>#REF!</v>
      </c>
      <c r="N580" s="38" t="e">
        <f>_xlfn.IFNA(VLOOKUP(G580,#REF!,3,0),"")</f>
        <v>#REF!</v>
      </c>
      <c r="O580" s="39">
        <v>4</v>
      </c>
      <c r="P580" s="79">
        <v>0.19818181818181821</v>
      </c>
      <c r="Q580" s="39" t="s">
        <v>420</v>
      </c>
      <c r="R580" s="34">
        <v>780</v>
      </c>
      <c r="S580" s="38"/>
      <c r="T580" s="40">
        <v>81.818181818181813</v>
      </c>
      <c r="U580" s="41">
        <f t="shared" si="71"/>
        <v>236.4</v>
      </c>
      <c r="V580" s="42">
        <f t="shared" si="72"/>
        <v>1.97</v>
      </c>
      <c r="W580" s="43">
        <f t="shared" si="73"/>
        <v>0.29402985074626864</v>
      </c>
      <c r="X580" s="38"/>
      <c r="Y580" s="38"/>
      <c r="Z580" s="44"/>
      <c r="AA580" s="45">
        <v>46156</v>
      </c>
      <c r="AB580" s="45">
        <v>46196</v>
      </c>
      <c r="AC580" s="45"/>
      <c r="AD580" s="46" t="e">
        <f>IF(ISNA(VLOOKUP(D580,#REF!,5,0)),0,VLOOKUP(D580,#REF!,5,0))</f>
        <v>#REF!</v>
      </c>
      <c r="AE580" s="46" t="e">
        <f t="shared" si="67"/>
        <v>#REF!</v>
      </c>
      <c r="AF580" s="45"/>
      <c r="AG580" s="76">
        <f t="shared" si="74"/>
        <v>-46156</v>
      </c>
      <c r="AH580" s="45"/>
      <c r="AI580" s="39"/>
      <c r="AJ580" s="39"/>
      <c r="AK580" s="39"/>
      <c r="AL580" s="35"/>
      <c r="AM580" s="34"/>
      <c r="AN580" s="34"/>
      <c r="AO580" s="39"/>
      <c r="AP580" s="47"/>
      <c r="AQ580" s="47"/>
      <c r="AR580" s="47"/>
      <c r="AS580" s="47"/>
    </row>
    <row r="581" spans="1:45" ht="12" customHeight="1" x14ac:dyDescent="0.25">
      <c r="A581" s="33">
        <v>580</v>
      </c>
      <c r="B581" s="34"/>
      <c r="C581" s="34" t="s">
        <v>188</v>
      </c>
      <c r="D581" s="35" t="s">
        <v>709</v>
      </c>
      <c r="E581" s="34" t="s">
        <v>71</v>
      </c>
      <c r="F581" s="34" t="s">
        <v>72</v>
      </c>
      <c r="G581" s="16" t="s">
        <v>69</v>
      </c>
      <c r="H581" s="34">
        <v>60</v>
      </c>
      <c r="I581" s="34" t="s">
        <v>66</v>
      </c>
      <c r="J581" s="34" t="s">
        <v>255</v>
      </c>
      <c r="K581" s="35" t="s">
        <v>111</v>
      </c>
      <c r="L581" s="36" t="e">
        <f>VLOOKUP(G581,#REF!,4,0)</f>
        <v>#REF!</v>
      </c>
      <c r="M581" s="37" t="e">
        <f>_xlfn.IFNA(VLOOKUP(G581,#REF!,2,0),"")</f>
        <v>#REF!</v>
      </c>
      <c r="N581" s="38" t="e">
        <f>_xlfn.IFNA(VLOOKUP(G581,#REF!,3,0),"")</f>
        <v>#REF!</v>
      </c>
      <c r="O581" s="39">
        <v>2</v>
      </c>
      <c r="P581" s="79">
        <v>9.9090909090909104E-2</v>
      </c>
      <c r="Q581" s="39" t="s">
        <v>420</v>
      </c>
      <c r="R581" s="34">
        <v>780</v>
      </c>
      <c r="S581" s="38"/>
      <c r="T581" s="40">
        <v>40.909090909090907</v>
      </c>
      <c r="U581" s="41">
        <f t="shared" si="71"/>
        <v>118.2</v>
      </c>
      <c r="V581" s="42">
        <f t="shared" si="72"/>
        <v>1.97</v>
      </c>
      <c r="W581" s="43">
        <f t="shared" si="73"/>
        <v>0.29402985074626864</v>
      </c>
      <c r="X581" s="38"/>
      <c r="Y581" s="38"/>
      <c r="Z581" s="44"/>
      <c r="AA581" s="45">
        <v>46156</v>
      </c>
      <c r="AB581" s="45">
        <v>46196</v>
      </c>
      <c r="AC581" s="45"/>
      <c r="AD581" s="46" t="e">
        <f>IF(ISNA(VLOOKUP(D581,#REF!,5,0)),0,VLOOKUP(D581,#REF!,5,0))</f>
        <v>#REF!</v>
      </c>
      <c r="AE581" s="46" t="e">
        <f t="shared" si="67"/>
        <v>#REF!</v>
      </c>
      <c r="AF581" s="45"/>
      <c r="AG581" s="76">
        <f t="shared" si="74"/>
        <v>-46156</v>
      </c>
      <c r="AH581" s="45"/>
      <c r="AI581" s="39"/>
      <c r="AJ581" s="39"/>
      <c r="AK581" s="39"/>
      <c r="AL581" s="35"/>
      <c r="AM581" s="34"/>
      <c r="AN581" s="34"/>
      <c r="AO581" s="39"/>
      <c r="AP581" s="47"/>
      <c r="AQ581" s="47"/>
      <c r="AR581" s="47"/>
      <c r="AS581" s="47"/>
    </row>
    <row r="582" spans="1:45" ht="12" customHeight="1" x14ac:dyDescent="0.25">
      <c r="A582" s="33">
        <v>581</v>
      </c>
      <c r="B582" s="34"/>
      <c r="C582" s="34" t="s">
        <v>183</v>
      </c>
      <c r="D582" s="35" t="s">
        <v>710</v>
      </c>
      <c r="E582" s="34" t="s">
        <v>58</v>
      </c>
      <c r="F582" s="34" t="s">
        <v>0</v>
      </c>
      <c r="G582" s="16" t="s">
        <v>63</v>
      </c>
      <c r="H582" s="34">
        <v>192</v>
      </c>
      <c r="I582" s="34" t="s">
        <v>66</v>
      </c>
      <c r="J582" s="34" t="s">
        <v>3</v>
      </c>
      <c r="K582" s="35" t="s">
        <v>7</v>
      </c>
      <c r="L582" s="36" t="e">
        <f>VLOOKUP(G582,#REF!,4,0)</f>
        <v>#REF!</v>
      </c>
      <c r="M582" s="37" t="e">
        <f>_xlfn.IFNA(VLOOKUP(G582,#REF!,2,0),"")</f>
        <v>#REF!</v>
      </c>
      <c r="N582" s="38" t="e">
        <f>_xlfn.IFNA(VLOOKUP(G582,#REF!,3,0),"")</f>
        <v>#REF!</v>
      </c>
      <c r="O582" s="39">
        <v>6</v>
      </c>
      <c r="P582" s="79">
        <v>86.711351351351368</v>
      </c>
      <c r="Q582" s="39" t="s">
        <v>10</v>
      </c>
      <c r="R582" s="34">
        <v>4.25</v>
      </c>
      <c r="S582" s="38">
        <v>200</v>
      </c>
      <c r="T582" s="40">
        <v>11.538461538461538</v>
      </c>
      <c r="U582" s="41">
        <f t="shared" si="71"/>
        <v>380.06170478170486</v>
      </c>
      <c r="V582" s="42">
        <f t="shared" si="72"/>
        <v>1.9794880457380462</v>
      </c>
      <c r="W582" s="43">
        <f t="shared" si="73"/>
        <v>0.29544597697582775</v>
      </c>
      <c r="X582" s="38"/>
      <c r="Y582" s="38"/>
      <c r="Z582" s="44"/>
      <c r="AA582" s="45">
        <v>46157</v>
      </c>
      <c r="AB582" s="45">
        <v>46180</v>
      </c>
      <c r="AC582" s="45"/>
      <c r="AD582" s="46" t="e">
        <f>IF(ISNA(VLOOKUP(D582,#REF!,5,0)),0,VLOOKUP(D582,#REF!,5,0))</f>
        <v>#REF!</v>
      </c>
      <c r="AE582" s="46" t="e">
        <f t="shared" si="67"/>
        <v>#REF!</v>
      </c>
      <c r="AF582" s="45"/>
      <c r="AG582" s="76">
        <f t="shared" si="74"/>
        <v>-46157</v>
      </c>
      <c r="AH582" s="45"/>
      <c r="AI582" s="39"/>
      <c r="AJ582" s="39"/>
      <c r="AK582" s="39"/>
      <c r="AL582" s="35"/>
      <c r="AM582" s="34"/>
      <c r="AN582" s="34"/>
      <c r="AO582" s="39"/>
      <c r="AP582" s="47"/>
      <c r="AQ582" s="47"/>
      <c r="AR582" s="47"/>
      <c r="AS582" s="47"/>
    </row>
    <row r="583" spans="1:45" ht="12" customHeight="1" x14ac:dyDescent="0.25">
      <c r="A583" s="33">
        <v>582</v>
      </c>
      <c r="B583" s="34"/>
      <c r="C583" s="34" t="s">
        <v>183</v>
      </c>
      <c r="D583" s="35" t="s">
        <v>710</v>
      </c>
      <c r="E583" s="34" t="s">
        <v>58</v>
      </c>
      <c r="F583" s="34" t="s">
        <v>0</v>
      </c>
      <c r="G583" s="16" t="s">
        <v>64</v>
      </c>
      <c r="H583" s="34">
        <v>1200</v>
      </c>
      <c r="I583" s="34" t="s">
        <v>66</v>
      </c>
      <c r="J583" s="34" t="s">
        <v>3</v>
      </c>
      <c r="K583" s="35" t="s">
        <v>7</v>
      </c>
      <c r="L583" s="36" t="e">
        <f>VLOOKUP(G583,#REF!,4,0)</f>
        <v>#REF!</v>
      </c>
      <c r="M583" s="37" t="e">
        <f>_xlfn.IFNA(VLOOKUP(G583,#REF!,2,0),"")</f>
        <v>#REF!</v>
      </c>
      <c r="N583" s="38" t="e">
        <f>_xlfn.IFNA(VLOOKUP(G583,#REF!,3,0),"")</f>
        <v>#REF!</v>
      </c>
      <c r="O583" s="39">
        <v>30</v>
      </c>
      <c r="P583" s="79">
        <v>433.55675675675678</v>
      </c>
      <c r="Q583" s="39" t="s">
        <v>10</v>
      </c>
      <c r="R583" s="34">
        <v>4.25</v>
      </c>
      <c r="S583" s="48">
        <v>200</v>
      </c>
      <c r="T583" s="40">
        <v>57.692307692307693</v>
      </c>
      <c r="U583" s="41">
        <f t="shared" si="71"/>
        <v>1900.308523908524</v>
      </c>
      <c r="V583" s="42">
        <f t="shared" si="72"/>
        <v>1.5835904365904367</v>
      </c>
      <c r="W583" s="43">
        <f t="shared" si="73"/>
        <v>0.2363567815806622</v>
      </c>
      <c r="X583" s="38"/>
      <c r="Y583" s="38"/>
      <c r="Z583" s="44"/>
      <c r="AA583" s="45">
        <v>46157</v>
      </c>
      <c r="AB583" s="45">
        <v>46180</v>
      </c>
      <c r="AC583" s="45"/>
      <c r="AD583" s="46" t="e">
        <f>IF(ISNA(VLOOKUP(D583,#REF!,5,0)),0,VLOOKUP(D583,#REF!,5,0))</f>
        <v>#REF!</v>
      </c>
      <c r="AE583" s="46" t="e">
        <f t="shared" si="67"/>
        <v>#REF!</v>
      </c>
      <c r="AF583" s="45"/>
      <c r="AG583" s="76">
        <f t="shared" si="74"/>
        <v>-46157</v>
      </c>
      <c r="AH583" s="45"/>
      <c r="AI583" s="39"/>
      <c r="AJ583" s="39"/>
      <c r="AK583" s="39"/>
      <c r="AL583" s="35"/>
      <c r="AM583" s="34"/>
      <c r="AN583" s="34"/>
      <c r="AO583" s="39"/>
      <c r="AP583" s="47"/>
      <c r="AQ583" s="47"/>
      <c r="AR583" s="47"/>
      <c r="AS583" s="47"/>
    </row>
    <row r="584" spans="1:45" ht="12" customHeight="1" x14ac:dyDescent="0.25">
      <c r="A584" s="33">
        <v>583</v>
      </c>
      <c r="B584" s="34"/>
      <c r="C584" s="34" t="s">
        <v>183</v>
      </c>
      <c r="D584" s="35" t="s">
        <v>710</v>
      </c>
      <c r="E584" s="34" t="s">
        <v>58</v>
      </c>
      <c r="F584" s="34" t="s">
        <v>0</v>
      </c>
      <c r="G584" s="16" t="s">
        <v>97</v>
      </c>
      <c r="H584" s="34">
        <v>320</v>
      </c>
      <c r="I584" s="34" t="s">
        <v>66</v>
      </c>
      <c r="J584" s="34" t="s">
        <v>3</v>
      </c>
      <c r="K584" s="35" t="s">
        <v>7</v>
      </c>
      <c r="L584" s="36" t="e">
        <f>VLOOKUP(G584,#REF!,4,0)</f>
        <v>#REF!</v>
      </c>
      <c r="M584" s="37" t="e">
        <f>_xlfn.IFNA(VLOOKUP(G584,#REF!,2,0),"")</f>
        <v>#REF!</v>
      </c>
      <c r="N584" s="38" t="e">
        <f>_xlfn.IFNA(VLOOKUP(G584,#REF!,3,0),"")</f>
        <v>#REF!</v>
      </c>
      <c r="O584" s="39">
        <v>8</v>
      </c>
      <c r="P584" s="79">
        <v>115.61513513513515</v>
      </c>
      <c r="Q584" s="39" t="s">
        <v>10</v>
      </c>
      <c r="R584" s="34">
        <v>4.25</v>
      </c>
      <c r="S584" s="38"/>
      <c r="T584" s="40">
        <v>15.384615384615385</v>
      </c>
      <c r="U584" s="41">
        <f t="shared" si="71"/>
        <v>506.74893970893976</v>
      </c>
      <c r="V584" s="42">
        <f t="shared" si="72"/>
        <v>1.5835904365904367</v>
      </c>
      <c r="W584" s="43">
        <f t="shared" si="73"/>
        <v>0.2363567815806622</v>
      </c>
      <c r="X584" s="38"/>
      <c r="Y584" s="38"/>
      <c r="Z584" s="44"/>
      <c r="AA584" s="45">
        <v>46157</v>
      </c>
      <c r="AB584" s="45">
        <v>46180</v>
      </c>
      <c r="AC584" s="45"/>
      <c r="AD584" s="46" t="e">
        <f>IF(ISNA(VLOOKUP(D584,#REF!,5,0)),0,VLOOKUP(D584,#REF!,5,0))</f>
        <v>#REF!</v>
      </c>
      <c r="AE584" s="46" t="e">
        <f t="shared" si="67"/>
        <v>#REF!</v>
      </c>
      <c r="AF584" s="45"/>
      <c r="AG584" s="76">
        <f t="shared" si="74"/>
        <v>-46157</v>
      </c>
      <c r="AH584" s="45"/>
      <c r="AI584" s="39"/>
      <c r="AJ584" s="39"/>
      <c r="AK584" s="39"/>
      <c r="AL584" s="35"/>
      <c r="AM584" s="34"/>
      <c r="AN584" s="34"/>
      <c r="AO584" s="39"/>
      <c r="AP584" s="47"/>
      <c r="AQ584" s="47"/>
      <c r="AR584" s="47"/>
      <c r="AS584" s="47"/>
    </row>
    <row r="585" spans="1:45" ht="12" customHeight="1" x14ac:dyDescent="0.25">
      <c r="A585" s="33">
        <v>584</v>
      </c>
      <c r="B585" s="34"/>
      <c r="C585" s="34" t="s">
        <v>183</v>
      </c>
      <c r="D585" s="35" t="s">
        <v>710</v>
      </c>
      <c r="E585" s="34" t="s">
        <v>58</v>
      </c>
      <c r="F585" s="34" t="s">
        <v>0</v>
      </c>
      <c r="G585" s="16" t="s">
        <v>149</v>
      </c>
      <c r="H585" s="34">
        <v>200</v>
      </c>
      <c r="I585" s="34" t="s">
        <v>66</v>
      </c>
      <c r="J585" s="34" t="s">
        <v>3</v>
      </c>
      <c r="K585" s="35" t="s">
        <v>7</v>
      </c>
      <c r="L585" s="36" t="e">
        <f>VLOOKUP(G585,#REF!,4,0)</f>
        <v>#REF!</v>
      </c>
      <c r="M585" s="37" t="e">
        <f>_xlfn.IFNA(VLOOKUP(G585,#REF!,2,0),"")</f>
        <v>#REF!</v>
      </c>
      <c r="N585" s="38" t="e">
        <f>_xlfn.IFNA(VLOOKUP(G585,#REF!,3,0),"")</f>
        <v>#REF!</v>
      </c>
      <c r="O585" s="39">
        <v>5</v>
      </c>
      <c r="P585" s="79">
        <v>72.259459459459464</v>
      </c>
      <c r="Q585" s="39" t="s">
        <v>10</v>
      </c>
      <c r="R585" s="34">
        <v>4.25</v>
      </c>
      <c r="S585" s="38"/>
      <c r="T585" s="40">
        <v>9.615384615384615</v>
      </c>
      <c r="U585" s="41">
        <f t="shared" si="71"/>
        <v>316.71808731808738</v>
      </c>
      <c r="V585" s="42">
        <f t="shared" si="72"/>
        <v>1.583590436590437</v>
      </c>
      <c r="W585" s="43">
        <f t="shared" si="73"/>
        <v>0.23635678158066223</v>
      </c>
      <c r="X585" s="38"/>
      <c r="Y585" s="38"/>
      <c r="Z585" s="44"/>
      <c r="AA585" s="45">
        <v>46157</v>
      </c>
      <c r="AB585" s="45">
        <v>46180</v>
      </c>
      <c r="AC585" s="45"/>
      <c r="AD585" s="46" t="e">
        <f>IF(ISNA(VLOOKUP(D585,#REF!,5,0)),0,VLOOKUP(D585,#REF!,5,0))</f>
        <v>#REF!</v>
      </c>
      <c r="AE585" s="46" t="e">
        <f t="shared" si="67"/>
        <v>#REF!</v>
      </c>
      <c r="AF585" s="45"/>
      <c r="AG585" s="76">
        <f t="shared" si="74"/>
        <v>-46157</v>
      </c>
      <c r="AH585" s="45"/>
      <c r="AI585" s="39"/>
      <c r="AJ585" s="39"/>
      <c r="AK585" s="39"/>
      <c r="AL585" s="35"/>
      <c r="AM585" s="34"/>
      <c r="AN585" s="34"/>
      <c r="AO585" s="39"/>
      <c r="AP585" s="47"/>
      <c r="AQ585" s="47"/>
      <c r="AR585" s="47"/>
      <c r="AS585" s="47"/>
    </row>
    <row r="586" spans="1:45" ht="12" customHeight="1" x14ac:dyDescent="0.25">
      <c r="A586" s="33">
        <v>585</v>
      </c>
      <c r="B586" s="34"/>
      <c r="C586" s="34" t="s">
        <v>183</v>
      </c>
      <c r="D586" s="35" t="s">
        <v>710</v>
      </c>
      <c r="E586" s="34" t="s">
        <v>58</v>
      </c>
      <c r="F586" s="34" t="s">
        <v>0</v>
      </c>
      <c r="G586" s="16" t="s">
        <v>65</v>
      </c>
      <c r="H586" s="34">
        <v>400</v>
      </c>
      <c r="I586" s="34" t="s">
        <v>66</v>
      </c>
      <c r="J586" s="34" t="s">
        <v>3</v>
      </c>
      <c r="K586" s="35" t="s">
        <v>7</v>
      </c>
      <c r="L586" s="36" t="e">
        <f>VLOOKUP(G586,#REF!,4,0)</f>
        <v>#REF!</v>
      </c>
      <c r="M586" s="37" t="e">
        <f>_xlfn.IFNA(VLOOKUP(G586,#REF!,2,0),"")</f>
        <v>#REF!</v>
      </c>
      <c r="N586" s="38" t="e">
        <f>_xlfn.IFNA(VLOOKUP(G586,#REF!,3,0),"")</f>
        <v>#REF!</v>
      </c>
      <c r="O586" s="39">
        <v>10</v>
      </c>
      <c r="P586" s="79">
        <v>144.51891891891893</v>
      </c>
      <c r="Q586" s="39" t="s">
        <v>10</v>
      </c>
      <c r="R586" s="34">
        <v>4.25</v>
      </c>
      <c r="S586" s="38"/>
      <c r="T586" s="40">
        <v>19.23076923076923</v>
      </c>
      <c r="U586" s="41">
        <f t="shared" si="71"/>
        <v>633.43617463617477</v>
      </c>
      <c r="V586" s="42">
        <f t="shared" si="72"/>
        <v>1.583590436590437</v>
      </c>
      <c r="W586" s="43">
        <f t="shared" si="73"/>
        <v>0.23635678158066223</v>
      </c>
      <c r="X586" s="38"/>
      <c r="Y586" s="38"/>
      <c r="Z586" s="44"/>
      <c r="AA586" s="45">
        <v>46157</v>
      </c>
      <c r="AB586" s="45">
        <v>46180</v>
      </c>
      <c r="AC586" s="45"/>
      <c r="AD586" s="46" t="e">
        <f>IF(ISNA(VLOOKUP(D586,#REF!,5,0)),0,VLOOKUP(D586,#REF!,5,0))</f>
        <v>#REF!</v>
      </c>
      <c r="AE586" s="46" t="e">
        <f t="shared" si="67"/>
        <v>#REF!</v>
      </c>
      <c r="AF586" s="45"/>
      <c r="AG586" s="76">
        <f t="shared" si="74"/>
        <v>-46157</v>
      </c>
      <c r="AH586" s="45"/>
      <c r="AI586" s="39"/>
      <c r="AJ586" s="39"/>
      <c r="AK586" s="39"/>
      <c r="AL586" s="35"/>
      <c r="AM586" s="34"/>
      <c r="AN586" s="34"/>
      <c r="AO586" s="39"/>
      <c r="AP586" s="47"/>
      <c r="AQ586" s="47"/>
      <c r="AR586" s="47"/>
      <c r="AS586" s="47"/>
    </row>
    <row r="587" spans="1:45" ht="12" customHeight="1" x14ac:dyDescent="0.25">
      <c r="A587" s="33">
        <v>586</v>
      </c>
      <c r="B587" s="34"/>
      <c r="C587" s="34" t="s">
        <v>183</v>
      </c>
      <c r="D587" s="35" t="s">
        <v>710</v>
      </c>
      <c r="E587" s="34" t="s">
        <v>58</v>
      </c>
      <c r="F587" s="34" t="s">
        <v>0</v>
      </c>
      <c r="G587" s="16" t="s">
        <v>251</v>
      </c>
      <c r="H587" s="34">
        <v>300</v>
      </c>
      <c r="I587" s="34" t="s">
        <v>66</v>
      </c>
      <c r="J587" s="34" t="s">
        <v>3</v>
      </c>
      <c r="K587" s="35" t="s">
        <v>7</v>
      </c>
      <c r="L587" s="36" t="e">
        <f>VLOOKUP(G587,#REF!,4,0)</f>
        <v>#REF!</v>
      </c>
      <c r="M587" s="37" t="e">
        <f>_xlfn.IFNA(VLOOKUP(G587,#REF!,2,0),"")</f>
        <v>#REF!</v>
      </c>
      <c r="N587" s="38" t="e">
        <f>_xlfn.IFNA(VLOOKUP(G587,#REF!,3,0),"")</f>
        <v>#REF!</v>
      </c>
      <c r="O587" s="39">
        <v>10</v>
      </c>
      <c r="P587" s="79">
        <v>144.51891891891893</v>
      </c>
      <c r="Q587" s="39" t="s">
        <v>10</v>
      </c>
      <c r="R587" s="34">
        <v>4.25</v>
      </c>
      <c r="S587" s="38"/>
      <c r="T587" s="40">
        <v>19.23076923076923</v>
      </c>
      <c r="U587" s="41">
        <f t="shared" si="71"/>
        <v>633.43617463617477</v>
      </c>
      <c r="V587" s="42">
        <f t="shared" si="72"/>
        <v>2.1114539154539158</v>
      </c>
      <c r="W587" s="43">
        <f t="shared" si="73"/>
        <v>0.31514237544088297</v>
      </c>
      <c r="X587" s="38"/>
      <c r="Y587" s="38"/>
      <c r="Z587" s="44"/>
      <c r="AA587" s="45">
        <v>46157</v>
      </c>
      <c r="AB587" s="45">
        <v>46180</v>
      </c>
      <c r="AC587" s="45"/>
      <c r="AD587" s="46" t="e">
        <f>IF(ISNA(VLOOKUP(D587,#REF!,5,0)),0,VLOOKUP(D587,#REF!,5,0))</f>
        <v>#REF!</v>
      </c>
      <c r="AE587" s="46" t="e">
        <f t="shared" si="67"/>
        <v>#REF!</v>
      </c>
      <c r="AF587" s="45"/>
      <c r="AG587" s="76">
        <f t="shared" si="74"/>
        <v>-46157</v>
      </c>
      <c r="AH587" s="45"/>
      <c r="AI587" s="39"/>
      <c r="AJ587" s="39"/>
      <c r="AK587" s="39"/>
      <c r="AL587" s="35"/>
      <c r="AM587" s="34"/>
      <c r="AN587" s="34"/>
      <c r="AO587" s="39"/>
      <c r="AP587" s="47"/>
      <c r="AQ587" s="47"/>
      <c r="AR587" s="47"/>
      <c r="AS587" s="47"/>
    </row>
    <row r="588" spans="1:45" ht="12" customHeight="1" x14ac:dyDescent="0.25">
      <c r="A588" s="33">
        <v>587</v>
      </c>
      <c r="B588" s="34"/>
      <c r="C588" s="34" t="s">
        <v>183</v>
      </c>
      <c r="D588" s="35" t="s">
        <v>710</v>
      </c>
      <c r="E588" s="34" t="s">
        <v>58</v>
      </c>
      <c r="F588" s="34" t="s">
        <v>0</v>
      </c>
      <c r="G588" s="16" t="s">
        <v>158</v>
      </c>
      <c r="H588" s="34">
        <v>150</v>
      </c>
      <c r="I588" s="34" t="s">
        <v>66</v>
      </c>
      <c r="J588" s="34" t="s">
        <v>3</v>
      </c>
      <c r="K588" s="35" t="s">
        <v>7</v>
      </c>
      <c r="L588" s="36" t="e">
        <f>VLOOKUP(G588,#REF!,4,0)</f>
        <v>#REF!</v>
      </c>
      <c r="M588" s="37" t="e">
        <f>_xlfn.IFNA(VLOOKUP(G588,#REF!,2,0),"")</f>
        <v>#REF!</v>
      </c>
      <c r="N588" s="38" t="e">
        <f>_xlfn.IFNA(VLOOKUP(G588,#REF!,3,0),"")</f>
        <v>#REF!</v>
      </c>
      <c r="O588" s="39">
        <v>5</v>
      </c>
      <c r="P588" s="79">
        <v>72.259459459459464</v>
      </c>
      <c r="Q588" s="39" t="s">
        <v>10</v>
      </c>
      <c r="R588" s="34">
        <v>4.25</v>
      </c>
      <c r="S588" s="38"/>
      <c r="T588" s="40">
        <v>9.615384615384615</v>
      </c>
      <c r="U588" s="41">
        <f t="shared" si="71"/>
        <v>316.71808731808738</v>
      </c>
      <c r="V588" s="42">
        <f t="shared" si="72"/>
        <v>2.1114539154539158</v>
      </c>
      <c r="W588" s="43">
        <f t="shared" si="73"/>
        <v>0.31514237544088297</v>
      </c>
      <c r="X588" s="38"/>
      <c r="Y588" s="38"/>
      <c r="Z588" s="44"/>
      <c r="AA588" s="45">
        <v>46157</v>
      </c>
      <c r="AB588" s="45">
        <v>46180</v>
      </c>
      <c r="AC588" s="45"/>
      <c r="AD588" s="46" t="e">
        <f>IF(ISNA(VLOOKUP(D588,#REF!,5,0)),0,VLOOKUP(D588,#REF!,5,0))</f>
        <v>#REF!</v>
      </c>
      <c r="AE588" s="46" t="e">
        <f t="shared" si="67"/>
        <v>#REF!</v>
      </c>
      <c r="AF588" s="45"/>
      <c r="AG588" s="76">
        <f t="shared" si="74"/>
        <v>-46157</v>
      </c>
      <c r="AH588" s="45"/>
      <c r="AI588" s="39"/>
      <c r="AJ588" s="39"/>
      <c r="AK588" s="39"/>
      <c r="AL588" s="35"/>
      <c r="AM588" s="34"/>
      <c r="AN588" s="34"/>
      <c r="AO588" s="39"/>
      <c r="AP588" s="47"/>
      <c r="AQ588" s="47"/>
      <c r="AR588" s="47"/>
      <c r="AS588" s="47"/>
    </row>
    <row r="589" spans="1:45" ht="12" customHeight="1" x14ac:dyDescent="0.25">
      <c r="A589" s="33">
        <v>588</v>
      </c>
      <c r="B589" s="34"/>
      <c r="C589" s="34" t="s">
        <v>183</v>
      </c>
      <c r="D589" s="35" t="s">
        <v>711</v>
      </c>
      <c r="E589" s="34" t="s">
        <v>58</v>
      </c>
      <c r="F589" s="34" t="s">
        <v>0</v>
      </c>
      <c r="G589" s="16" t="s">
        <v>285</v>
      </c>
      <c r="H589" s="34">
        <v>450</v>
      </c>
      <c r="I589" s="34" t="s">
        <v>66</v>
      </c>
      <c r="J589" s="34" t="s">
        <v>3</v>
      </c>
      <c r="K589" s="35" t="s">
        <v>7</v>
      </c>
      <c r="L589" s="36" t="e">
        <f>VLOOKUP(G589,#REF!,4,0)</f>
        <v>#REF!</v>
      </c>
      <c r="M589" s="37" t="e">
        <f>_xlfn.IFNA(VLOOKUP(G589,#REF!,2,0),"")</f>
        <v>#REF!</v>
      </c>
      <c r="N589" s="38" t="e">
        <f>_xlfn.IFNA(VLOOKUP(G589,#REF!,3,0),"")</f>
        <v>#REF!</v>
      </c>
      <c r="O589" s="39">
        <v>15</v>
      </c>
      <c r="P589" s="79">
        <v>216.78</v>
      </c>
      <c r="Q589" s="39" t="s">
        <v>10</v>
      </c>
      <c r="R589" s="34">
        <v>4.25</v>
      </c>
      <c r="S589" s="38"/>
      <c r="T589" s="40">
        <v>28.846153846153847</v>
      </c>
      <c r="U589" s="41">
        <f t="shared" si="71"/>
        <v>950.16115384615387</v>
      </c>
      <c r="V589" s="42">
        <f t="shared" si="72"/>
        <v>2.1114692307692309</v>
      </c>
      <c r="W589" s="43">
        <f t="shared" si="73"/>
        <v>0.31514466130884045</v>
      </c>
      <c r="X589" s="38"/>
      <c r="Y589" s="38"/>
      <c r="Z589" s="44"/>
      <c r="AA589" s="45">
        <v>46157</v>
      </c>
      <c r="AB589" s="45">
        <v>46180</v>
      </c>
      <c r="AC589" s="45"/>
      <c r="AD589" s="46" t="e">
        <f>IF(ISNA(VLOOKUP(D589,#REF!,5,0)),0,VLOOKUP(D589,#REF!,5,0))</f>
        <v>#REF!</v>
      </c>
      <c r="AE589" s="46" t="e">
        <f t="shared" si="67"/>
        <v>#REF!</v>
      </c>
      <c r="AF589" s="45"/>
      <c r="AG589" s="76">
        <f t="shared" si="74"/>
        <v>-46157</v>
      </c>
      <c r="AH589" s="45"/>
      <c r="AI589" s="39"/>
      <c r="AJ589" s="39"/>
      <c r="AK589" s="39"/>
      <c r="AL589" s="35"/>
      <c r="AM589" s="34"/>
      <c r="AN589" s="34"/>
      <c r="AO589" s="39"/>
      <c r="AP589" s="47"/>
      <c r="AQ589" s="47"/>
      <c r="AR589" s="47"/>
      <c r="AS589" s="47"/>
    </row>
    <row r="590" spans="1:45" ht="12" customHeight="1" x14ac:dyDescent="0.25">
      <c r="A590" s="33">
        <v>589</v>
      </c>
      <c r="B590" s="34"/>
      <c r="C590" s="34" t="s">
        <v>189</v>
      </c>
      <c r="D590" s="35" t="s">
        <v>706</v>
      </c>
      <c r="E590" s="34" t="s">
        <v>61</v>
      </c>
      <c r="F590" s="34" t="s">
        <v>0</v>
      </c>
      <c r="G590" s="16" t="s">
        <v>67</v>
      </c>
      <c r="H590" s="34">
        <v>192</v>
      </c>
      <c r="I590" s="34" t="s">
        <v>66</v>
      </c>
      <c r="J590" s="34" t="s">
        <v>3</v>
      </c>
      <c r="K590" s="35" t="s">
        <v>9</v>
      </c>
      <c r="L590" s="36" t="e">
        <f>VLOOKUP(G590,#REF!,4,0)</f>
        <v>#REF!</v>
      </c>
      <c r="M590" s="37" t="e">
        <f>_xlfn.IFNA(VLOOKUP(G590,#REF!,2,0),"")</f>
        <v>#REF!</v>
      </c>
      <c r="N590" s="38" t="e">
        <f>_xlfn.IFNA(VLOOKUP(G590,#REF!,3,0),"")</f>
        <v>#REF!</v>
      </c>
      <c r="O590" s="39">
        <v>12</v>
      </c>
      <c r="P590" s="79">
        <v>158.64461538461538</v>
      </c>
      <c r="Q590" s="39" t="s">
        <v>10</v>
      </c>
      <c r="R590" s="34">
        <v>4.3499999999999996</v>
      </c>
      <c r="S590" s="38">
        <v>200</v>
      </c>
      <c r="T590" s="40">
        <v>40.677966101694913</v>
      </c>
      <c r="U590" s="41">
        <f t="shared" si="71"/>
        <v>730.78204302477172</v>
      </c>
      <c r="V590" s="42">
        <f t="shared" si="72"/>
        <v>3.8061564740873526</v>
      </c>
      <c r="W590" s="43">
        <f t="shared" si="73"/>
        <v>0.56808305583393326</v>
      </c>
      <c r="X590" s="38"/>
      <c r="Y590" s="38"/>
      <c r="Z590" s="44"/>
      <c r="AA590" s="45">
        <v>46157</v>
      </c>
      <c r="AB590" s="45">
        <v>46188</v>
      </c>
      <c r="AC590" s="45"/>
      <c r="AD590" s="46" t="e">
        <f>IF(ISNA(VLOOKUP(D590,#REF!,5,0)),0,VLOOKUP(D590,#REF!,5,0))</f>
        <v>#REF!</v>
      </c>
      <c r="AE590" s="46" t="e">
        <f t="shared" si="67"/>
        <v>#REF!</v>
      </c>
      <c r="AF590" s="45"/>
      <c r="AG590" s="76">
        <f t="shared" si="74"/>
        <v>-46157</v>
      </c>
      <c r="AH590" s="45"/>
      <c r="AI590" s="39"/>
      <c r="AJ590" s="39"/>
      <c r="AK590" s="39"/>
      <c r="AL590" s="35"/>
      <c r="AM590" s="34"/>
      <c r="AN590" s="34"/>
      <c r="AO590" s="39"/>
      <c r="AP590" s="47"/>
      <c r="AQ590" s="47"/>
      <c r="AR590" s="47"/>
      <c r="AS590" s="47"/>
    </row>
    <row r="591" spans="1:45" ht="12" customHeight="1" x14ac:dyDescent="0.25">
      <c r="A591" s="33">
        <v>590</v>
      </c>
      <c r="B591" s="34"/>
      <c r="C591" s="34" t="s">
        <v>189</v>
      </c>
      <c r="D591" s="35" t="s">
        <v>706</v>
      </c>
      <c r="E591" s="34" t="s">
        <v>61</v>
      </c>
      <c r="F591" s="34" t="s">
        <v>0</v>
      </c>
      <c r="G591" s="16" t="s">
        <v>68</v>
      </c>
      <c r="H591" s="34">
        <v>360</v>
      </c>
      <c r="I591" s="34" t="s">
        <v>66</v>
      </c>
      <c r="J591" s="34" t="s">
        <v>3</v>
      </c>
      <c r="K591" s="35" t="s">
        <v>9</v>
      </c>
      <c r="L591" s="36" t="e">
        <f>VLOOKUP(G591,#REF!,4,0)</f>
        <v>#REF!</v>
      </c>
      <c r="M591" s="37" t="e">
        <f>_xlfn.IFNA(VLOOKUP(G591,#REF!,2,0),"")</f>
        <v>#REF!</v>
      </c>
      <c r="N591" s="38" t="e">
        <f>_xlfn.IFNA(VLOOKUP(G591,#REF!,3,0),"")</f>
        <v>#REF!</v>
      </c>
      <c r="O591" s="39">
        <v>12</v>
      </c>
      <c r="P591" s="79">
        <v>158.64461538461538</v>
      </c>
      <c r="Q591" s="39" t="s">
        <v>10</v>
      </c>
      <c r="R591" s="34">
        <v>4.3499999999999996</v>
      </c>
      <c r="S591" s="48">
        <v>200</v>
      </c>
      <c r="T591" s="40">
        <v>40.677966101694913</v>
      </c>
      <c r="U591" s="41">
        <f t="shared" si="71"/>
        <v>730.78204302477172</v>
      </c>
      <c r="V591" s="42">
        <f t="shared" si="72"/>
        <v>2.0299501195132548</v>
      </c>
      <c r="W591" s="43">
        <f t="shared" si="73"/>
        <v>0.30297762977809772</v>
      </c>
      <c r="X591" s="38"/>
      <c r="Y591" s="38"/>
      <c r="Z591" s="44"/>
      <c r="AA591" s="45">
        <v>46157</v>
      </c>
      <c r="AB591" s="45">
        <v>46188</v>
      </c>
      <c r="AC591" s="45"/>
      <c r="AD591" s="46" t="e">
        <f>IF(ISNA(VLOOKUP(D591,#REF!,5,0)),0,VLOOKUP(D591,#REF!,5,0))</f>
        <v>#REF!</v>
      </c>
      <c r="AE591" s="46" t="e">
        <f t="shared" si="67"/>
        <v>#REF!</v>
      </c>
      <c r="AF591" s="45"/>
      <c r="AG591" s="76">
        <f t="shared" si="74"/>
        <v>-46157</v>
      </c>
      <c r="AH591" s="45"/>
      <c r="AI591" s="39"/>
      <c r="AJ591" s="39"/>
      <c r="AK591" s="39"/>
      <c r="AL591" s="35"/>
      <c r="AM591" s="34"/>
      <c r="AN591" s="34"/>
      <c r="AO591" s="39"/>
      <c r="AP591" s="47"/>
      <c r="AQ591" s="47"/>
      <c r="AR591" s="47"/>
      <c r="AS591" s="47"/>
    </row>
    <row r="592" spans="1:45" ht="12" customHeight="1" x14ac:dyDescent="0.25">
      <c r="A592" s="33">
        <v>591</v>
      </c>
      <c r="B592" s="34"/>
      <c r="C592" s="34" t="s">
        <v>189</v>
      </c>
      <c r="D592" s="35" t="s">
        <v>706</v>
      </c>
      <c r="E592" s="34" t="s">
        <v>61</v>
      </c>
      <c r="F592" s="34" t="s">
        <v>0</v>
      </c>
      <c r="G592" s="16" t="s">
        <v>181</v>
      </c>
      <c r="H592" s="34">
        <v>60</v>
      </c>
      <c r="I592" s="34" t="s">
        <v>66</v>
      </c>
      <c r="J592" s="34" t="s">
        <v>3</v>
      </c>
      <c r="K592" s="35" t="s">
        <v>9</v>
      </c>
      <c r="L592" s="36" t="e">
        <f>VLOOKUP(G592,#REF!,4,0)</f>
        <v>#REF!</v>
      </c>
      <c r="M592" s="37" t="e">
        <f>_xlfn.IFNA(VLOOKUP(G592,#REF!,2,0),"")</f>
        <v>#REF!</v>
      </c>
      <c r="N592" s="38" t="e">
        <f>_xlfn.IFNA(VLOOKUP(G592,#REF!,3,0),"")</f>
        <v>#REF!</v>
      </c>
      <c r="O592" s="39">
        <v>2</v>
      </c>
      <c r="P592" s="79">
        <v>26.440769230769231</v>
      </c>
      <c r="Q592" s="39" t="s">
        <v>10</v>
      </c>
      <c r="R592" s="34">
        <v>4.3499999999999996</v>
      </c>
      <c r="S592" s="38"/>
      <c r="T592" s="40">
        <v>6.7796610169491522</v>
      </c>
      <c r="U592" s="41">
        <f t="shared" si="71"/>
        <v>121.7970071707953</v>
      </c>
      <c r="V592" s="42">
        <f t="shared" si="72"/>
        <v>2.0299501195132548</v>
      </c>
      <c r="W592" s="43">
        <f t="shared" si="73"/>
        <v>0.30297762977809772</v>
      </c>
      <c r="X592" s="38"/>
      <c r="Y592" s="38"/>
      <c r="Z592" s="44"/>
      <c r="AA592" s="45">
        <v>46157</v>
      </c>
      <c r="AB592" s="45">
        <v>46188</v>
      </c>
      <c r="AC592" s="45"/>
      <c r="AD592" s="46" t="e">
        <f>IF(ISNA(VLOOKUP(D592,#REF!,5,0)),0,VLOOKUP(D592,#REF!,5,0))</f>
        <v>#REF!</v>
      </c>
      <c r="AE592" s="46" t="e">
        <f t="shared" si="67"/>
        <v>#REF!</v>
      </c>
      <c r="AF592" s="45"/>
      <c r="AG592" s="76">
        <f t="shared" si="74"/>
        <v>-46157</v>
      </c>
      <c r="AH592" s="45"/>
      <c r="AI592" s="39"/>
      <c r="AJ592" s="39"/>
      <c r="AK592" s="39"/>
      <c r="AL592" s="35"/>
      <c r="AM592" s="34"/>
      <c r="AN592" s="34"/>
      <c r="AO592" s="39"/>
      <c r="AP592" s="47"/>
      <c r="AQ592" s="47"/>
      <c r="AR592" s="47"/>
      <c r="AS592" s="47"/>
    </row>
    <row r="593" spans="1:45" ht="12" customHeight="1" x14ac:dyDescent="0.25">
      <c r="A593" s="33">
        <v>592</v>
      </c>
      <c r="B593" s="34"/>
      <c r="C593" s="34" t="s">
        <v>189</v>
      </c>
      <c r="D593" s="35" t="s">
        <v>712</v>
      </c>
      <c r="E593" s="34" t="s">
        <v>58</v>
      </c>
      <c r="F593" s="34" t="s">
        <v>0</v>
      </c>
      <c r="G593" s="16" t="s">
        <v>163</v>
      </c>
      <c r="H593" s="34">
        <v>90</v>
      </c>
      <c r="I593" s="34" t="s">
        <v>66</v>
      </c>
      <c r="J593" s="34" t="s">
        <v>3</v>
      </c>
      <c r="K593" s="35" t="s">
        <v>9</v>
      </c>
      <c r="L593" s="36" t="e">
        <f>VLOOKUP(G593,#REF!,4,0)</f>
        <v>#REF!</v>
      </c>
      <c r="M593" s="37" t="e">
        <f>_xlfn.IFNA(VLOOKUP(G593,#REF!,2,0),"")</f>
        <v>#REF!</v>
      </c>
      <c r="N593" s="38" t="e">
        <f>_xlfn.IFNA(VLOOKUP(G593,#REF!,3,0),"")</f>
        <v>#REF!</v>
      </c>
      <c r="O593" s="39">
        <v>3</v>
      </c>
      <c r="P593" s="79">
        <v>39.659999999999997</v>
      </c>
      <c r="Q593" s="39" t="s">
        <v>10</v>
      </c>
      <c r="R593" s="34">
        <v>4.3499999999999996</v>
      </c>
      <c r="S593" s="38"/>
      <c r="T593" s="40">
        <v>10.169491525423728</v>
      </c>
      <c r="U593" s="41">
        <f t="shared" si="71"/>
        <v>182.69049152542368</v>
      </c>
      <c r="V593" s="42">
        <f t="shared" si="72"/>
        <v>2.0298943502824853</v>
      </c>
      <c r="W593" s="43">
        <f t="shared" si="73"/>
        <v>0.30296930601231126</v>
      </c>
      <c r="X593" s="38"/>
      <c r="Y593" s="38"/>
      <c r="Z593" s="44"/>
      <c r="AA593" s="45">
        <v>46157</v>
      </c>
      <c r="AB593" s="45">
        <v>46188</v>
      </c>
      <c r="AC593" s="45"/>
      <c r="AD593" s="46" t="e">
        <f>IF(ISNA(VLOOKUP(D593,#REF!,5,0)),0,VLOOKUP(D593,#REF!,5,0))</f>
        <v>#REF!</v>
      </c>
      <c r="AE593" s="46" t="e">
        <f t="shared" si="67"/>
        <v>#REF!</v>
      </c>
      <c r="AF593" s="45"/>
      <c r="AG593" s="76">
        <f t="shared" si="74"/>
        <v>-46157</v>
      </c>
      <c r="AH593" s="45"/>
      <c r="AI593" s="39"/>
      <c r="AJ593" s="39"/>
      <c r="AK593" s="39"/>
      <c r="AL593" s="35"/>
      <c r="AM593" s="34"/>
      <c r="AN593" s="34"/>
      <c r="AO593" s="39"/>
      <c r="AP593" s="47"/>
      <c r="AQ593" s="47"/>
      <c r="AR593" s="47"/>
      <c r="AS593" s="47"/>
    </row>
    <row r="594" spans="1:45" ht="12" customHeight="1" x14ac:dyDescent="0.25">
      <c r="A594" s="33">
        <v>593</v>
      </c>
      <c r="B594" s="34"/>
      <c r="C594" s="34" t="s">
        <v>183</v>
      </c>
      <c r="D594" s="35" t="s">
        <v>713</v>
      </c>
      <c r="E594" s="34" t="s">
        <v>260</v>
      </c>
      <c r="F594" s="34" t="s">
        <v>0</v>
      </c>
      <c r="G594" s="16" t="s">
        <v>589</v>
      </c>
      <c r="H594" s="34">
        <v>300</v>
      </c>
      <c r="I594" s="34" t="s">
        <v>66</v>
      </c>
      <c r="J594" s="34" t="s">
        <v>3</v>
      </c>
      <c r="K594" s="35" t="s">
        <v>7</v>
      </c>
      <c r="L594" s="36" t="e">
        <f>VLOOKUP(G594,#REF!,4,0)</f>
        <v>#REF!</v>
      </c>
      <c r="M594" s="37" t="e">
        <f>_xlfn.IFNA(VLOOKUP(G594,#REF!,2,0),"")</f>
        <v>#REF!</v>
      </c>
      <c r="N594" s="38" t="e">
        <f>_xlfn.IFNA(VLOOKUP(G594,#REF!,3,0),"")</f>
        <v>#REF!</v>
      </c>
      <c r="O594" s="39">
        <v>10</v>
      </c>
      <c r="P594" s="79">
        <v>144.52000000000001</v>
      </c>
      <c r="Q594" s="39" t="s">
        <v>10</v>
      </c>
      <c r="R594" s="34">
        <v>4.25</v>
      </c>
      <c r="S594" s="38">
        <v>200</v>
      </c>
      <c r="T594" s="40">
        <v>19.23076923076923</v>
      </c>
      <c r="U594" s="41">
        <f t="shared" si="71"/>
        <v>633.44076923076932</v>
      </c>
      <c r="V594" s="42">
        <f t="shared" si="72"/>
        <v>2.1114692307692309</v>
      </c>
      <c r="W594" s="43">
        <f t="shared" si="73"/>
        <v>0.31514466130884045</v>
      </c>
      <c r="X594" s="38"/>
      <c r="Y594" s="38"/>
      <c r="Z594" s="44"/>
      <c r="AA594" s="45">
        <v>46157</v>
      </c>
      <c r="AB594" s="45">
        <v>46180</v>
      </c>
      <c r="AC594" s="45"/>
      <c r="AD594" s="46" t="e">
        <f>IF(ISNA(VLOOKUP(D594,#REF!,5,0)),0,VLOOKUP(D594,#REF!,5,0))</f>
        <v>#REF!</v>
      </c>
      <c r="AE594" s="46" t="e">
        <f t="shared" si="67"/>
        <v>#REF!</v>
      </c>
      <c r="AF594" s="45"/>
      <c r="AG594" s="76">
        <f t="shared" si="74"/>
        <v>-46157</v>
      </c>
      <c r="AH594" s="45"/>
      <c r="AI594" s="39"/>
      <c r="AJ594" s="39"/>
      <c r="AK594" s="39"/>
      <c r="AL594" s="35"/>
      <c r="AM594" s="34"/>
      <c r="AN594" s="34"/>
      <c r="AO594" s="39"/>
      <c r="AP594" s="47"/>
      <c r="AQ594" s="47"/>
      <c r="AR594" s="47"/>
      <c r="AS594" s="47"/>
    </row>
    <row r="595" spans="1:45" ht="12" customHeight="1" x14ac:dyDescent="0.25">
      <c r="A595" s="33">
        <v>594</v>
      </c>
      <c r="B595" s="34"/>
      <c r="C595" s="34" t="s">
        <v>183</v>
      </c>
      <c r="D595" s="35" t="s">
        <v>713</v>
      </c>
      <c r="E595" s="34" t="s">
        <v>260</v>
      </c>
      <c r="F595" s="34" t="s">
        <v>0</v>
      </c>
      <c r="G595" s="16" t="s">
        <v>590</v>
      </c>
      <c r="H595" s="34">
        <v>150</v>
      </c>
      <c r="I595" s="34" t="s">
        <v>66</v>
      </c>
      <c r="J595" s="34" t="s">
        <v>3</v>
      </c>
      <c r="K595" s="35" t="s">
        <v>7</v>
      </c>
      <c r="L595" s="36" t="e">
        <f>VLOOKUP(G595,#REF!,4,0)</f>
        <v>#REF!</v>
      </c>
      <c r="M595" s="37" t="e">
        <f>_xlfn.IFNA(VLOOKUP(G595,#REF!,2,0),"")</f>
        <v>#REF!</v>
      </c>
      <c r="N595" s="38" t="e">
        <f>_xlfn.IFNA(VLOOKUP(G595,#REF!,3,0),"")</f>
        <v>#REF!</v>
      </c>
      <c r="O595" s="39">
        <v>5</v>
      </c>
      <c r="P595" s="79">
        <v>72.260000000000005</v>
      </c>
      <c r="Q595" s="39" t="s">
        <v>10</v>
      </c>
      <c r="R595" s="34">
        <v>4.25</v>
      </c>
      <c r="S595" s="48">
        <v>200</v>
      </c>
      <c r="T595" s="40">
        <v>9.615384615384615</v>
      </c>
      <c r="U595" s="41">
        <f t="shared" si="71"/>
        <v>316.72038461538466</v>
      </c>
      <c r="V595" s="42">
        <f t="shared" si="72"/>
        <v>2.1114692307692309</v>
      </c>
      <c r="W595" s="43">
        <f t="shared" si="73"/>
        <v>0.31514466130884045</v>
      </c>
      <c r="X595" s="38"/>
      <c r="Y595" s="38"/>
      <c r="Z595" s="44"/>
      <c r="AA595" s="45">
        <v>46157</v>
      </c>
      <c r="AB595" s="45">
        <v>46180</v>
      </c>
      <c r="AC595" s="45"/>
      <c r="AD595" s="46" t="e">
        <f>IF(ISNA(VLOOKUP(D595,#REF!,5,0)),0,VLOOKUP(D595,#REF!,5,0))</f>
        <v>#REF!</v>
      </c>
      <c r="AE595" s="46" t="e">
        <f t="shared" si="67"/>
        <v>#REF!</v>
      </c>
      <c r="AF595" s="45"/>
      <c r="AG595" s="76">
        <f t="shared" si="74"/>
        <v>-46157</v>
      </c>
      <c r="AH595" s="45"/>
      <c r="AI595" s="39"/>
      <c r="AJ595" s="39"/>
      <c r="AK595" s="39"/>
      <c r="AL595" s="35"/>
      <c r="AM595" s="34"/>
      <c r="AN595" s="34"/>
      <c r="AO595" s="39"/>
      <c r="AP595" s="47"/>
      <c r="AQ595" s="47"/>
      <c r="AR595" s="47"/>
      <c r="AS595" s="47"/>
    </row>
    <row r="596" spans="1:45" ht="12" customHeight="1" x14ac:dyDescent="0.25">
      <c r="A596" s="33">
        <v>595</v>
      </c>
      <c r="B596" s="34"/>
      <c r="C596" s="34" t="s">
        <v>189</v>
      </c>
      <c r="D596" s="35" t="s">
        <v>714</v>
      </c>
      <c r="E596" s="34" t="s">
        <v>58</v>
      </c>
      <c r="F596" s="34" t="s">
        <v>0</v>
      </c>
      <c r="G596" s="16" t="s">
        <v>148</v>
      </c>
      <c r="H596" s="34">
        <v>600</v>
      </c>
      <c r="I596" s="34" t="s">
        <v>66</v>
      </c>
      <c r="J596" s="34" t="s">
        <v>3</v>
      </c>
      <c r="K596" s="35" t="s">
        <v>9</v>
      </c>
      <c r="L596" s="36" t="e">
        <f>VLOOKUP(G596,#REF!,4,0)</f>
        <v>#REF!</v>
      </c>
      <c r="M596" s="37" t="e">
        <f>_xlfn.IFNA(VLOOKUP(G596,#REF!,2,0),"")</f>
        <v>#REF!</v>
      </c>
      <c r="N596" s="38" t="e">
        <f>_xlfn.IFNA(VLOOKUP(G596,#REF!,3,0),"")</f>
        <v>#REF!</v>
      </c>
      <c r="O596" s="39">
        <v>20</v>
      </c>
      <c r="P596" s="79">
        <v>264.40666666666669</v>
      </c>
      <c r="Q596" s="39" t="s">
        <v>10</v>
      </c>
      <c r="R596" s="34">
        <v>4.3499999999999996</v>
      </c>
      <c r="S596" s="38">
        <v>200</v>
      </c>
      <c r="T596" s="40">
        <v>67.79661016949153</v>
      </c>
      <c r="U596" s="41">
        <f t="shared" si="71"/>
        <v>1217.9656101694916</v>
      </c>
      <c r="V596" s="42">
        <f t="shared" si="72"/>
        <v>2.0299426836158192</v>
      </c>
      <c r="W596" s="43">
        <f t="shared" si="73"/>
        <v>0.30297651994265956</v>
      </c>
      <c r="X596" s="38"/>
      <c r="Y596" s="38"/>
      <c r="Z596" s="44"/>
      <c r="AA596" s="45">
        <v>46157</v>
      </c>
      <c r="AB596" s="45">
        <v>46188</v>
      </c>
      <c r="AC596" s="45"/>
      <c r="AD596" s="46" t="e">
        <f>IF(ISNA(VLOOKUP(D596,#REF!,5,0)),0,VLOOKUP(D596,#REF!,5,0))</f>
        <v>#REF!</v>
      </c>
      <c r="AE596" s="46" t="e">
        <f t="shared" si="67"/>
        <v>#REF!</v>
      </c>
      <c r="AF596" s="45"/>
      <c r="AG596" s="76">
        <f t="shared" si="74"/>
        <v>-46157</v>
      </c>
      <c r="AH596" s="45"/>
      <c r="AI596" s="39"/>
      <c r="AJ596" s="39"/>
      <c r="AK596" s="39"/>
      <c r="AL596" s="35"/>
      <c r="AM596" s="34"/>
      <c r="AN596" s="34"/>
      <c r="AO596" s="39"/>
      <c r="AP596" s="47"/>
      <c r="AQ596" s="47"/>
      <c r="AR596" s="47"/>
      <c r="AS596" s="47"/>
    </row>
    <row r="597" spans="1:45" ht="12" customHeight="1" x14ac:dyDescent="0.25">
      <c r="A597" s="33">
        <v>596</v>
      </c>
      <c r="B597" s="34"/>
      <c r="C597" s="34" t="s">
        <v>189</v>
      </c>
      <c r="D597" s="35" t="s">
        <v>714</v>
      </c>
      <c r="E597" s="34" t="s">
        <v>58</v>
      </c>
      <c r="F597" s="34" t="s">
        <v>0</v>
      </c>
      <c r="G597" s="16" t="s">
        <v>283</v>
      </c>
      <c r="H597" s="34">
        <v>300</v>
      </c>
      <c r="I597" s="34" t="s">
        <v>66</v>
      </c>
      <c r="J597" s="34" t="s">
        <v>3</v>
      </c>
      <c r="K597" s="35" t="s">
        <v>9</v>
      </c>
      <c r="L597" s="36" t="e">
        <f>VLOOKUP(G597,#REF!,4,0)</f>
        <v>#REF!</v>
      </c>
      <c r="M597" s="37" t="e">
        <f>_xlfn.IFNA(VLOOKUP(G597,#REF!,2,0),"")</f>
        <v>#REF!</v>
      </c>
      <c r="N597" s="38" t="e">
        <f>_xlfn.IFNA(VLOOKUP(G597,#REF!,3,0),"")</f>
        <v>#REF!</v>
      </c>
      <c r="O597" s="39">
        <v>10</v>
      </c>
      <c r="P597" s="79">
        <v>132.20333333333335</v>
      </c>
      <c r="Q597" s="39" t="s">
        <v>10</v>
      </c>
      <c r="R597" s="34">
        <v>4.3499999999999996</v>
      </c>
      <c r="S597" s="48">
        <v>200</v>
      </c>
      <c r="T597" s="40">
        <v>33.898305084745765</v>
      </c>
      <c r="U597" s="41">
        <f t="shared" si="71"/>
        <v>608.98280508474579</v>
      </c>
      <c r="V597" s="42">
        <f t="shared" si="72"/>
        <v>2.0299426836158192</v>
      </c>
      <c r="W597" s="43">
        <f t="shared" si="73"/>
        <v>0.30297651994265956</v>
      </c>
      <c r="X597" s="38"/>
      <c r="Y597" s="38"/>
      <c r="Z597" s="44"/>
      <c r="AA597" s="45">
        <v>46157</v>
      </c>
      <c r="AB597" s="45">
        <v>46188</v>
      </c>
      <c r="AC597" s="45"/>
      <c r="AD597" s="46" t="e">
        <f>IF(ISNA(VLOOKUP(D597,#REF!,5,0)),0,VLOOKUP(D597,#REF!,5,0))</f>
        <v>#REF!</v>
      </c>
      <c r="AE597" s="46" t="e">
        <f t="shared" si="67"/>
        <v>#REF!</v>
      </c>
      <c r="AF597" s="45"/>
      <c r="AG597" s="76">
        <f t="shared" si="74"/>
        <v>-46157</v>
      </c>
      <c r="AH597" s="45"/>
      <c r="AI597" s="39"/>
      <c r="AJ597" s="39"/>
      <c r="AK597" s="39"/>
      <c r="AL597" s="35"/>
      <c r="AM597" s="34"/>
      <c r="AN597" s="34"/>
      <c r="AO597" s="39"/>
      <c r="AP597" s="47"/>
      <c r="AQ597" s="47"/>
      <c r="AR597" s="47"/>
      <c r="AS597" s="47"/>
    </row>
    <row r="598" spans="1:45" ht="12" customHeight="1" x14ac:dyDescent="0.25">
      <c r="A598" s="33">
        <v>597</v>
      </c>
      <c r="B598" s="34"/>
      <c r="C598" s="34" t="s">
        <v>185</v>
      </c>
      <c r="D598" s="35" t="s">
        <v>715</v>
      </c>
      <c r="E598" s="34" t="s">
        <v>470</v>
      </c>
      <c r="F598" s="34" t="s">
        <v>0</v>
      </c>
      <c r="G598" s="16" t="s">
        <v>716</v>
      </c>
      <c r="H598" s="34">
        <v>630</v>
      </c>
      <c r="I598" s="34" t="s">
        <v>66</v>
      </c>
      <c r="J598" s="34" t="s">
        <v>3</v>
      </c>
      <c r="K598" s="35" t="s">
        <v>4</v>
      </c>
      <c r="L598" s="36" t="e">
        <f>VLOOKUP(G598,#REF!,4,0)</f>
        <v>#REF!</v>
      </c>
      <c r="M598" s="37" t="e">
        <f>_xlfn.IFNA(VLOOKUP(G598,#REF!,2,0),"")</f>
        <v>#REF!</v>
      </c>
      <c r="N598" s="38" t="e">
        <f>_xlfn.IFNA(VLOOKUP(G598,#REF!,3,0),"")</f>
        <v>#REF!</v>
      </c>
      <c r="O598" s="39">
        <v>70</v>
      </c>
      <c r="P598" s="79">
        <v>1158.82</v>
      </c>
      <c r="Q598" s="39" t="s">
        <v>10</v>
      </c>
      <c r="R598" s="34">
        <v>4.95</v>
      </c>
      <c r="S598" s="38">
        <v>200</v>
      </c>
      <c r="T598" s="40">
        <v>127.27272727272727</v>
      </c>
      <c r="U598" s="41">
        <f t="shared" si="71"/>
        <v>5863.4317272727267</v>
      </c>
      <c r="V598" s="42">
        <f t="shared" si="72"/>
        <v>9.3070344877344873</v>
      </c>
      <c r="W598" s="43">
        <f t="shared" si="73"/>
        <v>1.3891096250349981</v>
      </c>
      <c r="X598" s="38"/>
      <c r="Y598" s="38"/>
      <c r="Z598" s="44"/>
      <c r="AA598" s="45">
        <v>46156</v>
      </c>
      <c r="AB598" s="45">
        <v>46175</v>
      </c>
      <c r="AC598" s="45"/>
      <c r="AD598" s="46" t="e">
        <f>IF(ISNA(VLOOKUP(D598,#REF!,5,0)),0,VLOOKUP(D598,#REF!,5,0))</f>
        <v>#REF!</v>
      </c>
      <c r="AE598" s="46" t="e">
        <f t="shared" si="67"/>
        <v>#REF!</v>
      </c>
      <c r="AF598" s="45">
        <v>46184</v>
      </c>
      <c r="AG598" s="76">
        <f t="shared" si="74"/>
        <v>28</v>
      </c>
      <c r="AH598" s="45"/>
      <c r="AI598" s="39"/>
      <c r="AJ598" s="39"/>
      <c r="AK598" s="39"/>
      <c r="AL598" s="35"/>
      <c r="AM598" s="34"/>
      <c r="AN598" s="34"/>
      <c r="AO598" s="39"/>
      <c r="AP598" s="47"/>
      <c r="AQ598" s="47"/>
      <c r="AR598" s="47"/>
      <c r="AS598" s="47"/>
    </row>
    <row r="599" spans="1:45" ht="12" customHeight="1" x14ac:dyDescent="0.25">
      <c r="A599" s="33">
        <v>598</v>
      </c>
      <c r="B599" s="34"/>
      <c r="C599" s="34" t="s">
        <v>185</v>
      </c>
      <c r="D599" s="35" t="s">
        <v>717</v>
      </c>
      <c r="E599" s="34" t="s">
        <v>470</v>
      </c>
      <c r="F599" s="34" t="s">
        <v>0</v>
      </c>
      <c r="G599" s="16" t="s">
        <v>718</v>
      </c>
      <c r="H599" s="34">
        <v>360</v>
      </c>
      <c r="I599" s="34" t="s">
        <v>66</v>
      </c>
      <c r="J599" s="34" t="s">
        <v>3</v>
      </c>
      <c r="K599" s="35" t="s">
        <v>4</v>
      </c>
      <c r="L599" s="36" t="e">
        <f>VLOOKUP(G599,#REF!,4,0)</f>
        <v>#REF!</v>
      </c>
      <c r="M599" s="37" t="e">
        <f>_xlfn.IFNA(VLOOKUP(G599,#REF!,2,0),"")</f>
        <v>#REF!</v>
      </c>
      <c r="N599" s="38" t="e">
        <f>_xlfn.IFNA(VLOOKUP(G599,#REF!,3,0),"")</f>
        <v>#REF!</v>
      </c>
      <c r="O599" s="39">
        <v>40</v>
      </c>
      <c r="P599" s="79">
        <v>662.17999999999984</v>
      </c>
      <c r="Q599" s="39" t="s">
        <v>10</v>
      </c>
      <c r="R599" s="34">
        <v>4.95</v>
      </c>
      <c r="S599" s="48">
        <v>200</v>
      </c>
      <c r="T599" s="40">
        <v>72.727272727272734</v>
      </c>
      <c r="U599" s="41">
        <f t="shared" si="71"/>
        <v>3350.5182727272718</v>
      </c>
      <c r="V599" s="42">
        <f t="shared" si="72"/>
        <v>9.3069952020202003</v>
      </c>
      <c r="W599" s="43">
        <f t="shared" si="73"/>
        <v>1.3891037614955521</v>
      </c>
      <c r="X599" s="38"/>
      <c r="Y599" s="38"/>
      <c r="Z599" s="44"/>
      <c r="AA599" s="45">
        <v>46156</v>
      </c>
      <c r="AB599" s="45">
        <v>46175</v>
      </c>
      <c r="AC599" s="45"/>
      <c r="AD599" s="46" t="e">
        <f>IF(ISNA(VLOOKUP(D599,#REF!,5,0)),0,VLOOKUP(D599,#REF!,5,0))</f>
        <v>#REF!</v>
      </c>
      <c r="AE599" s="46" t="e">
        <f t="shared" ref="AE599:AE657" si="75">AD599*H599</f>
        <v>#REF!</v>
      </c>
      <c r="AF599" s="45">
        <v>46184</v>
      </c>
      <c r="AG599" s="76">
        <f t="shared" si="74"/>
        <v>28</v>
      </c>
      <c r="AH599" s="45"/>
      <c r="AI599" s="39"/>
      <c r="AJ599" s="39"/>
      <c r="AK599" s="39"/>
      <c r="AL599" s="35"/>
      <c r="AM599" s="34"/>
      <c r="AN599" s="34"/>
      <c r="AO599" s="39"/>
      <c r="AP599" s="47"/>
      <c r="AQ599" s="47"/>
      <c r="AR599" s="47"/>
      <c r="AS599" s="47"/>
    </row>
    <row r="600" spans="1:45" ht="12" customHeight="1" x14ac:dyDescent="0.25">
      <c r="A600" s="33">
        <v>599</v>
      </c>
      <c r="B600" s="34"/>
      <c r="C600" s="34" t="s">
        <v>182</v>
      </c>
      <c r="D600" s="35" t="s">
        <v>719</v>
      </c>
      <c r="E600" s="34" t="s">
        <v>58</v>
      </c>
      <c r="F600" s="34" t="s">
        <v>0</v>
      </c>
      <c r="G600" s="16" t="s">
        <v>213</v>
      </c>
      <c r="H600" s="34">
        <v>240</v>
      </c>
      <c r="I600" s="34" t="s">
        <v>62</v>
      </c>
      <c r="J600" s="34" t="s">
        <v>3</v>
      </c>
      <c r="K600" s="35" t="s">
        <v>22</v>
      </c>
      <c r="L600" s="36" t="e">
        <f>VLOOKUP(G600,#REF!,4,0)</f>
        <v>#REF!</v>
      </c>
      <c r="M600" s="37" t="e">
        <f>_xlfn.IFNA(VLOOKUP(G600,#REF!,2,0),"")</f>
        <v>#REF!</v>
      </c>
      <c r="N600" s="38" t="e">
        <f>_xlfn.IFNA(VLOOKUP(G600,#REF!,3,0),"")</f>
        <v>#REF!</v>
      </c>
      <c r="O600" s="39">
        <v>20</v>
      </c>
      <c r="P600" s="79">
        <v>286.26865671641792</v>
      </c>
      <c r="Q600" s="39" t="s">
        <v>10</v>
      </c>
      <c r="R600" s="34">
        <v>4</v>
      </c>
      <c r="S600" s="38">
        <v>200</v>
      </c>
      <c r="T600" s="40">
        <v>59.701492537313435</v>
      </c>
      <c r="U600" s="41">
        <f t="shared" si="71"/>
        <v>1204.7761194029852</v>
      </c>
      <c r="V600" s="42">
        <f t="shared" si="72"/>
        <v>5.0199004975124382</v>
      </c>
      <c r="W600" s="43">
        <f t="shared" si="73"/>
        <v>0.74923888022573704</v>
      </c>
      <c r="X600" s="38"/>
      <c r="Y600" s="38"/>
      <c r="Z600" s="44"/>
      <c r="AA600" s="45">
        <v>46157</v>
      </c>
      <c r="AB600" s="45">
        <v>46195</v>
      </c>
      <c r="AC600" s="45"/>
      <c r="AD600" s="46" t="e">
        <f>IF(ISNA(VLOOKUP(D600,#REF!,5,0)),0,VLOOKUP(D600,#REF!,5,0))</f>
        <v>#REF!</v>
      </c>
      <c r="AE600" s="46" t="e">
        <f t="shared" si="75"/>
        <v>#REF!</v>
      </c>
      <c r="AF600" s="45"/>
      <c r="AG600" s="76">
        <f t="shared" si="74"/>
        <v>-46157</v>
      </c>
      <c r="AH600" s="45"/>
      <c r="AI600" s="39"/>
      <c r="AJ600" s="39"/>
      <c r="AK600" s="39"/>
      <c r="AL600" s="35"/>
      <c r="AM600" s="34"/>
      <c r="AN600" s="34"/>
      <c r="AO600" s="39"/>
      <c r="AP600" s="47"/>
      <c r="AQ600" s="47"/>
      <c r="AR600" s="47"/>
      <c r="AS600" s="47"/>
    </row>
    <row r="601" spans="1:45" ht="12" customHeight="1" x14ac:dyDescent="0.25">
      <c r="A601" s="33">
        <v>600</v>
      </c>
      <c r="B601" s="34"/>
      <c r="C601" s="34" t="s">
        <v>182</v>
      </c>
      <c r="D601" s="35" t="s">
        <v>719</v>
      </c>
      <c r="E601" s="34" t="s">
        <v>58</v>
      </c>
      <c r="F601" s="34" t="s">
        <v>0</v>
      </c>
      <c r="G601" s="16" t="s">
        <v>57</v>
      </c>
      <c r="H601" s="34">
        <v>360</v>
      </c>
      <c r="I601" s="34" t="s">
        <v>62</v>
      </c>
      <c r="J601" s="34" t="s">
        <v>3</v>
      </c>
      <c r="K601" s="35" t="s">
        <v>22</v>
      </c>
      <c r="L601" s="36" t="e">
        <f>VLOOKUP(G601,#REF!,4,0)</f>
        <v>#REF!</v>
      </c>
      <c r="M601" s="37" t="e">
        <f>_xlfn.IFNA(VLOOKUP(G601,#REF!,2,0),"")</f>
        <v>#REF!</v>
      </c>
      <c r="N601" s="38" t="e">
        <f>_xlfn.IFNA(VLOOKUP(G601,#REF!,3,0),"")</f>
        <v>#REF!</v>
      </c>
      <c r="O601" s="39">
        <v>30</v>
      </c>
      <c r="P601" s="79">
        <v>429.40298507462688</v>
      </c>
      <c r="Q601" s="39" t="s">
        <v>10</v>
      </c>
      <c r="R601" s="34">
        <v>4</v>
      </c>
      <c r="S601" s="48">
        <v>200</v>
      </c>
      <c r="T601" s="40">
        <v>89.552238805970148</v>
      </c>
      <c r="U601" s="41">
        <f t="shared" si="71"/>
        <v>1807.1641791044776</v>
      </c>
      <c r="V601" s="42">
        <f t="shared" si="72"/>
        <v>5.0199004975124382</v>
      </c>
      <c r="W601" s="43">
        <f t="shared" si="73"/>
        <v>0.74923888022573704</v>
      </c>
      <c r="X601" s="38"/>
      <c r="Y601" s="38"/>
      <c r="Z601" s="44"/>
      <c r="AA601" s="45">
        <v>46157</v>
      </c>
      <c r="AB601" s="45">
        <v>46195</v>
      </c>
      <c r="AC601" s="45"/>
      <c r="AD601" s="46" t="e">
        <f>IF(ISNA(VLOOKUP(D601,#REF!,5,0)),0,VLOOKUP(D601,#REF!,5,0))</f>
        <v>#REF!</v>
      </c>
      <c r="AE601" s="46" t="e">
        <f t="shared" si="75"/>
        <v>#REF!</v>
      </c>
      <c r="AF601" s="45"/>
      <c r="AG601" s="76">
        <f t="shared" si="74"/>
        <v>-46157</v>
      </c>
      <c r="AH601" s="45"/>
      <c r="AI601" s="39"/>
      <c r="AJ601" s="39"/>
      <c r="AK601" s="39"/>
      <c r="AL601" s="35"/>
      <c r="AM601" s="34"/>
      <c r="AN601" s="34"/>
      <c r="AO601" s="39"/>
      <c r="AP601" s="47"/>
      <c r="AQ601" s="47"/>
      <c r="AR601" s="47"/>
      <c r="AS601" s="47"/>
    </row>
    <row r="602" spans="1:45" ht="12" customHeight="1" x14ac:dyDescent="0.25">
      <c r="A602" s="33">
        <v>601</v>
      </c>
      <c r="B602" s="34"/>
      <c r="C602" s="34" t="s">
        <v>182</v>
      </c>
      <c r="D602" s="35" t="s">
        <v>719</v>
      </c>
      <c r="E602" s="34" t="s">
        <v>58</v>
      </c>
      <c r="F602" s="34" t="s">
        <v>0</v>
      </c>
      <c r="G602" s="16" t="s">
        <v>238</v>
      </c>
      <c r="H602" s="34">
        <v>256</v>
      </c>
      <c r="I602" s="34" t="s">
        <v>62</v>
      </c>
      <c r="J602" s="34" t="s">
        <v>3</v>
      </c>
      <c r="K602" s="35" t="s">
        <v>22</v>
      </c>
      <c r="L602" s="36" t="e">
        <f>VLOOKUP(G602,#REF!,4,0)</f>
        <v>#REF!</v>
      </c>
      <c r="M602" s="37" t="e">
        <f>_xlfn.IFNA(VLOOKUP(G602,#REF!,2,0),"")</f>
        <v>#REF!</v>
      </c>
      <c r="N602" s="38" t="e">
        <f>_xlfn.IFNA(VLOOKUP(G602,#REF!,3,0),"")</f>
        <v>#REF!</v>
      </c>
      <c r="O602" s="39">
        <v>8</v>
      </c>
      <c r="P602" s="79">
        <v>114.50746268656717</v>
      </c>
      <c r="Q602" s="39" t="s">
        <v>10</v>
      </c>
      <c r="R602" s="34">
        <v>4</v>
      </c>
      <c r="S602" s="38"/>
      <c r="T602" s="40">
        <v>23.880597014925375</v>
      </c>
      <c r="U602" s="41">
        <f t="shared" si="71"/>
        <v>481.91044776119406</v>
      </c>
      <c r="V602" s="42">
        <f t="shared" si="72"/>
        <v>1.8824626865671643</v>
      </c>
      <c r="W602" s="43">
        <f t="shared" si="73"/>
        <v>0.28096458008465136</v>
      </c>
      <c r="X602" s="38"/>
      <c r="Y602" s="38"/>
      <c r="Z602" s="44"/>
      <c r="AA602" s="45">
        <v>46157</v>
      </c>
      <c r="AB602" s="45">
        <v>46195</v>
      </c>
      <c r="AC602" s="45"/>
      <c r="AD602" s="46" t="e">
        <f>IF(ISNA(VLOOKUP(D602,#REF!,5,0)),0,VLOOKUP(D602,#REF!,5,0))</f>
        <v>#REF!</v>
      </c>
      <c r="AE602" s="46" t="e">
        <f t="shared" si="75"/>
        <v>#REF!</v>
      </c>
      <c r="AF602" s="45"/>
      <c r="AG602" s="76">
        <f t="shared" si="74"/>
        <v>-46157</v>
      </c>
      <c r="AH602" s="45"/>
      <c r="AI602" s="39"/>
      <c r="AJ602" s="39"/>
      <c r="AK602" s="39"/>
      <c r="AL602" s="35"/>
      <c r="AM602" s="34"/>
      <c r="AN602" s="34"/>
      <c r="AO602" s="39"/>
      <c r="AP602" s="47"/>
      <c r="AQ602" s="47"/>
      <c r="AR602" s="47"/>
      <c r="AS602" s="47"/>
    </row>
    <row r="603" spans="1:45" ht="12" customHeight="1" x14ac:dyDescent="0.25">
      <c r="A603" s="33">
        <v>602</v>
      </c>
      <c r="B603" s="34"/>
      <c r="C603" s="34" t="s">
        <v>182</v>
      </c>
      <c r="D603" s="35" t="s">
        <v>719</v>
      </c>
      <c r="E603" s="34" t="s">
        <v>58</v>
      </c>
      <c r="F603" s="34" t="s">
        <v>0</v>
      </c>
      <c r="G603" s="16" t="s">
        <v>239</v>
      </c>
      <c r="H603" s="34">
        <v>288</v>
      </c>
      <c r="I603" s="34" t="s">
        <v>62</v>
      </c>
      <c r="J603" s="34" t="s">
        <v>3</v>
      </c>
      <c r="K603" s="35" t="s">
        <v>22</v>
      </c>
      <c r="L603" s="36" t="e">
        <f>VLOOKUP(G603,#REF!,4,0)</f>
        <v>#REF!</v>
      </c>
      <c r="M603" s="37" t="e">
        <f>_xlfn.IFNA(VLOOKUP(G603,#REF!,2,0),"")</f>
        <v>#REF!</v>
      </c>
      <c r="N603" s="38" t="e">
        <f>_xlfn.IFNA(VLOOKUP(G603,#REF!,3,0),"")</f>
        <v>#REF!</v>
      </c>
      <c r="O603" s="39">
        <v>9</v>
      </c>
      <c r="P603" s="79">
        <v>128.82089552238807</v>
      </c>
      <c r="Q603" s="39" t="s">
        <v>10</v>
      </c>
      <c r="R603" s="34">
        <v>4</v>
      </c>
      <c r="S603" s="38"/>
      <c r="T603" s="40">
        <v>26.865671641791046</v>
      </c>
      <c r="U603" s="41">
        <f t="shared" si="71"/>
        <v>542.14925373134338</v>
      </c>
      <c r="V603" s="42">
        <f t="shared" si="72"/>
        <v>1.8824626865671645</v>
      </c>
      <c r="W603" s="43">
        <f t="shared" si="73"/>
        <v>0.28096458008465142</v>
      </c>
      <c r="X603" s="38"/>
      <c r="Y603" s="38"/>
      <c r="Z603" s="44"/>
      <c r="AA603" s="45">
        <v>46157</v>
      </c>
      <c r="AB603" s="45">
        <v>46195</v>
      </c>
      <c r="AC603" s="45"/>
      <c r="AD603" s="46" t="e">
        <f>IF(ISNA(VLOOKUP(D603,#REF!,5,0)),0,VLOOKUP(D603,#REF!,5,0))</f>
        <v>#REF!</v>
      </c>
      <c r="AE603" s="46" t="e">
        <f t="shared" si="75"/>
        <v>#REF!</v>
      </c>
      <c r="AF603" s="45"/>
      <c r="AG603" s="76">
        <f t="shared" si="74"/>
        <v>-46157</v>
      </c>
      <c r="AH603" s="45"/>
      <c r="AI603" s="39"/>
      <c r="AJ603" s="39"/>
      <c r="AK603" s="39"/>
      <c r="AL603" s="35"/>
      <c r="AM603" s="34"/>
      <c r="AN603" s="34"/>
      <c r="AO603" s="39"/>
      <c r="AP603" s="47"/>
      <c r="AQ603" s="47"/>
      <c r="AR603" s="47"/>
      <c r="AS603" s="47"/>
    </row>
    <row r="604" spans="1:45" ht="12" customHeight="1" x14ac:dyDescent="0.25">
      <c r="A604" s="33">
        <v>603</v>
      </c>
      <c r="B604" s="34"/>
      <c r="C604" s="34" t="s">
        <v>186</v>
      </c>
      <c r="D604" s="35" t="s">
        <v>707</v>
      </c>
      <c r="E604" s="34" t="s">
        <v>61</v>
      </c>
      <c r="F604" s="34" t="s">
        <v>0</v>
      </c>
      <c r="G604" s="16" t="s">
        <v>720</v>
      </c>
      <c r="H604" s="34">
        <v>720</v>
      </c>
      <c r="I604" s="34" t="s">
        <v>218</v>
      </c>
      <c r="J604" s="34" t="s">
        <v>3</v>
      </c>
      <c r="K604" s="35" t="s">
        <v>17</v>
      </c>
      <c r="L604" s="36" t="e">
        <f>VLOOKUP(G604,#REF!,4,0)</f>
        <v>#REF!</v>
      </c>
      <c r="M604" s="37" t="e">
        <f>_xlfn.IFNA(VLOOKUP(G604,#REF!,2,0),"")</f>
        <v>#REF!</v>
      </c>
      <c r="N604" s="38" t="e">
        <f>_xlfn.IFNA(VLOOKUP(G604,#REF!,3,0),"")</f>
        <v>#REF!</v>
      </c>
      <c r="O604" s="39">
        <v>12</v>
      </c>
      <c r="P604" s="79">
        <v>0.51600000000000001</v>
      </c>
      <c r="Q604" s="39" t="s">
        <v>420</v>
      </c>
      <c r="R604" s="34">
        <v>1130</v>
      </c>
      <c r="S604" s="38">
        <v>180</v>
      </c>
      <c r="T604" s="40">
        <v>43.2</v>
      </c>
      <c r="U604" s="41">
        <f t="shared" si="71"/>
        <v>626.28000000000009</v>
      </c>
      <c r="V604" s="42">
        <f t="shared" si="72"/>
        <v>0.86983333333333346</v>
      </c>
      <c r="W604" s="43">
        <f t="shared" si="73"/>
        <v>0.12982587064676618</v>
      </c>
      <c r="X604" s="38"/>
      <c r="Y604" s="38"/>
      <c r="Z604" s="44"/>
      <c r="AA604" s="45">
        <v>46157</v>
      </c>
      <c r="AB604" s="45">
        <v>46179</v>
      </c>
      <c r="AC604" s="45"/>
      <c r="AD604" s="46" t="e">
        <f>IF(ISNA(VLOOKUP(D604,#REF!,5,0)),0,VLOOKUP(D604,#REF!,5,0))</f>
        <v>#REF!</v>
      </c>
      <c r="AE604" s="46" t="e">
        <f t="shared" si="75"/>
        <v>#REF!</v>
      </c>
      <c r="AF604" s="45"/>
      <c r="AG604" s="76">
        <f t="shared" si="74"/>
        <v>-46157</v>
      </c>
      <c r="AH604" s="45"/>
      <c r="AI604" s="39"/>
      <c r="AJ604" s="39"/>
      <c r="AK604" s="39"/>
      <c r="AL604" s="35"/>
      <c r="AM604" s="34"/>
      <c r="AN604" s="34"/>
      <c r="AO604" s="39"/>
      <c r="AP604" s="47"/>
      <c r="AQ604" s="47"/>
      <c r="AR604" s="47"/>
      <c r="AS604" s="47"/>
    </row>
    <row r="605" spans="1:45" ht="12" customHeight="1" x14ac:dyDescent="0.25">
      <c r="A605" s="33">
        <v>604</v>
      </c>
      <c r="B605" s="34"/>
      <c r="C605" s="34" t="s">
        <v>186</v>
      </c>
      <c r="D605" s="35" t="s">
        <v>707</v>
      </c>
      <c r="E605" s="34" t="s">
        <v>61</v>
      </c>
      <c r="F605" s="34" t="s">
        <v>0</v>
      </c>
      <c r="G605" s="16" t="s">
        <v>277</v>
      </c>
      <c r="H605" s="34">
        <v>576</v>
      </c>
      <c r="I605" s="34" t="s">
        <v>218</v>
      </c>
      <c r="J605" s="34" t="s">
        <v>3</v>
      </c>
      <c r="K605" s="35" t="s">
        <v>17</v>
      </c>
      <c r="L605" s="36" t="e">
        <f>VLOOKUP(G605,#REF!,4,0)</f>
        <v>#REF!</v>
      </c>
      <c r="M605" s="37" t="e">
        <f>_xlfn.IFNA(VLOOKUP(G605,#REF!,2,0),"")</f>
        <v>#REF!</v>
      </c>
      <c r="N605" s="38" t="e">
        <f>_xlfn.IFNA(VLOOKUP(G605,#REF!,3,0),"")</f>
        <v>#REF!</v>
      </c>
      <c r="O605" s="39">
        <v>9</v>
      </c>
      <c r="P605" s="79">
        <v>0.38700000000000001</v>
      </c>
      <c r="Q605" s="39" t="s">
        <v>420</v>
      </c>
      <c r="R605" s="34">
        <v>1130</v>
      </c>
      <c r="S605" s="48">
        <v>180</v>
      </c>
      <c r="T605" s="40">
        <v>32.4</v>
      </c>
      <c r="U605" s="41">
        <f t="shared" si="71"/>
        <v>469.71</v>
      </c>
      <c r="V605" s="42">
        <f t="shared" si="72"/>
        <v>0.81546874999999996</v>
      </c>
      <c r="W605" s="43">
        <f t="shared" si="73"/>
        <v>0.12171175373134327</v>
      </c>
      <c r="X605" s="38"/>
      <c r="Y605" s="38"/>
      <c r="Z605" s="44"/>
      <c r="AA605" s="45">
        <v>46157</v>
      </c>
      <c r="AB605" s="45">
        <v>46179</v>
      </c>
      <c r="AC605" s="45"/>
      <c r="AD605" s="46" t="e">
        <f>IF(ISNA(VLOOKUP(D605,#REF!,5,0)),0,VLOOKUP(D605,#REF!,5,0))</f>
        <v>#REF!</v>
      </c>
      <c r="AE605" s="46" t="e">
        <f t="shared" si="75"/>
        <v>#REF!</v>
      </c>
      <c r="AF605" s="45"/>
      <c r="AG605" s="76">
        <f t="shared" si="74"/>
        <v>-46157</v>
      </c>
      <c r="AH605" s="45"/>
      <c r="AI605" s="39"/>
      <c r="AJ605" s="39"/>
      <c r="AK605" s="39"/>
      <c r="AL605" s="35"/>
      <c r="AM605" s="34"/>
      <c r="AN605" s="34"/>
      <c r="AO605" s="39"/>
      <c r="AP605" s="47"/>
      <c r="AQ605" s="47"/>
      <c r="AR605" s="47"/>
      <c r="AS605" s="47"/>
    </row>
    <row r="606" spans="1:45" ht="12" customHeight="1" x14ac:dyDescent="0.25">
      <c r="A606" s="33">
        <v>605</v>
      </c>
      <c r="B606" s="34"/>
      <c r="C606" s="34" t="s">
        <v>186</v>
      </c>
      <c r="D606" s="35" t="s">
        <v>707</v>
      </c>
      <c r="E606" s="34" t="s">
        <v>61</v>
      </c>
      <c r="F606" s="34" t="s">
        <v>0</v>
      </c>
      <c r="G606" s="16" t="s">
        <v>253</v>
      </c>
      <c r="H606" s="34">
        <v>576</v>
      </c>
      <c r="I606" s="34" t="s">
        <v>218</v>
      </c>
      <c r="J606" s="34" t="s">
        <v>3</v>
      </c>
      <c r="K606" s="35" t="s">
        <v>17</v>
      </c>
      <c r="L606" s="36" t="e">
        <f>VLOOKUP(G606,#REF!,4,0)</f>
        <v>#REF!</v>
      </c>
      <c r="M606" s="37" t="e">
        <f>_xlfn.IFNA(VLOOKUP(G606,#REF!,2,0),"")</f>
        <v>#REF!</v>
      </c>
      <c r="N606" s="38" t="e">
        <f>_xlfn.IFNA(VLOOKUP(G606,#REF!,3,0),"")</f>
        <v>#REF!</v>
      </c>
      <c r="O606" s="39">
        <v>9</v>
      </c>
      <c r="P606" s="79">
        <v>0.38700000000000001</v>
      </c>
      <c r="Q606" s="39" t="s">
        <v>420</v>
      </c>
      <c r="R606" s="34">
        <v>1130</v>
      </c>
      <c r="S606" s="38"/>
      <c r="T606" s="40">
        <v>32.4</v>
      </c>
      <c r="U606" s="41">
        <f t="shared" si="71"/>
        <v>469.71</v>
      </c>
      <c r="V606" s="42">
        <f t="shared" si="72"/>
        <v>0.81546874999999996</v>
      </c>
      <c r="W606" s="43">
        <f t="shared" si="73"/>
        <v>0.12171175373134327</v>
      </c>
      <c r="X606" s="38"/>
      <c r="Y606" s="38"/>
      <c r="Z606" s="44"/>
      <c r="AA606" s="45">
        <v>46157</v>
      </c>
      <c r="AB606" s="45">
        <v>46179</v>
      </c>
      <c r="AC606" s="45"/>
      <c r="AD606" s="46" t="e">
        <f>IF(ISNA(VLOOKUP(D606,#REF!,5,0)),0,VLOOKUP(D606,#REF!,5,0))</f>
        <v>#REF!</v>
      </c>
      <c r="AE606" s="46" t="e">
        <f t="shared" si="75"/>
        <v>#REF!</v>
      </c>
      <c r="AF606" s="45"/>
      <c r="AG606" s="76">
        <f t="shared" si="74"/>
        <v>-46157</v>
      </c>
      <c r="AH606" s="45"/>
      <c r="AI606" s="39"/>
      <c r="AJ606" s="39"/>
      <c r="AK606" s="39"/>
      <c r="AL606" s="35"/>
      <c r="AM606" s="34"/>
      <c r="AN606" s="34"/>
      <c r="AO606" s="39"/>
      <c r="AP606" s="47"/>
      <c r="AQ606" s="47"/>
      <c r="AR606" s="47"/>
      <c r="AS606" s="47"/>
    </row>
    <row r="607" spans="1:45" ht="12" customHeight="1" x14ac:dyDescent="0.25">
      <c r="A607" s="33">
        <v>606</v>
      </c>
      <c r="B607" s="34" t="s">
        <v>739</v>
      </c>
      <c r="C607" s="34" t="s">
        <v>186</v>
      </c>
      <c r="D607" s="35" t="s">
        <v>721</v>
      </c>
      <c r="E607" s="34" t="s">
        <v>58</v>
      </c>
      <c r="F607" s="34" t="s">
        <v>0</v>
      </c>
      <c r="G607" s="16" t="s">
        <v>476</v>
      </c>
      <c r="H607" s="34">
        <v>960</v>
      </c>
      <c r="I607" s="34" t="s">
        <v>218</v>
      </c>
      <c r="J607" s="34" t="s">
        <v>3</v>
      </c>
      <c r="K607" s="35" t="s">
        <v>19</v>
      </c>
      <c r="L607" s="36" t="e">
        <f>VLOOKUP(G607,#REF!,4,0)</f>
        <v>#REF!</v>
      </c>
      <c r="M607" s="37" t="e">
        <f>_xlfn.IFNA(VLOOKUP(G607,#REF!,2,0),"")</f>
        <v>#REF!</v>
      </c>
      <c r="N607" s="38" t="e">
        <f>_xlfn.IFNA(VLOOKUP(G607,#REF!,3,0),"")</f>
        <v>#REF!</v>
      </c>
      <c r="O607" s="39">
        <v>15</v>
      </c>
      <c r="P607" s="79">
        <v>0.75</v>
      </c>
      <c r="Q607" s="39" t="s">
        <v>420</v>
      </c>
      <c r="R607" s="34">
        <v>1130</v>
      </c>
      <c r="S607" s="38"/>
      <c r="T607" s="40">
        <v>54</v>
      </c>
      <c r="U607" s="41">
        <f t="shared" si="71"/>
        <v>901.5</v>
      </c>
      <c r="V607" s="42">
        <f t="shared" si="72"/>
        <v>0.93906250000000002</v>
      </c>
      <c r="W607" s="43">
        <f t="shared" si="73"/>
        <v>0.14015858208955223</v>
      </c>
      <c r="X607" s="38"/>
      <c r="Y607" s="38"/>
      <c r="Z607" s="44"/>
      <c r="AA607" s="45">
        <v>46157</v>
      </c>
      <c r="AB607" s="45">
        <v>46179</v>
      </c>
      <c r="AC607" s="45"/>
      <c r="AD607" s="46" t="e">
        <f>IF(ISNA(VLOOKUP(D607,#REF!,5,0)),0,VLOOKUP(D607,#REF!,5,0))</f>
        <v>#REF!</v>
      </c>
      <c r="AE607" s="46" t="e">
        <f t="shared" si="75"/>
        <v>#REF!</v>
      </c>
      <c r="AF607" s="45"/>
      <c r="AG607" s="76">
        <f t="shared" si="74"/>
        <v>-46157</v>
      </c>
      <c r="AH607" s="45"/>
      <c r="AI607" s="39"/>
      <c r="AJ607" s="39"/>
      <c r="AK607" s="39"/>
      <c r="AL607" s="35"/>
      <c r="AM607" s="34"/>
      <c r="AN607" s="34"/>
      <c r="AO607" s="39"/>
      <c r="AP607" s="47"/>
      <c r="AQ607" s="47"/>
      <c r="AR607" s="47"/>
      <c r="AS607" s="47"/>
    </row>
    <row r="608" spans="1:45" ht="12" customHeight="1" x14ac:dyDescent="0.25">
      <c r="A608" s="33">
        <v>607</v>
      </c>
      <c r="B608" s="34"/>
      <c r="C608" s="34" t="s">
        <v>186</v>
      </c>
      <c r="D608" s="35" t="s">
        <v>721</v>
      </c>
      <c r="E608" s="34" t="s">
        <v>58</v>
      </c>
      <c r="F608" s="34" t="s">
        <v>0</v>
      </c>
      <c r="G608" s="16" t="s">
        <v>615</v>
      </c>
      <c r="H608" s="34">
        <v>100</v>
      </c>
      <c r="I608" s="34" t="s">
        <v>218</v>
      </c>
      <c r="J608" s="34" t="s">
        <v>3</v>
      </c>
      <c r="K608" s="35" t="s">
        <v>19</v>
      </c>
      <c r="L608" s="36" t="e">
        <f>VLOOKUP(G608,#REF!,4,0)</f>
        <v>#REF!</v>
      </c>
      <c r="M608" s="37" t="e">
        <f>_xlfn.IFNA(VLOOKUP(G608,#REF!,2,0),"")</f>
        <v>#REF!</v>
      </c>
      <c r="N608" s="38" t="e">
        <f>_xlfn.IFNA(VLOOKUP(G608,#REF!,3,0),"")</f>
        <v>#REF!</v>
      </c>
      <c r="O608" s="39">
        <v>5</v>
      </c>
      <c r="P608" s="79">
        <v>0.25</v>
      </c>
      <c r="Q608" s="39" t="s">
        <v>420</v>
      </c>
      <c r="R608" s="34">
        <v>1130</v>
      </c>
      <c r="S608" s="38"/>
      <c r="T608" s="40">
        <v>18</v>
      </c>
      <c r="U608" s="41">
        <f t="shared" si="71"/>
        <v>300.5</v>
      </c>
      <c r="V608" s="42">
        <f t="shared" si="72"/>
        <v>3.0049999999999999</v>
      </c>
      <c r="W608" s="43">
        <f t="shared" si="73"/>
        <v>0.44850746268656716</v>
      </c>
      <c r="X608" s="38"/>
      <c r="Y608" s="38"/>
      <c r="Z608" s="44"/>
      <c r="AA608" s="45">
        <v>46157</v>
      </c>
      <c r="AB608" s="45">
        <v>46179</v>
      </c>
      <c r="AC608" s="45"/>
      <c r="AD608" s="46" t="e">
        <f>IF(ISNA(VLOOKUP(D608,#REF!,5,0)),0,VLOOKUP(D608,#REF!,5,0))</f>
        <v>#REF!</v>
      </c>
      <c r="AE608" s="46" t="e">
        <f t="shared" si="75"/>
        <v>#REF!</v>
      </c>
      <c r="AF608" s="45"/>
      <c r="AG608" s="76">
        <f t="shared" si="74"/>
        <v>-46157</v>
      </c>
      <c r="AH608" s="45"/>
      <c r="AI608" s="39"/>
      <c r="AJ608" s="39"/>
      <c r="AK608" s="39"/>
      <c r="AL608" s="35"/>
      <c r="AM608" s="34"/>
      <c r="AN608" s="34"/>
      <c r="AO608" s="39"/>
      <c r="AP608" s="47"/>
      <c r="AQ608" s="47"/>
      <c r="AR608" s="47"/>
      <c r="AS608" s="47"/>
    </row>
    <row r="609" spans="1:45" ht="12" customHeight="1" x14ac:dyDescent="0.25">
      <c r="A609" s="33">
        <v>608</v>
      </c>
      <c r="B609" s="34"/>
      <c r="C609" s="34" t="s">
        <v>177</v>
      </c>
      <c r="D609" s="35" t="s">
        <v>722</v>
      </c>
      <c r="E609" s="34" t="s">
        <v>470</v>
      </c>
      <c r="F609" s="34" t="s">
        <v>0</v>
      </c>
      <c r="G609" s="16" t="s">
        <v>505</v>
      </c>
      <c r="H609" s="34">
        <v>192</v>
      </c>
      <c r="I609" s="34" t="s">
        <v>87</v>
      </c>
      <c r="J609" s="34" t="s">
        <v>3</v>
      </c>
      <c r="K609" s="35" t="s">
        <v>8</v>
      </c>
      <c r="L609" s="36" t="e">
        <f>VLOOKUP(G609,#REF!,4,0)</f>
        <v>#REF!</v>
      </c>
      <c r="M609" s="37" t="e">
        <f>_xlfn.IFNA(VLOOKUP(G609,#REF!,2,0),"")</f>
        <v>#REF!</v>
      </c>
      <c r="N609" s="38" t="e">
        <f>_xlfn.IFNA(VLOOKUP(G609,#REF!,3,0),"")</f>
        <v>#REF!</v>
      </c>
      <c r="O609" s="39">
        <v>3</v>
      </c>
      <c r="P609" s="79">
        <v>41.53846153846154</v>
      </c>
      <c r="Q609" s="39" t="s">
        <v>10</v>
      </c>
      <c r="R609" s="34">
        <v>7.1</v>
      </c>
      <c r="S609" s="38">
        <v>200</v>
      </c>
      <c r="T609" s="40">
        <v>46.153846153846153</v>
      </c>
      <c r="U609" s="41">
        <f t="shared" si="71"/>
        <v>341.07692307692304</v>
      </c>
      <c r="V609" s="42">
        <f t="shared" si="72"/>
        <v>1.7764423076923075</v>
      </c>
      <c r="W609" s="43">
        <f t="shared" si="73"/>
        <v>0.26514064293915035</v>
      </c>
      <c r="X609" s="38"/>
      <c r="Y609" s="38"/>
      <c r="Z609" s="44"/>
      <c r="AA609" s="45">
        <v>46157</v>
      </c>
      <c r="AB609" s="45">
        <v>46179</v>
      </c>
      <c r="AC609" s="45"/>
      <c r="AD609" s="46" t="e">
        <f>IF(ISNA(VLOOKUP(D609,#REF!,5,0)),0,VLOOKUP(D609,#REF!,5,0))</f>
        <v>#REF!</v>
      </c>
      <c r="AE609" s="46" t="e">
        <f t="shared" si="75"/>
        <v>#REF!</v>
      </c>
      <c r="AF609" s="45"/>
      <c r="AG609" s="76">
        <f t="shared" si="74"/>
        <v>-46157</v>
      </c>
      <c r="AH609" s="45"/>
      <c r="AI609" s="39"/>
      <c r="AJ609" s="39"/>
      <c r="AK609" s="39"/>
      <c r="AL609" s="35"/>
      <c r="AM609" s="34"/>
      <c r="AN609" s="34"/>
      <c r="AO609" s="39"/>
      <c r="AP609" s="47"/>
      <c r="AQ609" s="47"/>
      <c r="AR609" s="47"/>
      <c r="AS609" s="47"/>
    </row>
    <row r="610" spans="1:45" ht="12" customHeight="1" x14ac:dyDescent="0.25">
      <c r="A610" s="33">
        <v>609</v>
      </c>
      <c r="B610" s="34"/>
      <c r="C610" s="34" t="s">
        <v>177</v>
      </c>
      <c r="D610" s="35" t="s">
        <v>722</v>
      </c>
      <c r="E610" s="34" t="s">
        <v>470</v>
      </c>
      <c r="F610" s="34" t="s">
        <v>0</v>
      </c>
      <c r="G610" s="16" t="s">
        <v>635</v>
      </c>
      <c r="H610" s="34">
        <v>100</v>
      </c>
      <c r="I610" s="34" t="s">
        <v>87</v>
      </c>
      <c r="J610" s="34" t="s">
        <v>3</v>
      </c>
      <c r="K610" s="35" t="s">
        <v>8</v>
      </c>
      <c r="L610" s="36" t="e">
        <f>VLOOKUP(G610,#REF!,4,0)</f>
        <v>#REF!</v>
      </c>
      <c r="M610" s="37" t="e">
        <f>_xlfn.IFNA(VLOOKUP(G610,#REF!,2,0),"")</f>
        <v>#REF!</v>
      </c>
      <c r="N610" s="38" t="e">
        <f>_xlfn.IFNA(VLOOKUP(G610,#REF!,3,0),"")</f>
        <v>#REF!</v>
      </c>
      <c r="O610" s="39">
        <v>5</v>
      </c>
      <c r="P610" s="79">
        <v>69.230769230769226</v>
      </c>
      <c r="Q610" s="39" t="s">
        <v>10</v>
      </c>
      <c r="R610" s="34">
        <v>7.1</v>
      </c>
      <c r="S610" s="48">
        <v>200</v>
      </c>
      <c r="T610" s="40">
        <v>76.92307692307692</v>
      </c>
      <c r="U610" s="41">
        <f t="shared" si="71"/>
        <v>568.46153846153845</v>
      </c>
      <c r="V610" s="42">
        <f t="shared" si="72"/>
        <v>5.6846153846153848</v>
      </c>
      <c r="W610" s="43">
        <f t="shared" si="73"/>
        <v>0.84845005740528134</v>
      </c>
      <c r="X610" s="38"/>
      <c r="Y610" s="38"/>
      <c r="Z610" s="44"/>
      <c r="AA610" s="45">
        <v>46157</v>
      </c>
      <c r="AB610" s="45">
        <v>46179</v>
      </c>
      <c r="AC610" s="45"/>
      <c r="AD610" s="46" t="e">
        <f>IF(ISNA(VLOOKUP(D610,#REF!,5,0)),0,VLOOKUP(D610,#REF!,5,0))</f>
        <v>#REF!</v>
      </c>
      <c r="AE610" s="46" t="e">
        <f t="shared" si="75"/>
        <v>#REF!</v>
      </c>
      <c r="AF610" s="45"/>
      <c r="AG610" s="76">
        <f t="shared" si="74"/>
        <v>-46157</v>
      </c>
      <c r="AH610" s="45"/>
      <c r="AI610" s="39"/>
      <c r="AJ610" s="39"/>
      <c r="AK610" s="39"/>
      <c r="AL610" s="35"/>
      <c r="AM610" s="34"/>
      <c r="AN610" s="34"/>
      <c r="AO610" s="39"/>
      <c r="AP610" s="47"/>
      <c r="AQ610" s="47"/>
      <c r="AR610" s="47"/>
      <c r="AS610" s="47"/>
    </row>
    <row r="611" spans="1:45" ht="12" customHeight="1" x14ac:dyDescent="0.25">
      <c r="A611" s="33">
        <v>610</v>
      </c>
      <c r="B611" s="34"/>
      <c r="C611" s="34" t="s">
        <v>177</v>
      </c>
      <c r="D611" s="35" t="s">
        <v>722</v>
      </c>
      <c r="E611" s="34" t="s">
        <v>470</v>
      </c>
      <c r="F611" s="34" t="s">
        <v>0</v>
      </c>
      <c r="G611" s="16" t="s">
        <v>634</v>
      </c>
      <c r="H611" s="34">
        <v>100</v>
      </c>
      <c r="I611" s="34" t="s">
        <v>87</v>
      </c>
      <c r="J611" s="34" t="s">
        <v>3</v>
      </c>
      <c r="K611" s="35" t="s">
        <v>8</v>
      </c>
      <c r="L611" s="36" t="e">
        <f>VLOOKUP(G611,#REF!,4,0)</f>
        <v>#REF!</v>
      </c>
      <c r="M611" s="37" t="e">
        <f>_xlfn.IFNA(VLOOKUP(G611,#REF!,2,0),"")</f>
        <v>#REF!</v>
      </c>
      <c r="N611" s="38" t="e">
        <f>_xlfn.IFNA(VLOOKUP(G611,#REF!,3,0),"")</f>
        <v>#REF!</v>
      </c>
      <c r="O611" s="39">
        <v>5</v>
      </c>
      <c r="P611" s="79">
        <v>69.230769230769226</v>
      </c>
      <c r="Q611" s="39" t="s">
        <v>10</v>
      </c>
      <c r="R611" s="34">
        <v>7.1</v>
      </c>
      <c r="S611" s="38"/>
      <c r="T611" s="40">
        <v>76.92307692307692</v>
      </c>
      <c r="U611" s="41">
        <f t="shared" si="71"/>
        <v>568.46153846153845</v>
      </c>
      <c r="V611" s="42">
        <f t="shared" si="72"/>
        <v>5.6846153846153848</v>
      </c>
      <c r="W611" s="43">
        <f t="shared" si="73"/>
        <v>0.84845005740528134</v>
      </c>
      <c r="X611" s="38"/>
      <c r="Y611" s="38"/>
      <c r="Z611" s="44"/>
      <c r="AA611" s="45">
        <v>46157</v>
      </c>
      <c r="AB611" s="45">
        <v>46179</v>
      </c>
      <c r="AC611" s="45"/>
      <c r="AD611" s="46" t="e">
        <f>IF(ISNA(VLOOKUP(D611,#REF!,5,0)),0,VLOOKUP(D611,#REF!,5,0))</f>
        <v>#REF!</v>
      </c>
      <c r="AE611" s="46" t="e">
        <f t="shared" si="75"/>
        <v>#REF!</v>
      </c>
      <c r="AF611" s="45"/>
      <c r="AG611" s="76">
        <f t="shared" si="74"/>
        <v>-46157</v>
      </c>
      <c r="AH611" s="45"/>
      <c r="AI611" s="39"/>
      <c r="AJ611" s="39"/>
      <c r="AK611" s="39"/>
      <c r="AL611" s="35"/>
      <c r="AM611" s="34"/>
      <c r="AN611" s="34"/>
      <c r="AO611" s="39"/>
      <c r="AP611" s="47"/>
      <c r="AQ611" s="47"/>
      <c r="AR611" s="47"/>
      <c r="AS611" s="47"/>
    </row>
    <row r="612" spans="1:45" ht="12" customHeight="1" x14ac:dyDescent="0.25">
      <c r="A612" s="33">
        <v>611</v>
      </c>
      <c r="B612" s="34"/>
      <c r="C612" s="34" t="s">
        <v>723</v>
      </c>
      <c r="D612" s="35" t="s">
        <v>724</v>
      </c>
      <c r="E612" s="34" t="s">
        <v>470</v>
      </c>
      <c r="F612" s="34" t="s">
        <v>0</v>
      </c>
      <c r="G612" s="16" t="s">
        <v>419</v>
      </c>
      <c r="H612" s="34">
        <v>180</v>
      </c>
      <c r="I612" s="34" t="s">
        <v>66</v>
      </c>
      <c r="J612" s="34" t="s">
        <v>3</v>
      </c>
      <c r="K612" s="35" t="s">
        <v>18</v>
      </c>
      <c r="L612" s="36" t="e">
        <f>VLOOKUP(G612,#REF!,4,0)</f>
        <v>#REF!</v>
      </c>
      <c r="M612" s="37" t="e">
        <f>_xlfn.IFNA(VLOOKUP(G612,#REF!,2,0),"")</f>
        <v>#REF!</v>
      </c>
      <c r="N612" s="38" t="e">
        <f>_xlfn.IFNA(VLOOKUP(G612,#REF!,3,0),"")</f>
        <v>#REF!</v>
      </c>
      <c r="O612" s="39">
        <v>20</v>
      </c>
      <c r="P612" s="79">
        <v>298.64</v>
      </c>
      <c r="Q612" s="39" t="s">
        <v>10</v>
      </c>
      <c r="R612" s="34">
        <v>4.2</v>
      </c>
      <c r="S612" s="38">
        <v>200</v>
      </c>
      <c r="T612" s="40">
        <v>90.909090909090907</v>
      </c>
      <c r="U612" s="41">
        <f t="shared" si="71"/>
        <v>1345.197090909091</v>
      </c>
      <c r="V612" s="42">
        <f t="shared" si="72"/>
        <v>7.4733171717171718</v>
      </c>
      <c r="W612" s="43">
        <f t="shared" si="73"/>
        <v>1.1154204733906226</v>
      </c>
      <c r="X612" s="38"/>
      <c r="Y612" s="38"/>
      <c r="Z612" s="44"/>
      <c r="AA612" s="45">
        <v>46157</v>
      </c>
      <c r="AB612" s="45">
        <v>46180</v>
      </c>
      <c r="AC612" s="45"/>
      <c r="AD612" s="46" t="e">
        <f>IF(ISNA(VLOOKUP(D612,#REF!,5,0)),0,VLOOKUP(D612,#REF!,5,0))</f>
        <v>#REF!</v>
      </c>
      <c r="AE612" s="46" t="e">
        <f t="shared" si="75"/>
        <v>#REF!</v>
      </c>
      <c r="AF612" s="45"/>
      <c r="AG612" s="76">
        <f t="shared" si="74"/>
        <v>-46157</v>
      </c>
      <c r="AH612" s="45"/>
      <c r="AI612" s="39"/>
      <c r="AJ612" s="39"/>
      <c r="AK612" s="39"/>
      <c r="AL612" s="35"/>
      <c r="AM612" s="34"/>
      <c r="AN612" s="34"/>
      <c r="AO612" s="39"/>
      <c r="AP612" s="47"/>
      <c r="AQ612" s="47"/>
      <c r="AR612" s="47"/>
      <c r="AS612" s="47"/>
    </row>
    <row r="613" spans="1:45" ht="12" customHeight="1" x14ac:dyDescent="0.25">
      <c r="A613" s="33">
        <v>612</v>
      </c>
      <c r="B613" s="34"/>
      <c r="C613" s="34" t="s">
        <v>723</v>
      </c>
      <c r="D613" s="35" t="s">
        <v>725</v>
      </c>
      <c r="E613" s="34" t="s">
        <v>470</v>
      </c>
      <c r="F613" s="34" t="s">
        <v>0</v>
      </c>
      <c r="G613" s="16" t="s">
        <v>294</v>
      </c>
      <c r="H613" s="34">
        <v>216</v>
      </c>
      <c r="I613" s="34" t="s">
        <v>66</v>
      </c>
      <c r="J613" s="34" t="s">
        <v>3</v>
      </c>
      <c r="K613" s="35" t="s">
        <v>18</v>
      </c>
      <c r="L613" s="36" t="e">
        <f>VLOOKUP(G613,#REF!,4,0)</f>
        <v>#REF!</v>
      </c>
      <c r="M613" s="37" t="e">
        <f>_xlfn.IFNA(VLOOKUP(G613,#REF!,2,0),"")</f>
        <v>#REF!</v>
      </c>
      <c r="N613" s="38" t="e">
        <f>_xlfn.IFNA(VLOOKUP(G613,#REF!,3,0),"")</f>
        <v>#REF!</v>
      </c>
      <c r="O613" s="39">
        <v>24</v>
      </c>
      <c r="P613" s="79">
        <v>358.36</v>
      </c>
      <c r="Q613" s="39" t="s">
        <v>10</v>
      </c>
      <c r="R613" s="34">
        <v>4.2</v>
      </c>
      <c r="S613" s="48">
        <v>200</v>
      </c>
      <c r="T613" s="40">
        <v>109.09090909090909</v>
      </c>
      <c r="U613" s="41">
        <f t="shared" si="71"/>
        <v>1614.2029090909091</v>
      </c>
      <c r="V613" s="42">
        <f t="shared" si="72"/>
        <v>7.4731616161616161</v>
      </c>
      <c r="W613" s="43">
        <f t="shared" si="73"/>
        <v>1.1153972561435248</v>
      </c>
      <c r="X613" s="38"/>
      <c r="Y613" s="38"/>
      <c r="Z613" s="44"/>
      <c r="AA613" s="45">
        <v>46157</v>
      </c>
      <c r="AB613" s="45">
        <v>46180</v>
      </c>
      <c r="AC613" s="45"/>
      <c r="AD613" s="46" t="e">
        <f>IF(ISNA(VLOOKUP(D613,#REF!,5,0)),0,VLOOKUP(D613,#REF!,5,0))</f>
        <v>#REF!</v>
      </c>
      <c r="AE613" s="46" t="e">
        <f t="shared" si="75"/>
        <v>#REF!</v>
      </c>
      <c r="AF613" s="45"/>
      <c r="AG613" s="76">
        <f t="shared" si="74"/>
        <v>-46157</v>
      </c>
      <c r="AH613" s="45"/>
      <c r="AI613" s="39"/>
      <c r="AJ613" s="39"/>
      <c r="AK613" s="39"/>
      <c r="AL613" s="35"/>
      <c r="AM613" s="34"/>
      <c r="AN613" s="34"/>
      <c r="AO613" s="39"/>
      <c r="AP613" s="47"/>
      <c r="AQ613" s="47"/>
      <c r="AR613" s="47"/>
      <c r="AS613" s="47"/>
    </row>
    <row r="614" spans="1:45" ht="12" customHeight="1" x14ac:dyDescent="0.25">
      <c r="A614" s="33">
        <v>613</v>
      </c>
      <c r="B614" s="34"/>
      <c r="C614" s="34" t="s">
        <v>726</v>
      </c>
      <c r="D614" s="35" t="s">
        <v>727</v>
      </c>
      <c r="E614" s="34" t="s">
        <v>470</v>
      </c>
      <c r="F614" s="34" t="s">
        <v>0</v>
      </c>
      <c r="G614" s="16" t="s">
        <v>274</v>
      </c>
      <c r="H614" s="34">
        <v>60</v>
      </c>
      <c r="I614" s="34" t="s">
        <v>66</v>
      </c>
      <c r="J614" s="34" t="s">
        <v>263</v>
      </c>
      <c r="K614" s="35" t="s">
        <v>16</v>
      </c>
      <c r="L614" s="36" t="e">
        <f>VLOOKUP(G614,#REF!,4,0)</f>
        <v>#REF!</v>
      </c>
      <c r="M614" s="37" t="e">
        <f>_xlfn.IFNA(VLOOKUP(G614,#REF!,2,0),"")</f>
        <v>#REF!</v>
      </c>
      <c r="N614" s="38" t="e">
        <f>_xlfn.IFNA(VLOOKUP(G614,#REF!,3,0),"")</f>
        <v>#REF!</v>
      </c>
      <c r="O614" s="39">
        <v>10</v>
      </c>
      <c r="P614" s="79">
        <v>158</v>
      </c>
      <c r="Q614" s="39" t="s">
        <v>10</v>
      </c>
      <c r="R614" s="34">
        <v>6.6</v>
      </c>
      <c r="S614" s="38">
        <v>200</v>
      </c>
      <c r="T614" s="40">
        <v>200</v>
      </c>
      <c r="U614" s="41">
        <f t="shared" si="71"/>
        <v>1242.8</v>
      </c>
      <c r="V614" s="42">
        <f t="shared" si="72"/>
        <v>20.713333333333331</v>
      </c>
      <c r="W614" s="43">
        <f t="shared" si="73"/>
        <v>3.0915422885572137</v>
      </c>
      <c r="X614" s="38"/>
      <c r="Y614" s="38"/>
      <c r="Z614" s="44"/>
      <c r="AA614" s="45">
        <v>46158</v>
      </c>
      <c r="AB614" s="45">
        <v>46183</v>
      </c>
      <c r="AC614" s="45"/>
      <c r="AD614" s="46" t="e">
        <f>IF(ISNA(VLOOKUP(D614,#REF!,5,0)),0,VLOOKUP(D614,#REF!,5,0))</f>
        <v>#REF!</v>
      </c>
      <c r="AE614" s="46" t="e">
        <f t="shared" si="75"/>
        <v>#REF!</v>
      </c>
      <c r="AF614" s="45"/>
      <c r="AG614" s="76">
        <f t="shared" si="74"/>
        <v>-46158</v>
      </c>
      <c r="AH614" s="45"/>
      <c r="AI614" s="39"/>
      <c r="AJ614" s="39"/>
      <c r="AK614" s="39"/>
      <c r="AL614" s="35"/>
      <c r="AM614" s="34"/>
      <c r="AN614" s="34"/>
      <c r="AO614" s="39"/>
      <c r="AP614" s="47"/>
      <c r="AQ614" s="47"/>
      <c r="AR614" s="47"/>
      <c r="AS614" s="47"/>
    </row>
    <row r="615" spans="1:45" ht="12" customHeight="1" x14ac:dyDescent="0.25">
      <c r="A615" s="33">
        <v>614</v>
      </c>
      <c r="B615" s="34"/>
      <c r="C615" s="34" t="s">
        <v>728</v>
      </c>
      <c r="D615" s="35" t="s">
        <v>729</v>
      </c>
      <c r="E615" s="34" t="s">
        <v>470</v>
      </c>
      <c r="F615" s="34" t="s">
        <v>0</v>
      </c>
      <c r="G615" s="16" t="s">
        <v>274</v>
      </c>
      <c r="H615" s="34">
        <v>60</v>
      </c>
      <c r="I615" s="34" t="s">
        <v>66</v>
      </c>
      <c r="J615" s="34" t="s">
        <v>263</v>
      </c>
      <c r="K615" s="35" t="s">
        <v>730</v>
      </c>
      <c r="L615" s="36" t="e">
        <f>VLOOKUP(G615,#REF!,4,0)</f>
        <v>#REF!</v>
      </c>
      <c r="M615" s="37" t="e">
        <f>_xlfn.IFNA(VLOOKUP(G615,#REF!,2,0),"")</f>
        <v>#REF!</v>
      </c>
      <c r="N615" s="38" t="e">
        <f>_xlfn.IFNA(VLOOKUP(G615,#REF!,3,0),"")</f>
        <v>#REF!</v>
      </c>
      <c r="O615" s="39">
        <v>10</v>
      </c>
      <c r="P615" s="79">
        <v>158</v>
      </c>
      <c r="Q615" s="39" t="s">
        <v>10</v>
      </c>
      <c r="R615" s="34">
        <v>5.9</v>
      </c>
      <c r="S615" s="38">
        <v>200</v>
      </c>
      <c r="T615" s="40">
        <v>200</v>
      </c>
      <c r="U615" s="41">
        <f t="shared" si="71"/>
        <v>1132.2</v>
      </c>
      <c r="V615" s="42">
        <f t="shared" si="72"/>
        <v>18.87</v>
      </c>
      <c r="W615" s="43">
        <f t="shared" si="73"/>
        <v>2.8164179104477611</v>
      </c>
      <c r="X615" s="38"/>
      <c r="Y615" s="38"/>
      <c r="Z615" s="44"/>
      <c r="AA615" s="45">
        <v>46158</v>
      </c>
      <c r="AB615" s="45">
        <v>46200</v>
      </c>
      <c r="AC615" s="45"/>
      <c r="AD615" s="46" t="e">
        <f>IF(ISNA(VLOOKUP(D615,#REF!,5,0)),0,VLOOKUP(D615,#REF!,5,0))</f>
        <v>#REF!</v>
      </c>
      <c r="AE615" s="46" t="e">
        <f t="shared" si="75"/>
        <v>#REF!</v>
      </c>
      <c r="AF615" s="45"/>
      <c r="AG615" s="76">
        <f t="shared" si="74"/>
        <v>-46158</v>
      </c>
      <c r="AH615" s="45"/>
      <c r="AI615" s="39"/>
      <c r="AJ615" s="39"/>
      <c r="AK615" s="39"/>
      <c r="AL615" s="35"/>
      <c r="AM615" s="34"/>
      <c r="AN615" s="34"/>
      <c r="AO615" s="39"/>
      <c r="AP615" s="47"/>
      <c r="AQ615" s="47"/>
      <c r="AR615" s="47"/>
      <c r="AS615" s="47"/>
    </row>
    <row r="616" spans="1:45" ht="12" customHeight="1" x14ac:dyDescent="0.25">
      <c r="A616" s="33">
        <v>615</v>
      </c>
      <c r="B616" s="34"/>
      <c r="C616" s="34" t="s">
        <v>731</v>
      </c>
      <c r="D616" s="35" t="s">
        <v>732</v>
      </c>
      <c r="E616" s="34" t="s">
        <v>470</v>
      </c>
      <c r="F616" s="34" t="s">
        <v>0</v>
      </c>
      <c r="G616" s="16" t="s">
        <v>274</v>
      </c>
      <c r="H616" s="34">
        <v>60</v>
      </c>
      <c r="I616" s="34" t="s">
        <v>66</v>
      </c>
      <c r="J616" s="34" t="s">
        <v>3</v>
      </c>
      <c r="K616" s="35" t="s">
        <v>411</v>
      </c>
      <c r="L616" s="36" t="e">
        <f>VLOOKUP(G616,#REF!,4,0)</f>
        <v>#REF!</v>
      </c>
      <c r="M616" s="37" t="e">
        <f>_xlfn.IFNA(VLOOKUP(G616,#REF!,2,0),"")</f>
        <v>#REF!</v>
      </c>
      <c r="N616" s="38" t="e">
        <f>_xlfn.IFNA(VLOOKUP(G616,#REF!,3,0),"")</f>
        <v>#REF!</v>
      </c>
      <c r="O616" s="39">
        <v>10</v>
      </c>
      <c r="P616" s="79">
        <v>158</v>
      </c>
      <c r="Q616" s="39" t="s">
        <v>10</v>
      </c>
      <c r="R616" s="34">
        <v>5.0999999999999996</v>
      </c>
      <c r="S616" s="38">
        <v>200</v>
      </c>
      <c r="T616" s="40">
        <v>200</v>
      </c>
      <c r="U616" s="41">
        <f t="shared" si="71"/>
        <v>1005.8</v>
      </c>
      <c r="V616" s="42">
        <f t="shared" si="72"/>
        <v>16.763333333333332</v>
      </c>
      <c r="W616" s="43">
        <f t="shared" si="73"/>
        <v>2.5019900497512433</v>
      </c>
      <c r="X616" s="38"/>
      <c r="Y616" s="38"/>
      <c r="Z616" s="44"/>
      <c r="AA616" s="45">
        <v>46158</v>
      </c>
      <c r="AB616" s="45">
        <v>46180</v>
      </c>
      <c r="AC616" s="45"/>
      <c r="AD616" s="46" t="e">
        <f>IF(ISNA(VLOOKUP(D616,#REF!,5,0)),0,VLOOKUP(D616,#REF!,5,0))</f>
        <v>#REF!</v>
      </c>
      <c r="AE616" s="46" t="e">
        <f t="shared" si="75"/>
        <v>#REF!</v>
      </c>
      <c r="AF616" s="45"/>
      <c r="AG616" s="76">
        <f t="shared" si="74"/>
        <v>-46158</v>
      </c>
      <c r="AH616" s="45"/>
      <c r="AI616" s="39"/>
      <c r="AJ616" s="39"/>
      <c r="AK616" s="39"/>
      <c r="AL616" s="35"/>
      <c r="AM616" s="34"/>
      <c r="AN616" s="34"/>
      <c r="AO616" s="39"/>
      <c r="AP616" s="47"/>
      <c r="AQ616" s="47"/>
      <c r="AR616" s="47"/>
      <c r="AS616" s="47"/>
    </row>
    <row r="617" spans="1:45" ht="12" customHeight="1" x14ac:dyDescent="0.25">
      <c r="A617" s="33">
        <v>616</v>
      </c>
      <c r="B617" s="34"/>
      <c r="C617" s="34" t="s">
        <v>733</v>
      </c>
      <c r="D617" s="35" t="s">
        <v>734</v>
      </c>
      <c r="E617" s="34" t="s">
        <v>470</v>
      </c>
      <c r="F617" s="34" t="s">
        <v>0</v>
      </c>
      <c r="G617" s="16" t="s">
        <v>274</v>
      </c>
      <c r="H617" s="34">
        <v>60</v>
      </c>
      <c r="I617" s="34" t="s">
        <v>66</v>
      </c>
      <c r="J617" s="34" t="s">
        <v>262</v>
      </c>
      <c r="K617" s="35" t="s">
        <v>625</v>
      </c>
      <c r="L617" s="36" t="e">
        <f>VLOOKUP(G617,#REF!,4,0)</f>
        <v>#REF!</v>
      </c>
      <c r="M617" s="37" t="e">
        <f>_xlfn.IFNA(VLOOKUP(G617,#REF!,2,0),"")</f>
        <v>#REF!</v>
      </c>
      <c r="N617" s="38" t="e">
        <f>_xlfn.IFNA(VLOOKUP(G617,#REF!,3,0),"")</f>
        <v>#REF!</v>
      </c>
      <c r="O617" s="39">
        <v>10</v>
      </c>
      <c r="P617" s="79">
        <v>158</v>
      </c>
      <c r="Q617" s="39" t="s">
        <v>10</v>
      </c>
      <c r="R617" s="34">
        <v>5.4</v>
      </c>
      <c r="S617" s="38">
        <v>200</v>
      </c>
      <c r="T617" s="40">
        <v>200</v>
      </c>
      <c r="U617" s="41">
        <f t="shared" si="71"/>
        <v>1053.2</v>
      </c>
      <c r="V617" s="42">
        <f t="shared" si="72"/>
        <v>17.553333333333335</v>
      </c>
      <c r="W617" s="43">
        <f t="shared" si="73"/>
        <v>2.6199004975124378</v>
      </c>
      <c r="X617" s="38"/>
      <c r="Y617" s="38"/>
      <c r="Z617" s="44"/>
      <c r="AA617" s="45">
        <v>46158</v>
      </c>
      <c r="AB617" s="45">
        <v>46196</v>
      </c>
      <c r="AC617" s="45"/>
      <c r="AD617" s="46" t="e">
        <f>IF(ISNA(VLOOKUP(D617,#REF!,5,0)),0,VLOOKUP(D617,#REF!,5,0))</f>
        <v>#REF!</v>
      </c>
      <c r="AE617" s="46" t="e">
        <f t="shared" si="75"/>
        <v>#REF!</v>
      </c>
      <c r="AF617" s="45"/>
      <c r="AG617" s="76">
        <f t="shared" si="74"/>
        <v>-46158</v>
      </c>
      <c r="AH617" s="45"/>
      <c r="AI617" s="39"/>
      <c r="AJ617" s="39"/>
      <c r="AK617" s="39"/>
      <c r="AL617" s="35"/>
      <c r="AM617" s="34"/>
      <c r="AN617" s="34"/>
      <c r="AO617" s="39"/>
      <c r="AP617" s="47"/>
      <c r="AQ617" s="47"/>
      <c r="AR617" s="47"/>
      <c r="AS617" s="47"/>
    </row>
    <row r="618" spans="1:45" ht="12" customHeight="1" x14ac:dyDescent="0.25">
      <c r="A618" s="33">
        <v>617</v>
      </c>
      <c r="B618" s="34"/>
      <c r="C618" s="34" t="s">
        <v>735</v>
      </c>
      <c r="D618" s="35" t="s">
        <v>736</v>
      </c>
      <c r="E618" s="34" t="s">
        <v>470</v>
      </c>
      <c r="F618" s="34" t="s">
        <v>0</v>
      </c>
      <c r="G618" s="16" t="s">
        <v>274</v>
      </c>
      <c r="H618" s="34">
        <v>60</v>
      </c>
      <c r="I618" s="34" t="s">
        <v>66</v>
      </c>
      <c r="J618" s="34" t="s">
        <v>262</v>
      </c>
      <c r="K618" s="35" t="s">
        <v>382</v>
      </c>
      <c r="L618" s="36" t="e">
        <f>VLOOKUP(G618,#REF!,4,0)</f>
        <v>#REF!</v>
      </c>
      <c r="M618" s="37" t="e">
        <f>_xlfn.IFNA(VLOOKUP(G618,#REF!,2,0),"")</f>
        <v>#REF!</v>
      </c>
      <c r="N618" s="38" t="e">
        <f>_xlfn.IFNA(VLOOKUP(G618,#REF!,3,0),"")</f>
        <v>#REF!</v>
      </c>
      <c r="O618" s="39">
        <v>10</v>
      </c>
      <c r="P618" s="79">
        <v>158</v>
      </c>
      <c r="Q618" s="39" t="s">
        <v>10</v>
      </c>
      <c r="R618" s="34">
        <v>6.3</v>
      </c>
      <c r="S618" s="38">
        <v>200</v>
      </c>
      <c r="T618" s="40">
        <v>200</v>
      </c>
      <c r="U618" s="41">
        <f t="shared" si="71"/>
        <v>1195.4000000000001</v>
      </c>
      <c r="V618" s="42">
        <f t="shared" si="72"/>
        <v>19.923333333333336</v>
      </c>
      <c r="W618" s="43">
        <f t="shared" si="73"/>
        <v>2.9736318407960201</v>
      </c>
      <c r="X618" s="38"/>
      <c r="Y618" s="38"/>
      <c r="Z618" s="44"/>
      <c r="AA618" s="45">
        <v>46158</v>
      </c>
      <c r="AB618" s="45">
        <v>46198</v>
      </c>
      <c r="AC618" s="45"/>
      <c r="AD618" s="46" t="e">
        <f>IF(ISNA(VLOOKUP(D618,#REF!,5,0)),0,VLOOKUP(D618,#REF!,5,0))</f>
        <v>#REF!</v>
      </c>
      <c r="AE618" s="46" t="e">
        <f t="shared" si="75"/>
        <v>#REF!</v>
      </c>
      <c r="AF618" s="45"/>
      <c r="AG618" s="76">
        <f t="shared" si="74"/>
        <v>-46158</v>
      </c>
      <c r="AH618" s="45"/>
      <c r="AI618" s="39"/>
      <c r="AJ618" s="39"/>
      <c r="AK618" s="39"/>
      <c r="AL618" s="35"/>
      <c r="AM618" s="34"/>
      <c r="AN618" s="34"/>
      <c r="AO618" s="39"/>
      <c r="AP618" s="47"/>
      <c r="AQ618" s="47"/>
      <c r="AR618" s="47"/>
      <c r="AS618" s="47"/>
    </row>
    <row r="619" spans="1:45" ht="12" customHeight="1" x14ac:dyDescent="0.25">
      <c r="A619" s="33">
        <v>618</v>
      </c>
      <c r="B619" s="34"/>
      <c r="C619" s="34" t="s">
        <v>740</v>
      </c>
      <c r="D619" s="35" t="s">
        <v>741</v>
      </c>
      <c r="E619" s="34" t="s">
        <v>61</v>
      </c>
      <c r="F619" s="34" t="s">
        <v>0</v>
      </c>
      <c r="G619" s="16" t="s">
        <v>67</v>
      </c>
      <c r="H619" s="34">
        <v>96</v>
      </c>
      <c r="I619" s="34" t="s">
        <v>54</v>
      </c>
      <c r="J619" s="34" t="s">
        <v>3</v>
      </c>
      <c r="K619" s="35" t="s">
        <v>15</v>
      </c>
      <c r="L619" s="36" t="e">
        <f>VLOOKUP(G619,#REF!,4,0)</f>
        <v>#REF!</v>
      </c>
      <c r="M619" s="37" t="e">
        <f>_xlfn.IFNA(VLOOKUP(G619,#REF!,2,0),"")</f>
        <v>#REF!</v>
      </c>
      <c r="N619" s="38" t="e">
        <f>_xlfn.IFNA(VLOOKUP(G619,#REF!,3,0),"")</f>
        <v>#REF!</v>
      </c>
      <c r="O619" s="39">
        <v>6</v>
      </c>
      <c r="P619" s="79">
        <v>75.75</v>
      </c>
      <c r="Q619" s="39" t="s">
        <v>10</v>
      </c>
      <c r="R619" s="34">
        <v>5.3</v>
      </c>
      <c r="S619" s="38">
        <v>200</v>
      </c>
      <c r="T619" s="40">
        <v>16</v>
      </c>
      <c r="U619" s="41">
        <f t="shared" ref="U619:U657" si="76">R619*P619+T619</f>
        <v>417.47499999999997</v>
      </c>
      <c r="V619" s="42">
        <f t="shared" ref="V619:V657" si="77">U619/H619</f>
        <v>4.3486979166666666</v>
      </c>
      <c r="W619" s="43">
        <f t="shared" ref="W619:W657" si="78">V619/6.7</f>
        <v>0.64905939054726369</v>
      </c>
      <c r="X619" s="38"/>
      <c r="Y619" s="38"/>
      <c r="Z619" s="44"/>
      <c r="AA619" s="45">
        <v>46164</v>
      </c>
      <c r="AB619" s="45">
        <v>46186</v>
      </c>
      <c r="AC619" s="45"/>
      <c r="AD619" s="46" t="e">
        <f>IF(ISNA(VLOOKUP(D619,#REF!,5,0)),0,VLOOKUP(D619,#REF!,5,0))</f>
        <v>#REF!</v>
      </c>
      <c r="AE619" s="46" t="e">
        <f t="shared" si="75"/>
        <v>#REF!</v>
      </c>
      <c r="AF619" s="45"/>
      <c r="AG619" s="76">
        <f t="shared" si="74"/>
        <v>-46164</v>
      </c>
      <c r="AH619" s="45"/>
      <c r="AI619" s="39"/>
      <c r="AJ619" s="39"/>
      <c r="AK619" s="39"/>
      <c r="AL619" s="35"/>
      <c r="AM619" s="34"/>
      <c r="AN619" s="34"/>
      <c r="AO619" s="39"/>
      <c r="AP619" s="47"/>
      <c r="AQ619" s="47"/>
      <c r="AR619" s="47"/>
      <c r="AS619" s="47"/>
    </row>
    <row r="620" spans="1:45" ht="12" customHeight="1" x14ac:dyDescent="0.25">
      <c r="A620" s="33">
        <f>ROW(A619)</f>
        <v>619</v>
      </c>
      <c r="B620" s="34"/>
      <c r="C620" s="34" t="s">
        <v>740</v>
      </c>
      <c r="D620" s="35" t="s">
        <v>741</v>
      </c>
      <c r="E620" s="34" t="s">
        <v>61</v>
      </c>
      <c r="F620" s="34" t="s">
        <v>0</v>
      </c>
      <c r="G620" s="16" t="s">
        <v>127</v>
      </c>
      <c r="H620" s="34">
        <v>32</v>
      </c>
      <c r="I620" s="34" t="s">
        <v>54</v>
      </c>
      <c r="J620" s="34" t="s">
        <v>3</v>
      </c>
      <c r="K620" s="35" t="s">
        <v>15</v>
      </c>
      <c r="L620" s="36" t="e">
        <f>VLOOKUP(G620,#REF!,4,0)</f>
        <v>#REF!</v>
      </c>
      <c r="M620" s="37" t="e">
        <f>_xlfn.IFNA(VLOOKUP(G620,#REF!,2,0),"")</f>
        <v>#REF!</v>
      </c>
      <c r="N620" s="38" t="e">
        <f>_xlfn.IFNA(VLOOKUP(G620,#REF!,3,0),"")</f>
        <v>#REF!</v>
      </c>
      <c r="O620" s="39">
        <v>2</v>
      </c>
      <c r="P620" s="79">
        <v>25.25</v>
      </c>
      <c r="Q620" s="39" t="s">
        <v>10</v>
      </c>
      <c r="R620" s="34">
        <v>5.3</v>
      </c>
      <c r="S620" s="38"/>
      <c r="T620" s="40">
        <v>5.333333333333333</v>
      </c>
      <c r="U620" s="41">
        <f t="shared" si="76"/>
        <v>139.15833333333333</v>
      </c>
      <c r="V620" s="42">
        <f t="shared" si="77"/>
        <v>4.3486979166666666</v>
      </c>
      <c r="W620" s="43">
        <f t="shared" si="78"/>
        <v>0.64905939054726369</v>
      </c>
      <c r="X620" s="38"/>
      <c r="Y620" s="38"/>
      <c r="Z620" s="44"/>
      <c r="AA620" s="45">
        <v>46164</v>
      </c>
      <c r="AB620" s="45">
        <v>46186</v>
      </c>
      <c r="AC620" s="45"/>
      <c r="AD620" s="46" t="e">
        <f>IF(ISNA(VLOOKUP(D620,#REF!,5,0)),0,VLOOKUP(D620,#REF!,5,0))</f>
        <v>#REF!</v>
      </c>
      <c r="AE620" s="46" t="e">
        <f t="shared" si="75"/>
        <v>#REF!</v>
      </c>
      <c r="AF620" s="45"/>
      <c r="AG620" s="76">
        <f t="shared" si="74"/>
        <v>-46164</v>
      </c>
      <c r="AH620" s="45"/>
      <c r="AI620" s="39"/>
      <c r="AJ620" s="39"/>
      <c r="AK620" s="39"/>
      <c r="AL620" s="35"/>
      <c r="AM620" s="34"/>
      <c r="AN620" s="34"/>
      <c r="AO620" s="39"/>
      <c r="AP620" s="47"/>
      <c r="AQ620" s="47"/>
      <c r="AR620" s="47"/>
      <c r="AS620" s="47"/>
    </row>
    <row r="621" spans="1:45" ht="12" customHeight="1" x14ac:dyDescent="0.25">
      <c r="A621" s="33">
        <f t="shared" ref="A621:A684" si="79">ROW(A620)</f>
        <v>620</v>
      </c>
      <c r="B621" s="34"/>
      <c r="C621" s="34" t="s">
        <v>742</v>
      </c>
      <c r="D621" s="35" t="s">
        <v>743</v>
      </c>
      <c r="E621" s="34" t="s">
        <v>470</v>
      </c>
      <c r="F621" s="34" t="s">
        <v>0</v>
      </c>
      <c r="G621" s="16" t="s">
        <v>434</v>
      </c>
      <c r="H621" s="34">
        <v>200</v>
      </c>
      <c r="I621" s="34" t="s">
        <v>66</v>
      </c>
      <c r="J621" s="34" t="s">
        <v>3</v>
      </c>
      <c r="K621" s="35" t="s">
        <v>22</v>
      </c>
      <c r="L621" s="36" t="e">
        <f>VLOOKUP(G621,#REF!,4,0)</f>
        <v>#REF!</v>
      </c>
      <c r="M621" s="37" t="e">
        <f>_xlfn.IFNA(VLOOKUP(G621,#REF!,2,0),"")</f>
        <v>#REF!</v>
      </c>
      <c r="N621" s="38" t="e">
        <f>_xlfn.IFNA(VLOOKUP(G621,#REF!,3,0),"")</f>
        <v>#REF!</v>
      </c>
      <c r="O621" s="39">
        <v>10</v>
      </c>
      <c r="P621" s="79">
        <v>139</v>
      </c>
      <c r="Q621" s="39" t="s">
        <v>10</v>
      </c>
      <c r="R621" s="34">
        <v>4.5</v>
      </c>
      <c r="S621" s="38">
        <v>200</v>
      </c>
      <c r="T621" s="40">
        <v>100</v>
      </c>
      <c r="U621" s="41">
        <f t="shared" si="76"/>
        <v>725.5</v>
      </c>
      <c r="V621" s="42">
        <f t="shared" si="77"/>
        <v>3.6274999999999999</v>
      </c>
      <c r="W621" s="43">
        <f t="shared" si="78"/>
        <v>0.54141791044776122</v>
      </c>
      <c r="X621" s="38"/>
      <c r="Y621" s="38"/>
      <c r="Z621" s="44"/>
      <c r="AA621" s="45">
        <v>46164</v>
      </c>
      <c r="AB621" s="45">
        <v>46185</v>
      </c>
      <c r="AC621" s="45"/>
      <c r="AD621" s="46" t="e">
        <f>IF(ISNA(VLOOKUP(D621,#REF!,5,0)),0,VLOOKUP(D621,#REF!,5,0))</f>
        <v>#REF!</v>
      </c>
      <c r="AE621" s="46" t="e">
        <f t="shared" si="75"/>
        <v>#REF!</v>
      </c>
      <c r="AF621" s="45"/>
      <c r="AG621" s="76">
        <f t="shared" si="74"/>
        <v>-46164</v>
      </c>
      <c r="AH621" s="45"/>
      <c r="AI621" s="39"/>
      <c r="AJ621" s="39"/>
      <c r="AK621" s="39"/>
      <c r="AL621" s="35"/>
      <c r="AM621" s="34"/>
      <c r="AN621" s="34"/>
      <c r="AO621" s="39"/>
      <c r="AP621" s="47"/>
      <c r="AQ621" s="47"/>
      <c r="AR621" s="47"/>
      <c r="AS621" s="47"/>
    </row>
    <row r="622" spans="1:45" ht="12" customHeight="1" x14ac:dyDescent="0.25">
      <c r="A622" s="33">
        <f t="shared" si="79"/>
        <v>621</v>
      </c>
      <c r="B622" s="34"/>
      <c r="C622" s="34" t="s">
        <v>193</v>
      </c>
      <c r="D622" s="35" t="s">
        <v>744</v>
      </c>
      <c r="E622" s="34" t="s">
        <v>51</v>
      </c>
      <c r="F622" s="34" t="s">
        <v>52</v>
      </c>
      <c r="G622" s="16" t="s">
        <v>65</v>
      </c>
      <c r="H622" s="34">
        <v>160</v>
      </c>
      <c r="I622" s="34" t="s">
        <v>54</v>
      </c>
      <c r="J622" s="34" t="s">
        <v>55</v>
      </c>
      <c r="K622" s="35" t="s">
        <v>105</v>
      </c>
      <c r="L622" s="36" t="e">
        <f>VLOOKUP(G622,#REF!,4,0)</f>
        <v>#REF!</v>
      </c>
      <c r="M622" s="37" t="e">
        <f>_xlfn.IFNA(VLOOKUP(G622,#REF!,2,0),"")</f>
        <v>#REF!</v>
      </c>
      <c r="N622" s="38" t="e">
        <f>_xlfn.IFNA(VLOOKUP(G622,#REF!,3,0),"")</f>
        <v>#REF!</v>
      </c>
      <c r="O622" s="39">
        <v>4</v>
      </c>
      <c r="P622" s="79">
        <v>60</v>
      </c>
      <c r="Q622" s="39" t="s">
        <v>10</v>
      </c>
      <c r="R622" s="34">
        <v>6</v>
      </c>
      <c r="S622" s="38">
        <v>200</v>
      </c>
      <c r="T622" s="40">
        <v>66.666666666666671</v>
      </c>
      <c r="U622" s="41">
        <f t="shared" si="76"/>
        <v>426.66666666666669</v>
      </c>
      <c r="V622" s="42">
        <f t="shared" si="77"/>
        <v>2.666666666666667</v>
      </c>
      <c r="W622" s="43">
        <f t="shared" si="78"/>
        <v>0.39800995024875624</v>
      </c>
      <c r="X622" s="38"/>
      <c r="Y622" s="38"/>
      <c r="Z622" s="44"/>
      <c r="AA622" s="45">
        <v>46164</v>
      </c>
      <c r="AB622" s="45">
        <v>46201</v>
      </c>
      <c r="AC622" s="45"/>
      <c r="AD622" s="46" t="e">
        <f>IF(ISNA(VLOOKUP(D622,#REF!,5,0)),0,VLOOKUP(D622,#REF!,5,0))</f>
        <v>#REF!</v>
      </c>
      <c r="AE622" s="46" t="e">
        <f t="shared" si="75"/>
        <v>#REF!</v>
      </c>
      <c r="AF622" s="45"/>
      <c r="AG622" s="76">
        <f t="shared" si="74"/>
        <v>-46164</v>
      </c>
      <c r="AH622" s="45"/>
      <c r="AI622" s="39"/>
      <c r="AJ622" s="39"/>
      <c r="AK622" s="39"/>
      <c r="AL622" s="35"/>
      <c r="AM622" s="34"/>
      <c r="AN622" s="34"/>
      <c r="AO622" s="39"/>
      <c r="AP622" s="47"/>
      <c r="AQ622" s="47"/>
      <c r="AR622" s="47"/>
      <c r="AS622" s="47"/>
    </row>
    <row r="623" spans="1:45" ht="12" customHeight="1" x14ac:dyDescent="0.25">
      <c r="A623" s="33">
        <f t="shared" si="79"/>
        <v>622</v>
      </c>
      <c r="B623" s="34"/>
      <c r="C623" s="34" t="s">
        <v>193</v>
      </c>
      <c r="D623" s="35" t="s">
        <v>744</v>
      </c>
      <c r="E623" s="34" t="s">
        <v>51</v>
      </c>
      <c r="F623" s="34" t="s">
        <v>52</v>
      </c>
      <c r="G623" s="16" t="s">
        <v>251</v>
      </c>
      <c r="H623" s="34">
        <v>150</v>
      </c>
      <c r="I623" s="34" t="s">
        <v>54</v>
      </c>
      <c r="J623" s="34" t="s">
        <v>55</v>
      </c>
      <c r="K623" s="35" t="s">
        <v>105</v>
      </c>
      <c r="L623" s="36" t="e">
        <f>VLOOKUP(G623,#REF!,4,0)</f>
        <v>#REF!</v>
      </c>
      <c r="M623" s="37" t="e">
        <f>_xlfn.IFNA(VLOOKUP(G623,#REF!,2,0),"")</f>
        <v>#REF!</v>
      </c>
      <c r="N623" s="38" t="e">
        <f>_xlfn.IFNA(VLOOKUP(G623,#REF!,3,0),"")</f>
        <v>#REF!</v>
      </c>
      <c r="O623" s="39">
        <v>5</v>
      </c>
      <c r="P623" s="79">
        <v>75</v>
      </c>
      <c r="Q623" s="39" t="s">
        <v>10</v>
      </c>
      <c r="R623" s="34">
        <v>6</v>
      </c>
      <c r="S623" s="48">
        <v>200</v>
      </c>
      <c r="T623" s="40">
        <v>83.333333333333329</v>
      </c>
      <c r="U623" s="41">
        <f t="shared" si="76"/>
        <v>533.33333333333337</v>
      </c>
      <c r="V623" s="42">
        <f t="shared" si="77"/>
        <v>3.5555555555555558</v>
      </c>
      <c r="W623" s="43">
        <f t="shared" si="78"/>
        <v>0.53067993366500832</v>
      </c>
      <c r="X623" s="38"/>
      <c r="Y623" s="38"/>
      <c r="Z623" s="44"/>
      <c r="AA623" s="45">
        <v>46164</v>
      </c>
      <c r="AB623" s="45">
        <v>46201</v>
      </c>
      <c r="AC623" s="45"/>
      <c r="AD623" s="46" t="e">
        <f>IF(ISNA(VLOOKUP(D623,#REF!,5,0)),0,VLOOKUP(D623,#REF!,5,0))</f>
        <v>#REF!</v>
      </c>
      <c r="AE623" s="46" t="e">
        <f t="shared" si="75"/>
        <v>#REF!</v>
      </c>
      <c r="AF623" s="45"/>
      <c r="AG623" s="76">
        <f t="shared" si="74"/>
        <v>-46164</v>
      </c>
      <c r="AH623" s="45"/>
      <c r="AI623" s="39"/>
      <c r="AJ623" s="39"/>
      <c r="AK623" s="39"/>
      <c r="AL623" s="35"/>
      <c r="AM623" s="34"/>
      <c r="AN623" s="34"/>
      <c r="AO623" s="39"/>
      <c r="AP623" s="47"/>
      <c r="AQ623" s="47"/>
      <c r="AR623" s="47"/>
      <c r="AS623" s="47"/>
    </row>
    <row r="624" spans="1:45" ht="12" customHeight="1" x14ac:dyDescent="0.25">
      <c r="A624" s="33">
        <f t="shared" si="79"/>
        <v>623</v>
      </c>
      <c r="B624" s="34"/>
      <c r="C624" s="34" t="s">
        <v>193</v>
      </c>
      <c r="D624" s="35" t="s">
        <v>744</v>
      </c>
      <c r="E624" s="34" t="s">
        <v>51</v>
      </c>
      <c r="F624" s="34" t="s">
        <v>52</v>
      </c>
      <c r="G624" s="16" t="s">
        <v>252</v>
      </c>
      <c r="H624" s="34">
        <v>90</v>
      </c>
      <c r="I624" s="34" t="s">
        <v>54</v>
      </c>
      <c r="J624" s="34" t="s">
        <v>55</v>
      </c>
      <c r="K624" s="35" t="s">
        <v>105</v>
      </c>
      <c r="L624" s="36" t="e">
        <f>VLOOKUP(G624,#REF!,4,0)</f>
        <v>#REF!</v>
      </c>
      <c r="M624" s="37" t="e">
        <f>_xlfn.IFNA(VLOOKUP(G624,#REF!,2,0),"")</f>
        <v>#REF!</v>
      </c>
      <c r="N624" s="38" t="e">
        <f>_xlfn.IFNA(VLOOKUP(G624,#REF!,3,0),"")</f>
        <v>#REF!</v>
      </c>
      <c r="O624" s="39">
        <v>3</v>
      </c>
      <c r="P624" s="79">
        <v>45</v>
      </c>
      <c r="Q624" s="39" t="s">
        <v>10</v>
      </c>
      <c r="R624" s="34">
        <v>6</v>
      </c>
      <c r="S624" s="38"/>
      <c r="T624" s="40">
        <v>50</v>
      </c>
      <c r="U624" s="41">
        <f t="shared" si="76"/>
        <v>320</v>
      </c>
      <c r="V624" s="42">
        <f t="shared" si="77"/>
        <v>3.5555555555555554</v>
      </c>
      <c r="W624" s="43">
        <f t="shared" si="78"/>
        <v>0.53067993366500821</v>
      </c>
      <c r="X624" s="38"/>
      <c r="Y624" s="38"/>
      <c r="Z624" s="44"/>
      <c r="AA624" s="45">
        <v>46164</v>
      </c>
      <c r="AB624" s="45">
        <v>46201</v>
      </c>
      <c r="AC624" s="45"/>
      <c r="AD624" s="46" t="e">
        <f>IF(ISNA(VLOOKUP(D624,#REF!,5,0)),0,VLOOKUP(D624,#REF!,5,0))</f>
        <v>#REF!</v>
      </c>
      <c r="AE624" s="46" t="e">
        <f t="shared" si="75"/>
        <v>#REF!</v>
      </c>
      <c r="AF624" s="45"/>
      <c r="AG624" s="76">
        <f t="shared" si="74"/>
        <v>-46164</v>
      </c>
      <c r="AH624" s="45"/>
      <c r="AI624" s="39"/>
      <c r="AJ624" s="39"/>
      <c r="AK624" s="39"/>
      <c r="AL624" s="35"/>
      <c r="AM624" s="34"/>
      <c r="AN624" s="34"/>
      <c r="AO624" s="39"/>
      <c r="AP624" s="47"/>
      <c r="AQ624" s="47"/>
      <c r="AR624" s="47"/>
      <c r="AS624" s="47"/>
    </row>
    <row r="625" spans="1:45" ht="12" customHeight="1" x14ac:dyDescent="0.25">
      <c r="A625" s="33">
        <f t="shared" si="79"/>
        <v>624</v>
      </c>
      <c r="B625" s="34"/>
      <c r="C625" s="34" t="s">
        <v>745</v>
      </c>
      <c r="D625" s="35" t="s">
        <v>746</v>
      </c>
      <c r="E625" s="34" t="s">
        <v>58</v>
      </c>
      <c r="F625" s="34" t="s">
        <v>0</v>
      </c>
      <c r="G625" s="16" t="s">
        <v>64</v>
      </c>
      <c r="H625" s="34">
        <v>800</v>
      </c>
      <c r="I625" s="34" t="s">
        <v>66</v>
      </c>
      <c r="J625" s="34" t="s">
        <v>3</v>
      </c>
      <c r="K625" s="35" t="s">
        <v>7</v>
      </c>
      <c r="L625" s="36" t="e">
        <f>VLOOKUP(G625,#REF!,4,0)</f>
        <v>#REF!</v>
      </c>
      <c r="M625" s="37" t="e">
        <f>_xlfn.IFNA(VLOOKUP(G625,#REF!,2,0),"")</f>
        <v>#REF!</v>
      </c>
      <c r="N625" s="38" t="e">
        <f>_xlfn.IFNA(VLOOKUP(G625,#REF!,3,0),"")</f>
        <v>#REF!</v>
      </c>
      <c r="O625" s="39">
        <v>20</v>
      </c>
      <c r="P625" s="79">
        <v>278.26086956521738</v>
      </c>
      <c r="Q625" s="39" t="s">
        <v>10</v>
      </c>
      <c r="R625" s="34">
        <v>4</v>
      </c>
      <c r="S625" s="38">
        <v>200</v>
      </c>
      <c r="T625" s="40">
        <v>43.956043956043956</v>
      </c>
      <c r="U625" s="41">
        <f t="shared" si="76"/>
        <v>1156.9995222169134</v>
      </c>
      <c r="V625" s="42">
        <f t="shared" si="77"/>
        <v>1.4462494027711417</v>
      </c>
      <c r="W625" s="43">
        <f t="shared" si="78"/>
        <v>0.21585811981658831</v>
      </c>
      <c r="X625" s="38"/>
      <c r="Y625" s="38"/>
      <c r="Z625" s="44"/>
      <c r="AA625" s="45">
        <v>46164</v>
      </c>
      <c r="AB625" s="45">
        <v>46185</v>
      </c>
      <c r="AC625" s="45"/>
      <c r="AD625" s="46" t="e">
        <f>IF(ISNA(VLOOKUP(D625,#REF!,5,0)),0,VLOOKUP(D625,#REF!,5,0))</f>
        <v>#REF!</v>
      </c>
      <c r="AE625" s="46" t="e">
        <f t="shared" si="75"/>
        <v>#REF!</v>
      </c>
      <c r="AF625" s="45"/>
      <c r="AG625" s="76">
        <f t="shared" si="74"/>
        <v>-46164</v>
      </c>
      <c r="AH625" s="45"/>
      <c r="AI625" s="39"/>
      <c r="AJ625" s="39"/>
      <c r="AK625" s="39"/>
      <c r="AL625" s="35"/>
      <c r="AM625" s="34"/>
      <c r="AN625" s="34"/>
      <c r="AO625" s="39"/>
      <c r="AP625" s="47"/>
      <c r="AQ625" s="47"/>
      <c r="AR625" s="47"/>
      <c r="AS625" s="47"/>
    </row>
    <row r="626" spans="1:45" ht="12" customHeight="1" x14ac:dyDescent="0.25">
      <c r="A626" s="33">
        <f t="shared" si="79"/>
        <v>625</v>
      </c>
      <c r="B626" s="34"/>
      <c r="C626" s="34" t="s">
        <v>745</v>
      </c>
      <c r="D626" s="35" t="s">
        <v>746</v>
      </c>
      <c r="E626" s="34" t="s">
        <v>58</v>
      </c>
      <c r="F626" s="34" t="s">
        <v>0</v>
      </c>
      <c r="G626" s="16" t="s">
        <v>65</v>
      </c>
      <c r="H626" s="34">
        <v>600</v>
      </c>
      <c r="I626" s="34" t="s">
        <v>66</v>
      </c>
      <c r="J626" s="34" t="s">
        <v>3</v>
      </c>
      <c r="K626" s="35" t="s">
        <v>7</v>
      </c>
      <c r="L626" s="36" t="e">
        <f>VLOOKUP(G626,#REF!,4,0)</f>
        <v>#REF!</v>
      </c>
      <c r="M626" s="37" t="e">
        <f>_xlfn.IFNA(VLOOKUP(G626,#REF!,2,0),"")</f>
        <v>#REF!</v>
      </c>
      <c r="N626" s="38" t="e">
        <f>_xlfn.IFNA(VLOOKUP(G626,#REF!,3,0),"")</f>
        <v>#REF!</v>
      </c>
      <c r="O626" s="39">
        <v>15</v>
      </c>
      <c r="P626" s="79">
        <v>208.69565217391303</v>
      </c>
      <c r="Q626" s="39" t="s">
        <v>10</v>
      </c>
      <c r="R626" s="34">
        <v>4</v>
      </c>
      <c r="S626" s="48">
        <v>200</v>
      </c>
      <c r="T626" s="40">
        <v>32.967032967032964</v>
      </c>
      <c r="U626" s="41">
        <f t="shared" si="76"/>
        <v>867.74964166268512</v>
      </c>
      <c r="V626" s="42">
        <f t="shared" si="77"/>
        <v>1.4462494027711419</v>
      </c>
      <c r="W626" s="43">
        <f t="shared" si="78"/>
        <v>0.21585811981658834</v>
      </c>
      <c r="X626" s="38"/>
      <c r="Y626" s="38"/>
      <c r="Z626" s="44"/>
      <c r="AA626" s="45">
        <v>46164</v>
      </c>
      <c r="AB626" s="45">
        <v>46185</v>
      </c>
      <c r="AC626" s="45"/>
      <c r="AD626" s="46" t="e">
        <f>IF(ISNA(VLOOKUP(D626,#REF!,5,0)),0,VLOOKUP(D626,#REF!,5,0))</f>
        <v>#REF!</v>
      </c>
      <c r="AE626" s="46" t="e">
        <f t="shared" si="75"/>
        <v>#REF!</v>
      </c>
      <c r="AF626" s="45"/>
      <c r="AG626" s="76">
        <f t="shared" si="74"/>
        <v>-46164</v>
      </c>
      <c r="AH626" s="45"/>
      <c r="AI626" s="39"/>
      <c r="AJ626" s="39"/>
      <c r="AK626" s="39"/>
      <c r="AL626" s="35"/>
      <c r="AM626" s="34"/>
      <c r="AN626" s="34"/>
      <c r="AO626" s="39"/>
      <c r="AP626" s="47"/>
      <c r="AQ626" s="47"/>
      <c r="AR626" s="47"/>
      <c r="AS626" s="47"/>
    </row>
    <row r="627" spans="1:45" ht="12" customHeight="1" x14ac:dyDescent="0.25">
      <c r="A627" s="33">
        <f t="shared" si="79"/>
        <v>626</v>
      </c>
      <c r="B627" s="34"/>
      <c r="C627" s="34" t="s">
        <v>745</v>
      </c>
      <c r="D627" s="35" t="s">
        <v>746</v>
      </c>
      <c r="E627" s="34" t="s">
        <v>58</v>
      </c>
      <c r="F627" s="34" t="s">
        <v>0</v>
      </c>
      <c r="G627" s="16" t="s">
        <v>135</v>
      </c>
      <c r="H627" s="34">
        <v>120</v>
      </c>
      <c r="I627" s="34" t="s">
        <v>66</v>
      </c>
      <c r="J627" s="34" t="s">
        <v>3</v>
      </c>
      <c r="K627" s="35" t="s">
        <v>7</v>
      </c>
      <c r="L627" s="36" t="e">
        <f>VLOOKUP(G627,#REF!,4,0)</f>
        <v>#REF!</v>
      </c>
      <c r="M627" s="37" t="e">
        <f>_xlfn.IFNA(VLOOKUP(G627,#REF!,2,0),"")</f>
        <v>#REF!</v>
      </c>
      <c r="N627" s="38" t="e">
        <f>_xlfn.IFNA(VLOOKUP(G627,#REF!,3,0),"")</f>
        <v>#REF!</v>
      </c>
      <c r="O627" s="39">
        <v>3</v>
      </c>
      <c r="P627" s="79">
        <v>41.739130434782609</v>
      </c>
      <c r="Q627" s="39" t="s">
        <v>10</v>
      </c>
      <c r="R627" s="34">
        <v>4</v>
      </c>
      <c r="S627" s="38"/>
      <c r="T627" s="40">
        <v>6.5934065934065931</v>
      </c>
      <c r="U627" s="41">
        <f t="shared" si="76"/>
        <v>173.54992833253704</v>
      </c>
      <c r="V627" s="42">
        <f t="shared" si="77"/>
        <v>1.4462494027711419</v>
      </c>
      <c r="W627" s="43">
        <f t="shared" si="78"/>
        <v>0.21585811981658834</v>
      </c>
      <c r="X627" s="38"/>
      <c r="Y627" s="38"/>
      <c r="Z627" s="44"/>
      <c r="AA627" s="45">
        <v>46164</v>
      </c>
      <c r="AB627" s="45">
        <v>46185</v>
      </c>
      <c r="AC627" s="45"/>
      <c r="AD627" s="46" t="e">
        <f>IF(ISNA(VLOOKUP(D627,#REF!,5,0)),0,VLOOKUP(D627,#REF!,5,0))</f>
        <v>#REF!</v>
      </c>
      <c r="AE627" s="46" t="e">
        <f t="shared" si="75"/>
        <v>#REF!</v>
      </c>
      <c r="AF627" s="45"/>
      <c r="AG627" s="76">
        <f t="shared" si="74"/>
        <v>-46164</v>
      </c>
      <c r="AH627" s="45"/>
      <c r="AI627" s="39"/>
      <c r="AJ627" s="39"/>
      <c r="AK627" s="39"/>
      <c r="AL627" s="35"/>
      <c r="AM627" s="34"/>
      <c r="AN627" s="34"/>
      <c r="AO627" s="39"/>
      <c r="AP627" s="47"/>
      <c r="AQ627" s="47"/>
      <c r="AR627" s="47"/>
      <c r="AS627" s="47"/>
    </row>
    <row r="628" spans="1:45" ht="12" customHeight="1" x14ac:dyDescent="0.25">
      <c r="A628" s="33">
        <f t="shared" si="79"/>
        <v>627</v>
      </c>
      <c r="B628" s="34"/>
      <c r="C628" s="34" t="s">
        <v>745</v>
      </c>
      <c r="D628" s="35" t="s">
        <v>746</v>
      </c>
      <c r="E628" s="34" t="s">
        <v>58</v>
      </c>
      <c r="F628" s="34" t="s">
        <v>0</v>
      </c>
      <c r="G628" s="16" t="s">
        <v>251</v>
      </c>
      <c r="H628" s="34">
        <v>180</v>
      </c>
      <c r="I628" s="34" t="s">
        <v>66</v>
      </c>
      <c r="J628" s="34" t="s">
        <v>3</v>
      </c>
      <c r="K628" s="35" t="s">
        <v>7</v>
      </c>
      <c r="L628" s="36" t="e">
        <f>VLOOKUP(G628,#REF!,4,0)</f>
        <v>#REF!</v>
      </c>
      <c r="M628" s="37" t="e">
        <f>_xlfn.IFNA(VLOOKUP(G628,#REF!,2,0),"")</f>
        <v>#REF!</v>
      </c>
      <c r="N628" s="38" t="e">
        <f>_xlfn.IFNA(VLOOKUP(G628,#REF!,3,0),"")</f>
        <v>#REF!</v>
      </c>
      <c r="O628" s="39">
        <v>6</v>
      </c>
      <c r="P628" s="79">
        <v>83.478260869565219</v>
      </c>
      <c r="Q628" s="39" t="s">
        <v>10</v>
      </c>
      <c r="R628" s="34">
        <v>4</v>
      </c>
      <c r="S628" s="38"/>
      <c r="T628" s="40">
        <v>13.186813186813186</v>
      </c>
      <c r="U628" s="41">
        <f t="shared" si="76"/>
        <v>347.09985666507407</v>
      </c>
      <c r="V628" s="42">
        <f t="shared" si="77"/>
        <v>1.9283325370281892</v>
      </c>
      <c r="W628" s="43">
        <f t="shared" si="78"/>
        <v>0.2878108264221178</v>
      </c>
      <c r="X628" s="38"/>
      <c r="Y628" s="38"/>
      <c r="Z628" s="44"/>
      <c r="AA628" s="45">
        <v>46164</v>
      </c>
      <c r="AB628" s="45">
        <v>46185</v>
      </c>
      <c r="AC628" s="45"/>
      <c r="AD628" s="46" t="e">
        <f>IF(ISNA(VLOOKUP(D628,#REF!,5,0)),0,VLOOKUP(D628,#REF!,5,0))</f>
        <v>#REF!</v>
      </c>
      <c r="AE628" s="46" t="e">
        <f t="shared" si="75"/>
        <v>#REF!</v>
      </c>
      <c r="AF628" s="45"/>
      <c r="AG628" s="76">
        <f t="shared" si="74"/>
        <v>-46164</v>
      </c>
      <c r="AH628" s="45"/>
      <c r="AI628" s="39"/>
      <c r="AJ628" s="39"/>
      <c r="AK628" s="39"/>
      <c r="AL628" s="35"/>
      <c r="AM628" s="34"/>
      <c r="AN628" s="34"/>
      <c r="AO628" s="39"/>
      <c r="AP628" s="47"/>
      <c r="AQ628" s="47"/>
      <c r="AR628" s="47"/>
      <c r="AS628" s="47"/>
    </row>
    <row r="629" spans="1:45" ht="12" customHeight="1" x14ac:dyDescent="0.25">
      <c r="A629" s="33">
        <f t="shared" si="79"/>
        <v>628</v>
      </c>
      <c r="B629" s="34"/>
      <c r="C629" s="34" t="s">
        <v>745</v>
      </c>
      <c r="D629" s="35" t="s">
        <v>746</v>
      </c>
      <c r="E629" s="34" t="s">
        <v>58</v>
      </c>
      <c r="F629" s="34" t="s">
        <v>0</v>
      </c>
      <c r="G629" s="16" t="s">
        <v>99</v>
      </c>
      <c r="H629" s="34">
        <v>200</v>
      </c>
      <c r="I629" s="34" t="s">
        <v>66</v>
      </c>
      <c r="J629" s="34" t="s">
        <v>3</v>
      </c>
      <c r="K629" s="35" t="s">
        <v>7</v>
      </c>
      <c r="L629" s="36" t="e">
        <f>VLOOKUP(G629,#REF!,4,0)</f>
        <v>#REF!</v>
      </c>
      <c r="M629" s="37" t="e">
        <f>_xlfn.IFNA(VLOOKUP(G629,#REF!,2,0),"")</f>
        <v>#REF!</v>
      </c>
      <c r="N629" s="38" t="e">
        <f>_xlfn.IFNA(VLOOKUP(G629,#REF!,3,0),"")</f>
        <v>#REF!</v>
      </c>
      <c r="O629" s="39">
        <v>1</v>
      </c>
      <c r="P629" s="79">
        <v>13.913043478260869</v>
      </c>
      <c r="Q629" s="39" t="s">
        <v>10</v>
      </c>
      <c r="R629" s="34">
        <v>4</v>
      </c>
      <c r="S629" s="38"/>
      <c r="T629" s="40">
        <v>2.197802197802198</v>
      </c>
      <c r="U629" s="41">
        <f t="shared" si="76"/>
        <v>57.849976110845674</v>
      </c>
      <c r="V629" s="42">
        <f t="shared" si="77"/>
        <v>0.28924988055422834</v>
      </c>
      <c r="W629" s="43">
        <f t="shared" si="78"/>
        <v>4.3171623963317661E-2</v>
      </c>
      <c r="X629" s="38"/>
      <c r="Y629" s="38"/>
      <c r="Z629" s="44"/>
      <c r="AA629" s="45">
        <v>46164</v>
      </c>
      <c r="AB629" s="45">
        <v>46185</v>
      </c>
      <c r="AC629" s="45"/>
      <c r="AD629" s="46" t="e">
        <f>IF(ISNA(VLOOKUP(D629,#REF!,5,0)),0,VLOOKUP(D629,#REF!,5,0))</f>
        <v>#REF!</v>
      </c>
      <c r="AE629" s="46" t="e">
        <f t="shared" si="75"/>
        <v>#REF!</v>
      </c>
      <c r="AF629" s="45"/>
      <c r="AG629" s="76">
        <f t="shared" si="74"/>
        <v>-46164</v>
      </c>
      <c r="AH629" s="45"/>
      <c r="AI629" s="39"/>
      <c r="AJ629" s="39"/>
      <c r="AK629" s="39"/>
      <c r="AL629" s="35"/>
      <c r="AM629" s="34"/>
      <c r="AN629" s="34"/>
      <c r="AO629" s="39"/>
      <c r="AP629" s="47"/>
      <c r="AQ629" s="47"/>
      <c r="AR629" s="47"/>
      <c r="AS629" s="47"/>
    </row>
    <row r="630" spans="1:45" ht="12" customHeight="1" x14ac:dyDescent="0.25">
      <c r="A630" s="33">
        <f t="shared" si="79"/>
        <v>629</v>
      </c>
      <c r="B630" s="34"/>
      <c r="C630" s="34" t="s">
        <v>745</v>
      </c>
      <c r="D630" s="35" t="s">
        <v>746</v>
      </c>
      <c r="E630" s="34" t="s">
        <v>58</v>
      </c>
      <c r="F630" s="34" t="s">
        <v>0</v>
      </c>
      <c r="G630" s="16" t="s">
        <v>217</v>
      </c>
      <c r="H630" s="34">
        <v>200</v>
      </c>
      <c r="I630" s="34" t="s">
        <v>66</v>
      </c>
      <c r="J630" s="34" t="s">
        <v>3</v>
      </c>
      <c r="K630" s="35" t="s">
        <v>7</v>
      </c>
      <c r="L630" s="36" t="e">
        <f>VLOOKUP(G630,#REF!,4,0)</f>
        <v>#REF!</v>
      </c>
      <c r="M630" s="37" t="e">
        <f>_xlfn.IFNA(VLOOKUP(G630,#REF!,2,0),"")</f>
        <v>#REF!</v>
      </c>
      <c r="N630" s="38" t="e">
        <f>_xlfn.IFNA(VLOOKUP(G630,#REF!,3,0),"")</f>
        <v>#REF!</v>
      </c>
      <c r="O630" s="39">
        <v>1</v>
      </c>
      <c r="P630" s="79">
        <v>13.913043478260869</v>
      </c>
      <c r="Q630" s="39" t="s">
        <v>10</v>
      </c>
      <c r="R630" s="34">
        <v>4</v>
      </c>
      <c r="S630" s="38"/>
      <c r="T630" s="40">
        <v>2.197802197802198</v>
      </c>
      <c r="U630" s="41">
        <f t="shared" si="76"/>
        <v>57.849976110845674</v>
      </c>
      <c r="V630" s="42">
        <f t="shared" si="77"/>
        <v>0.28924988055422834</v>
      </c>
      <c r="W630" s="43">
        <f t="shared" si="78"/>
        <v>4.3171623963317661E-2</v>
      </c>
      <c r="X630" s="38"/>
      <c r="Y630" s="38"/>
      <c r="Z630" s="44"/>
      <c r="AA630" s="45">
        <v>46164</v>
      </c>
      <c r="AB630" s="45">
        <v>46185</v>
      </c>
      <c r="AC630" s="45"/>
      <c r="AD630" s="46" t="e">
        <f>IF(ISNA(VLOOKUP(D630,#REF!,5,0)),0,VLOOKUP(D630,#REF!,5,0))</f>
        <v>#REF!</v>
      </c>
      <c r="AE630" s="46" t="e">
        <f t="shared" si="75"/>
        <v>#REF!</v>
      </c>
      <c r="AF630" s="45"/>
      <c r="AG630" s="76">
        <f t="shared" si="74"/>
        <v>-46164</v>
      </c>
      <c r="AH630" s="45"/>
      <c r="AI630" s="39"/>
      <c r="AJ630" s="39"/>
      <c r="AK630" s="39"/>
      <c r="AL630" s="35"/>
      <c r="AM630" s="34"/>
      <c r="AN630" s="34"/>
      <c r="AO630" s="39"/>
      <c r="AP630" s="47"/>
      <c r="AQ630" s="47"/>
      <c r="AR630" s="47"/>
      <c r="AS630" s="47"/>
    </row>
    <row r="631" spans="1:45" ht="12" customHeight="1" x14ac:dyDescent="0.25">
      <c r="A631" s="33">
        <f t="shared" si="79"/>
        <v>630</v>
      </c>
      <c r="B631" s="34"/>
      <c r="C631" s="34" t="s">
        <v>740</v>
      </c>
      <c r="D631" s="35" t="s">
        <v>747</v>
      </c>
      <c r="E631" s="34" t="s">
        <v>58</v>
      </c>
      <c r="F631" s="34" t="s">
        <v>0</v>
      </c>
      <c r="G631" s="16" t="s">
        <v>285</v>
      </c>
      <c r="H631" s="34">
        <v>390</v>
      </c>
      <c r="I631" s="34" t="s">
        <v>54</v>
      </c>
      <c r="J631" s="34" t="s">
        <v>3</v>
      </c>
      <c r="K631" s="35" t="s">
        <v>4</v>
      </c>
      <c r="L631" s="36" t="e">
        <f>VLOOKUP(G631,#REF!,4,0)</f>
        <v>#REF!</v>
      </c>
      <c r="M631" s="37" t="e">
        <f>_xlfn.IFNA(VLOOKUP(G631,#REF!,2,0),"")</f>
        <v>#REF!</v>
      </c>
      <c r="N631" s="38" t="e">
        <f>_xlfn.IFNA(VLOOKUP(G631,#REF!,3,0),"")</f>
        <v>#REF!</v>
      </c>
      <c r="O631" s="39">
        <v>13</v>
      </c>
      <c r="P631" s="79">
        <v>204.88</v>
      </c>
      <c r="Q631" s="39" t="s">
        <v>10</v>
      </c>
      <c r="R631" s="34">
        <v>4.4000000000000004</v>
      </c>
      <c r="S631" s="38"/>
      <c r="T631" s="40">
        <v>34.666666666666664</v>
      </c>
      <c r="U631" s="41">
        <f t="shared" si="76"/>
        <v>936.13866666666672</v>
      </c>
      <c r="V631" s="42">
        <f t="shared" si="77"/>
        <v>2.4003555555555556</v>
      </c>
      <c r="W631" s="43">
        <f t="shared" si="78"/>
        <v>0.35826202321724709</v>
      </c>
      <c r="X631" s="38"/>
      <c r="Y631" s="38"/>
      <c r="Z631" s="44"/>
      <c r="AA631" s="45">
        <v>46164</v>
      </c>
      <c r="AB631" s="45">
        <v>46186</v>
      </c>
      <c r="AC631" s="45"/>
      <c r="AD631" s="46" t="e">
        <f>IF(ISNA(VLOOKUP(D631,#REF!,5,0)),0,VLOOKUP(D631,#REF!,5,0))</f>
        <v>#REF!</v>
      </c>
      <c r="AE631" s="46" t="e">
        <f t="shared" si="75"/>
        <v>#REF!</v>
      </c>
      <c r="AF631" s="45"/>
      <c r="AG631" s="76">
        <f t="shared" si="74"/>
        <v>-46164</v>
      </c>
      <c r="AH631" s="45"/>
      <c r="AI631" s="39"/>
      <c r="AJ631" s="39"/>
      <c r="AK631" s="39"/>
      <c r="AL631" s="35"/>
      <c r="AM631" s="34"/>
      <c r="AN631" s="34"/>
      <c r="AO631" s="39"/>
      <c r="AP631" s="47"/>
      <c r="AQ631" s="47"/>
      <c r="AR631" s="47"/>
      <c r="AS631" s="47"/>
    </row>
    <row r="632" spans="1:45" ht="12" customHeight="1" x14ac:dyDescent="0.25">
      <c r="A632" s="33">
        <f t="shared" si="79"/>
        <v>631</v>
      </c>
      <c r="B632" s="34"/>
      <c r="C632" s="34" t="s">
        <v>740</v>
      </c>
      <c r="D632" s="35" t="s">
        <v>747</v>
      </c>
      <c r="E632" s="34" t="s">
        <v>58</v>
      </c>
      <c r="F632" s="34" t="s">
        <v>0</v>
      </c>
      <c r="G632" s="16" t="s">
        <v>284</v>
      </c>
      <c r="H632" s="34">
        <v>150</v>
      </c>
      <c r="I632" s="34" t="s">
        <v>54</v>
      </c>
      <c r="J632" s="34" t="s">
        <v>3</v>
      </c>
      <c r="K632" s="35" t="s">
        <v>4</v>
      </c>
      <c r="L632" s="36" t="e">
        <f>VLOOKUP(G632,#REF!,4,0)</f>
        <v>#REF!</v>
      </c>
      <c r="M632" s="37" t="e">
        <f>_xlfn.IFNA(VLOOKUP(G632,#REF!,2,0),"")</f>
        <v>#REF!</v>
      </c>
      <c r="N632" s="38" t="e">
        <f>_xlfn.IFNA(VLOOKUP(G632,#REF!,3,0),"")</f>
        <v>#REF!</v>
      </c>
      <c r="O632" s="39">
        <v>5</v>
      </c>
      <c r="P632" s="79">
        <v>78.8</v>
      </c>
      <c r="Q632" s="39" t="s">
        <v>10</v>
      </c>
      <c r="R632" s="34">
        <v>4.4000000000000004</v>
      </c>
      <c r="S632" s="38"/>
      <c r="T632" s="40">
        <v>13.333333333333334</v>
      </c>
      <c r="U632" s="41">
        <f t="shared" si="76"/>
        <v>360.05333333333334</v>
      </c>
      <c r="V632" s="42">
        <f t="shared" si="77"/>
        <v>2.4003555555555556</v>
      </c>
      <c r="W632" s="43">
        <f t="shared" si="78"/>
        <v>0.35826202321724709</v>
      </c>
      <c r="X632" s="38"/>
      <c r="Y632" s="38"/>
      <c r="Z632" s="44"/>
      <c r="AA632" s="45">
        <v>46164</v>
      </c>
      <c r="AB632" s="45">
        <v>46186</v>
      </c>
      <c r="AC632" s="45"/>
      <c r="AD632" s="46" t="e">
        <f>IF(ISNA(VLOOKUP(D632,#REF!,5,0)),0,VLOOKUP(D632,#REF!,5,0))</f>
        <v>#REF!</v>
      </c>
      <c r="AE632" s="46" t="e">
        <f t="shared" si="75"/>
        <v>#REF!</v>
      </c>
      <c r="AF632" s="45"/>
      <c r="AG632" s="76">
        <f t="shared" si="74"/>
        <v>-46164</v>
      </c>
      <c r="AH632" s="45"/>
      <c r="AI632" s="39"/>
      <c r="AJ632" s="39"/>
      <c r="AK632" s="39"/>
      <c r="AL632" s="35"/>
      <c r="AM632" s="34"/>
      <c r="AN632" s="34"/>
      <c r="AO632" s="39"/>
      <c r="AP632" s="47"/>
      <c r="AQ632" s="47"/>
      <c r="AR632" s="47"/>
      <c r="AS632" s="47"/>
    </row>
    <row r="633" spans="1:45" ht="12" customHeight="1" x14ac:dyDescent="0.25">
      <c r="A633" s="33">
        <f t="shared" si="79"/>
        <v>632</v>
      </c>
      <c r="B633" s="34"/>
      <c r="C633" s="34" t="s">
        <v>740</v>
      </c>
      <c r="D633" s="35" t="s">
        <v>747</v>
      </c>
      <c r="E633" s="34" t="s">
        <v>58</v>
      </c>
      <c r="F633" s="34" t="s">
        <v>0</v>
      </c>
      <c r="G633" s="16" t="s">
        <v>514</v>
      </c>
      <c r="H633" s="34">
        <v>600</v>
      </c>
      <c r="I633" s="34" t="s">
        <v>54</v>
      </c>
      <c r="J633" s="34" t="s">
        <v>3</v>
      </c>
      <c r="K633" s="35" t="s">
        <v>4</v>
      </c>
      <c r="L633" s="36" t="e">
        <f>VLOOKUP(G633,#REF!,4,0)</f>
        <v>#REF!</v>
      </c>
      <c r="M633" s="37" t="e">
        <f>_xlfn.IFNA(VLOOKUP(G633,#REF!,2,0),"")</f>
        <v>#REF!</v>
      </c>
      <c r="N633" s="38" t="e">
        <f>_xlfn.IFNA(VLOOKUP(G633,#REF!,3,0),"")</f>
        <v>#REF!</v>
      </c>
      <c r="O633" s="39">
        <v>20</v>
      </c>
      <c r="P633" s="79">
        <v>315.2</v>
      </c>
      <c r="Q633" s="39" t="s">
        <v>10</v>
      </c>
      <c r="R633" s="34">
        <v>4.4000000000000004</v>
      </c>
      <c r="S633" s="38"/>
      <c r="T633" s="40">
        <v>53.333333333333336</v>
      </c>
      <c r="U633" s="41">
        <f t="shared" si="76"/>
        <v>1440.2133333333334</v>
      </c>
      <c r="V633" s="42">
        <f t="shared" si="77"/>
        <v>2.4003555555555556</v>
      </c>
      <c r="W633" s="43">
        <f t="shared" si="78"/>
        <v>0.35826202321724709</v>
      </c>
      <c r="X633" s="38"/>
      <c r="Y633" s="38"/>
      <c r="Z633" s="44"/>
      <c r="AA633" s="45">
        <v>46164</v>
      </c>
      <c r="AB633" s="45">
        <v>46186</v>
      </c>
      <c r="AC633" s="45"/>
      <c r="AD633" s="46" t="e">
        <f>IF(ISNA(VLOOKUP(D633,#REF!,5,0)),0,VLOOKUP(D633,#REF!,5,0))</f>
        <v>#REF!</v>
      </c>
      <c r="AE633" s="46" t="e">
        <f t="shared" si="75"/>
        <v>#REF!</v>
      </c>
      <c r="AF633" s="45"/>
      <c r="AG633" s="76">
        <f t="shared" si="74"/>
        <v>-46164</v>
      </c>
      <c r="AH633" s="45"/>
      <c r="AI633" s="39"/>
      <c r="AJ633" s="39"/>
      <c r="AK633" s="39"/>
      <c r="AL633" s="35"/>
      <c r="AM633" s="34"/>
      <c r="AN633" s="34"/>
      <c r="AO633" s="39"/>
      <c r="AP633" s="47"/>
      <c r="AQ633" s="47"/>
      <c r="AR633" s="47"/>
      <c r="AS633" s="47"/>
    </row>
    <row r="634" spans="1:45" ht="12" customHeight="1" x14ac:dyDescent="0.25">
      <c r="A634" s="33">
        <f t="shared" si="79"/>
        <v>633</v>
      </c>
      <c r="B634" s="34"/>
      <c r="C634" s="34" t="s">
        <v>740</v>
      </c>
      <c r="D634" s="35" t="s">
        <v>748</v>
      </c>
      <c r="E634" s="34" t="s">
        <v>260</v>
      </c>
      <c r="F634" s="34" t="s">
        <v>0</v>
      </c>
      <c r="G634" s="16" t="s">
        <v>279</v>
      </c>
      <c r="H634" s="34">
        <v>340</v>
      </c>
      <c r="I634" s="34" t="s">
        <v>54</v>
      </c>
      <c r="J634" s="34" t="s">
        <v>3</v>
      </c>
      <c r="K634" s="35" t="s">
        <v>9</v>
      </c>
      <c r="L634" s="36" t="e">
        <f>VLOOKUP(G634,#REF!,4,0)</f>
        <v>#REF!</v>
      </c>
      <c r="M634" s="37" t="e">
        <f>_xlfn.IFNA(VLOOKUP(G634,#REF!,2,0),"")</f>
        <v>#REF!</v>
      </c>
      <c r="N634" s="38" t="e">
        <f>_xlfn.IFNA(VLOOKUP(G634,#REF!,3,0),"")</f>
        <v>#REF!</v>
      </c>
      <c r="O634" s="39">
        <v>17</v>
      </c>
      <c r="P634" s="79">
        <v>219</v>
      </c>
      <c r="Q634" s="39" t="s">
        <v>10</v>
      </c>
      <c r="R634" s="34">
        <v>4.4000000000000004</v>
      </c>
      <c r="S634" s="38"/>
      <c r="T634" s="40">
        <v>45.333333333333336</v>
      </c>
      <c r="U634" s="41">
        <f t="shared" si="76"/>
        <v>1008.9333333333334</v>
      </c>
      <c r="V634" s="42">
        <f t="shared" si="77"/>
        <v>2.9674509803921572</v>
      </c>
      <c r="W634" s="43">
        <f t="shared" si="78"/>
        <v>0.44290313140181448</v>
      </c>
      <c r="X634" s="38"/>
      <c r="Y634" s="38"/>
      <c r="Z634" s="44"/>
      <c r="AA634" s="45">
        <v>46164</v>
      </c>
      <c r="AB634" s="45">
        <v>46186</v>
      </c>
      <c r="AC634" s="45"/>
      <c r="AD634" s="46" t="e">
        <f>IF(ISNA(VLOOKUP(D634,#REF!,5,0)),0,VLOOKUP(D634,#REF!,5,0))</f>
        <v>#REF!</v>
      </c>
      <c r="AE634" s="46" t="e">
        <f t="shared" si="75"/>
        <v>#REF!</v>
      </c>
      <c r="AF634" s="45"/>
      <c r="AG634" s="76">
        <f t="shared" si="74"/>
        <v>-46164</v>
      </c>
      <c r="AH634" s="45"/>
      <c r="AI634" s="39"/>
      <c r="AJ634" s="39"/>
      <c r="AK634" s="39"/>
      <c r="AL634" s="35"/>
      <c r="AM634" s="34"/>
      <c r="AN634" s="34"/>
      <c r="AO634" s="39"/>
      <c r="AP634" s="47"/>
      <c r="AQ634" s="47"/>
      <c r="AR634" s="47"/>
      <c r="AS634" s="47"/>
    </row>
    <row r="635" spans="1:45" ht="12" customHeight="1" x14ac:dyDescent="0.25">
      <c r="A635" s="33">
        <f t="shared" si="79"/>
        <v>634</v>
      </c>
      <c r="B635" s="34"/>
      <c r="C635" s="34" t="s">
        <v>740</v>
      </c>
      <c r="D635" s="35" t="s">
        <v>749</v>
      </c>
      <c r="E635" s="34" t="s">
        <v>61</v>
      </c>
      <c r="F635" s="34" t="s">
        <v>0</v>
      </c>
      <c r="G635" s="16" t="s">
        <v>242</v>
      </c>
      <c r="H635" s="34">
        <v>480</v>
      </c>
      <c r="I635" s="34" t="s">
        <v>54</v>
      </c>
      <c r="J635" s="34" t="s">
        <v>3</v>
      </c>
      <c r="K635" s="35" t="s">
        <v>4</v>
      </c>
      <c r="L635" s="36" t="e">
        <f>VLOOKUP(G635,#REF!,4,0)</f>
        <v>#REF!</v>
      </c>
      <c r="M635" s="37" t="e">
        <f>_xlfn.IFNA(VLOOKUP(G635,#REF!,2,0),"")</f>
        <v>#REF!</v>
      </c>
      <c r="N635" s="38" t="e">
        <f>_xlfn.IFNA(VLOOKUP(G635,#REF!,3,0),"")</f>
        <v>#REF!</v>
      </c>
      <c r="O635" s="39">
        <v>12</v>
      </c>
      <c r="P635" s="79">
        <v>189.12</v>
      </c>
      <c r="Q635" s="39" t="s">
        <v>10</v>
      </c>
      <c r="R635" s="34">
        <v>4.4000000000000004</v>
      </c>
      <c r="S635" s="38"/>
      <c r="T635" s="40">
        <v>32</v>
      </c>
      <c r="U635" s="41">
        <f t="shared" si="76"/>
        <v>864.12800000000004</v>
      </c>
      <c r="V635" s="42">
        <f t="shared" si="77"/>
        <v>1.8002666666666667</v>
      </c>
      <c r="W635" s="43">
        <f t="shared" si="78"/>
        <v>0.26869651741293532</v>
      </c>
      <c r="X635" s="38"/>
      <c r="Y635" s="38"/>
      <c r="Z635" s="44"/>
      <c r="AA635" s="45">
        <v>46164</v>
      </c>
      <c r="AB635" s="45">
        <v>46186</v>
      </c>
      <c r="AC635" s="45"/>
      <c r="AD635" s="46" t="e">
        <f>IF(ISNA(VLOOKUP(D635,#REF!,5,0)),0,VLOOKUP(D635,#REF!,5,0))</f>
        <v>#REF!</v>
      </c>
      <c r="AE635" s="46" t="e">
        <f t="shared" si="75"/>
        <v>#REF!</v>
      </c>
      <c r="AF635" s="45"/>
      <c r="AG635" s="76">
        <f t="shared" si="74"/>
        <v>-46164</v>
      </c>
      <c r="AH635" s="45"/>
      <c r="AI635" s="39"/>
      <c r="AJ635" s="39"/>
      <c r="AK635" s="39"/>
      <c r="AL635" s="35"/>
      <c r="AM635" s="34"/>
      <c r="AN635" s="34"/>
      <c r="AO635" s="39"/>
      <c r="AP635" s="47"/>
      <c r="AQ635" s="47"/>
      <c r="AR635" s="47"/>
      <c r="AS635" s="47"/>
    </row>
    <row r="636" spans="1:45" ht="12" customHeight="1" x14ac:dyDescent="0.25">
      <c r="A636" s="33">
        <f t="shared" si="79"/>
        <v>635</v>
      </c>
      <c r="B636" s="34"/>
      <c r="C636" s="34" t="s">
        <v>191</v>
      </c>
      <c r="D636" s="35" t="s">
        <v>750</v>
      </c>
      <c r="E636" s="34" t="s">
        <v>172</v>
      </c>
      <c r="F636" s="34" t="s">
        <v>0</v>
      </c>
      <c r="G636" s="16" t="s">
        <v>82</v>
      </c>
      <c r="H636" s="34">
        <v>32</v>
      </c>
      <c r="I636" s="34" t="s">
        <v>218</v>
      </c>
      <c r="J636" s="34" t="s">
        <v>3</v>
      </c>
      <c r="K636" s="35" t="s">
        <v>7</v>
      </c>
      <c r="L636" s="36" t="e">
        <f>VLOOKUP(G636,#REF!,4,0)</f>
        <v>#REF!</v>
      </c>
      <c r="M636" s="37" t="e">
        <f>_xlfn.IFNA(VLOOKUP(G636,#REF!,2,0),"")</f>
        <v>#REF!</v>
      </c>
      <c r="N636" s="38" t="e">
        <f>_xlfn.IFNA(VLOOKUP(G636,#REF!,3,0),"")</f>
        <v>#REF!</v>
      </c>
      <c r="O636" s="39">
        <v>2</v>
      </c>
      <c r="P636" s="79">
        <v>0.12774193548387097</v>
      </c>
      <c r="Q636" s="39" t="s">
        <v>420</v>
      </c>
      <c r="R636" s="34">
        <v>1080</v>
      </c>
      <c r="S636" s="38">
        <v>180</v>
      </c>
      <c r="T636" s="40">
        <v>11.612903225806452</v>
      </c>
      <c r="U636" s="41">
        <f t="shared" si="76"/>
        <v>149.57419354838711</v>
      </c>
      <c r="V636" s="42">
        <f t="shared" si="77"/>
        <v>4.6741935483870973</v>
      </c>
      <c r="W636" s="43">
        <f t="shared" si="78"/>
        <v>0.69764082811747719</v>
      </c>
      <c r="X636" s="38"/>
      <c r="Y636" s="38"/>
      <c r="Z636" s="44"/>
      <c r="AA636" s="45">
        <v>46164</v>
      </c>
      <c r="AB636" s="45">
        <v>46187</v>
      </c>
      <c r="AC636" s="45"/>
      <c r="AD636" s="46" t="e">
        <f>IF(ISNA(VLOOKUP(D636,#REF!,5,0)),0,VLOOKUP(D636,#REF!,5,0))</f>
        <v>#REF!</v>
      </c>
      <c r="AE636" s="46" t="e">
        <f t="shared" si="75"/>
        <v>#REF!</v>
      </c>
      <c r="AF636" s="45"/>
      <c r="AG636" s="76">
        <f t="shared" si="74"/>
        <v>-46164</v>
      </c>
      <c r="AH636" s="45"/>
      <c r="AI636" s="39"/>
      <c r="AJ636" s="39"/>
      <c r="AK636" s="39"/>
      <c r="AL636" s="35"/>
      <c r="AM636" s="34"/>
      <c r="AN636" s="34"/>
      <c r="AO636" s="39"/>
      <c r="AP636" s="47"/>
      <c r="AQ636" s="47"/>
      <c r="AR636" s="47"/>
      <c r="AS636" s="47"/>
    </row>
    <row r="637" spans="1:45" ht="12" customHeight="1" x14ac:dyDescent="0.25">
      <c r="A637" s="33">
        <f t="shared" si="79"/>
        <v>636</v>
      </c>
      <c r="B637" s="34"/>
      <c r="C637" s="34" t="s">
        <v>191</v>
      </c>
      <c r="D637" s="35" t="s">
        <v>750</v>
      </c>
      <c r="E637" s="34" t="s">
        <v>172</v>
      </c>
      <c r="F637" s="34" t="s">
        <v>0</v>
      </c>
      <c r="G637" s="16" t="s">
        <v>123</v>
      </c>
      <c r="H637" s="34">
        <v>96</v>
      </c>
      <c r="I637" s="34" t="s">
        <v>218</v>
      </c>
      <c r="J637" s="34" t="s">
        <v>3</v>
      </c>
      <c r="K637" s="35" t="s">
        <v>7</v>
      </c>
      <c r="L637" s="36" t="e">
        <f>VLOOKUP(G637,#REF!,4,0)</f>
        <v>#REF!</v>
      </c>
      <c r="M637" s="37" t="e">
        <f>_xlfn.IFNA(VLOOKUP(G637,#REF!,2,0),"")</f>
        <v>#REF!</v>
      </c>
      <c r="N637" s="38" t="e">
        <f>_xlfn.IFNA(VLOOKUP(G637,#REF!,3,0),"")</f>
        <v>#REF!</v>
      </c>
      <c r="O637" s="39">
        <v>6</v>
      </c>
      <c r="P637" s="79">
        <v>0.38322580645161292</v>
      </c>
      <c r="Q637" s="39" t="s">
        <v>420</v>
      </c>
      <c r="R637" s="34">
        <v>1080</v>
      </c>
      <c r="S637" s="48">
        <v>180</v>
      </c>
      <c r="T637" s="40">
        <v>34.838709677419352</v>
      </c>
      <c r="U637" s="41">
        <f t="shared" si="76"/>
        <v>448.72258064516126</v>
      </c>
      <c r="V637" s="42">
        <f t="shared" si="77"/>
        <v>4.6741935483870964</v>
      </c>
      <c r="W637" s="43">
        <f t="shared" si="78"/>
        <v>0.69764082811747707</v>
      </c>
      <c r="X637" s="38"/>
      <c r="Y637" s="38"/>
      <c r="Z637" s="44"/>
      <c r="AA637" s="45">
        <v>46164</v>
      </c>
      <c r="AB637" s="45">
        <v>46187</v>
      </c>
      <c r="AC637" s="45"/>
      <c r="AD637" s="46" t="e">
        <f>IF(ISNA(VLOOKUP(D637,#REF!,5,0)),0,VLOOKUP(D637,#REF!,5,0))</f>
        <v>#REF!</v>
      </c>
      <c r="AE637" s="46" t="e">
        <f t="shared" si="75"/>
        <v>#REF!</v>
      </c>
      <c r="AF637" s="45"/>
      <c r="AG637" s="76">
        <f t="shared" si="74"/>
        <v>-46164</v>
      </c>
      <c r="AH637" s="45"/>
      <c r="AI637" s="39"/>
      <c r="AJ637" s="39"/>
      <c r="AK637" s="39"/>
      <c r="AL637" s="35"/>
      <c r="AM637" s="34"/>
      <c r="AN637" s="34"/>
      <c r="AO637" s="39"/>
      <c r="AP637" s="47"/>
      <c r="AQ637" s="47"/>
      <c r="AR637" s="47"/>
      <c r="AS637" s="47"/>
    </row>
    <row r="638" spans="1:45" ht="12" customHeight="1" x14ac:dyDescent="0.25">
      <c r="A638" s="33">
        <f t="shared" si="79"/>
        <v>637</v>
      </c>
      <c r="B638" s="34"/>
      <c r="C638" s="34" t="s">
        <v>191</v>
      </c>
      <c r="D638" s="35" t="s">
        <v>750</v>
      </c>
      <c r="E638" s="34" t="s">
        <v>172</v>
      </c>
      <c r="F638" s="34" t="s">
        <v>0</v>
      </c>
      <c r="G638" s="16" t="s">
        <v>115</v>
      </c>
      <c r="H638" s="34">
        <v>144</v>
      </c>
      <c r="I638" s="34" t="s">
        <v>218</v>
      </c>
      <c r="J638" s="34" t="s">
        <v>3</v>
      </c>
      <c r="K638" s="35" t="s">
        <v>7</v>
      </c>
      <c r="L638" s="36" t="e">
        <f>VLOOKUP(G638,#REF!,4,0)</f>
        <v>#REF!</v>
      </c>
      <c r="M638" s="37" t="e">
        <f>_xlfn.IFNA(VLOOKUP(G638,#REF!,2,0),"")</f>
        <v>#REF!</v>
      </c>
      <c r="N638" s="38" t="e">
        <f>_xlfn.IFNA(VLOOKUP(G638,#REF!,3,0),"")</f>
        <v>#REF!</v>
      </c>
      <c r="O638" s="39">
        <v>9</v>
      </c>
      <c r="P638" s="79">
        <v>0.57483870967741935</v>
      </c>
      <c r="Q638" s="39" t="s">
        <v>420</v>
      </c>
      <c r="R638" s="34">
        <v>1080</v>
      </c>
      <c r="S638" s="38"/>
      <c r="T638" s="40">
        <v>52.258064516129032</v>
      </c>
      <c r="U638" s="41">
        <f t="shared" si="76"/>
        <v>673.08387096774197</v>
      </c>
      <c r="V638" s="42">
        <f t="shared" si="77"/>
        <v>4.6741935483870973</v>
      </c>
      <c r="W638" s="43">
        <f t="shared" si="78"/>
        <v>0.69764082811747719</v>
      </c>
      <c r="X638" s="38"/>
      <c r="Y638" s="38"/>
      <c r="Z638" s="44"/>
      <c r="AA638" s="45">
        <v>46164</v>
      </c>
      <c r="AB638" s="45">
        <v>46187</v>
      </c>
      <c r="AC638" s="45"/>
      <c r="AD638" s="46" t="e">
        <f>IF(ISNA(VLOOKUP(D638,#REF!,5,0)),0,VLOOKUP(D638,#REF!,5,0))</f>
        <v>#REF!</v>
      </c>
      <c r="AE638" s="46" t="e">
        <f t="shared" si="75"/>
        <v>#REF!</v>
      </c>
      <c r="AF638" s="45"/>
      <c r="AG638" s="76">
        <f t="shared" si="74"/>
        <v>-46164</v>
      </c>
      <c r="AH638" s="45"/>
      <c r="AI638" s="39"/>
      <c r="AJ638" s="39"/>
      <c r="AK638" s="39"/>
      <c r="AL638" s="35"/>
      <c r="AM638" s="34"/>
      <c r="AN638" s="34"/>
      <c r="AO638" s="39"/>
      <c r="AP638" s="47"/>
      <c r="AQ638" s="47"/>
      <c r="AR638" s="47"/>
      <c r="AS638" s="47"/>
    </row>
    <row r="639" spans="1:45" ht="12" customHeight="1" x14ac:dyDescent="0.25">
      <c r="A639" s="33">
        <f t="shared" si="79"/>
        <v>638</v>
      </c>
      <c r="B639" s="34"/>
      <c r="C639" s="34" t="s">
        <v>191</v>
      </c>
      <c r="D639" s="35" t="s">
        <v>750</v>
      </c>
      <c r="E639" s="34" t="s">
        <v>172</v>
      </c>
      <c r="F639" s="34" t="s">
        <v>0</v>
      </c>
      <c r="G639" s="16" t="s">
        <v>133</v>
      </c>
      <c r="H639" s="34">
        <v>80</v>
      </c>
      <c r="I639" s="34" t="s">
        <v>218</v>
      </c>
      <c r="J639" s="34" t="s">
        <v>3</v>
      </c>
      <c r="K639" s="35" t="s">
        <v>7</v>
      </c>
      <c r="L639" s="36" t="e">
        <f>VLOOKUP(G639,#REF!,4,0)</f>
        <v>#REF!</v>
      </c>
      <c r="M639" s="37" t="e">
        <f>_xlfn.IFNA(VLOOKUP(G639,#REF!,2,0),"")</f>
        <v>#REF!</v>
      </c>
      <c r="N639" s="38" t="e">
        <f>_xlfn.IFNA(VLOOKUP(G639,#REF!,3,0),"")</f>
        <v>#REF!</v>
      </c>
      <c r="O639" s="39">
        <v>5</v>
      </c>
      <c r="P639" s="79">
        <v>0.3193548387096774</v>
      </c>
      <c r="Q639" s="39" t="s">
        <v>420</v>
      </c>
      <c r="R639" s="34">
        <v>1080</v>
      </c>
      <c r="S639" s="38"/>
      <c r="T639" s="40">
        <v>29.032258064516128</v>
      </c>
      <c r="U639" s="41">
        <f t="shared" si="76"/>
        <v>373.93548387096769</v>
      </c>
      <c r="V639" s="42">
        <f t="shared" si="77"/>
        <v>4.6741935483870964</v>
      </c>
      <c r="W639" s="43">
        <f t="shared" si="78"/>
        <v>0.69764082811747707</v>
      </c>
      <c r="X639" s="38"/>
      <c r="Y639" s="38"/>
      <c r="Z639" s="44"/>
      <c r="AA639" s="45">
        <v>46164</v>
      </c>
      <c r="AB639" s="45">
        <v>46187</v>
      </c>
      <c r="AC639" s="45"/>
      <c r="AD639" s="46" t="e">
        <f>IF(ISNA(VLOOKUP(D639,#REF!,5,0)),0,VLOOKUP(D639,#REF!,5,0))</f>
        <v>#REF!</v>
      </c>
      <c r="AE639" s="46" t="e">
        <f t="shared" si="75"/>
        <v>#REF!</v>
      </c>
      <c r="AF639" s="45"/>
      <c r="AG639" s="76">
        <f t="shared" si="74"/>
        <v>-46164</v>
      </c>
      <c r="AH639" s="45"/>
      <c r="AI639" s="39"/>
      <c r="AJ639" s="39"/>
      <c r="AK639" s="39"/>
      <c r="AL639" s="35"/>
      <c r="AM639" s="34"/>
      <c r="AN639" s="34"/>
      <c r="AO639" s="39"/>
      <c r="AP639" s="47"/>
      <c r="AQ639" s="47"/>
      <c r="AR639" s="47"/>
      <c r="AS639" s="47"/>
    </row>
    <row r="640" spans="1:45" ht="12" customHeight="1" x14ac:dyDescent="0.25">
      <c r="A640" s="33">
        <f t="shared" si="79"/>
        <v>639</v>
      </c>
      <c r="B640" s="34"/>
      <c r="C640" s="34" t="s">
        <v>191</v>
      </c>
      <c r="D640" s="35" t="s">
        <v>750</v>
      </c>
      <c r="E640" s="34" t="s">
        <v>172</v>
      </c>
      <c r="F640" s="34" t="s">
        <v>0</v>
      </c>
      <c r="G640" s="16" t="s">
        <v>113</v>
      </c>
      <c r="H640" s="34">
        <v>48</v>
      </c>
      <c r="I640" s="34" t="s">
        <v>218</v>
      </c>
      <c r="J640" s="34" t="s">
        <v>3</v>
      </c>
      <c r="K640" s="35" t="s">
        <v>7</v>
      </c>
      <c r="L640" s="36" t="e">
        <f>VLOOKUP(G640,#REF!,4,0)</f>
        <v>#REF!</v>
      </c>
      <c r="M640" s="37" t="e">
        <f>_xlfn.IFNA(VLOOKUP(G640,#REF!,2,0),"")</f>
        <v>#REF!</v>
      </c>
      <c r="N640" s="38" t="e">
        <f>_xlfn.IFNA(VLOOKUP(G640,#REF!,3,0),"")</f>
        <v>#REF!</v>
      </c>
      <c r="O640" s="39">
        <v>3</v>
      </c>
      <c r="P640" s="79">
        <v>0.19161290322580646</v>
      </c>
      <c r="Q640" s="39" t="s">
        <v>420</v>
      </c>
      <c r="R640" s="34">
        <v>1080</v>
      </c>
      <c r="S640" s="38"/>
      <c r="T640" s="40">
        <v>17.419354838709676</v>
      </c>
      <c r="U640" s="41">
        <f t="shared" si="76"/>
        <v>224.36129032258063</v>
      </c>
      <c r="V640" s="42">
        <f t="shared" si="77"/>
        <v>4.6741935483870964</v>
      </c>
      <c r="W640" s="43">
        <f t="shared" si="78"/>
        <v>0.69764082811747707</v>
      </c>
      <c r="X640" s="38"/>
      <c r="Y640" s="38"/>
      <c r="Z640" s="44"/>
      <c r="AA640" s="45">
        <v>46164</v>
      </c>
      <c r="AB640" s="45">
        <v>46187</v>
      </c>
      <c r="AC640" s="45"/>
      <c r="AD640" s="46" t="e">
        <f>IF(ISNA(VLOOKUP(D640,#REF!,5,0)),0,VLOOKUP(D640,#REF!,5,0))</f>
        <v>#REF!</v>
      </c>
      <c r="AE640" s="46" t="e">
        <f t="shared" si="75"/>
        <v>#REF!</v>
      </c>
      <c r="AF640" s="45"/>
      <c r="AG640" s="76">
        <f t="shared" si="74"/>
        <v>-46164</v>
      </c>
      <c r="AH640" s="45"/>
      <c r="AI640" s="39"/>
      <c r="AJ640" s="39"/>
      <c r="AK640" s="39"/>
      <c r="AL640" s="35"/>
      <c r="AM640" s="34"/>
      <c r="AN640" s="34"/>
      <c r="AO640" s="39"/>
      <c r="AP640" s="47"/>
      <c r="AQ640" s="47"/>
      <c r="AR640" s="47"/>
      <c r="AS640" s="47"/>
    </row>
    <row r="641" spans="1:45" ht="12" customHeight="1" x14ac:dyDescent="0.25">
      <c r="A641" s="33">
        <f t="shared" si="79"/>
        <v>640</v>
      </c>
      <c r="B641" s="34"/>
      <c r="C641" s="34" t="s">
        <v>191</v>
      </c>
      <c r="D641" s="35" t="s">
        <v>750</v>
      </c>
      <c r="E641" s="34" t="s">
        <v>172</v>
      </c>
      <c r="F641" s="34" t="s">
        <v>0</v>
      </c>
      <c r="G641" s="16" t="s">
        <v>114</v>
      </c>
      <c r="H641" s="34">
        <v>96</v>
      </c>
      <c r="I641" s="34" t="s">
        <v>218</v>
      </c>
      <c r="J641" s="34" t="s">
        <v>3</v>
      </c>
      <c r="K641" s="35" t="s">
        <v>7</v>
      </c>
      <c r="L641" s="36" t="e">
        <f>VLOOKUP(G641,#REF!,4,0)</f>
        <v>#REF!</v>
      </c>
      <c r="M641" s="37" t="e">
        <f>_xlfn.IFNA(VLOOKUP(G641,#REF!,2,0),"")</f>
        <v>#REF!</v>
      </c>
      <c r="N641" s="38" t="e">
        <f>_xlfn.IFNA(VLOOKUP(G641,#REF!,3,0),"")</f>
        <v>#REF!</v>
      </c>
      <c r="O641" s="39">
        <v>6</v>
      </c>
      <c r="P641" s="79">
        <v>0.38322580645161292</v>
      </c>
      <c r="Q641" s="39" t="s">
        <v>420</v>
      </c>
      <c r="R641" s="34">
        <v>1080</v>
      </c>
      <c r="S641" s="38"/>
      <c r="T641" s="40">
        <v>34.838709677419352</v>
      </c>
      <c r="U641" s="41">
        <f t="shared" si="76"/>
        <v>448.72258064516126</v>
      </c>
      <c r="V641" s="42">
        <f t="shared" si="77"/>
        <v>4.6741935483870964</v>
      </c>
      <c r="W641" s="43">
        <f t="shared" si="78"/>
        <v>0.69764082811747707</v>
      </c>
      <c r="X641" s="38"/>
      <c r="Y641" s="38"/>
      <c r="Z641" s="44"/>
      <c r="AA641" s="45">
        <v>46164</v>
      </c>
      <c r="AB641" s="45">
        <v>46187</v>
      </c>
      <c r="AC641" s="45"/>
      <c r="AD641" s="46" t="e">
        <f>IF(ISNA(VLOOKUP(D641,#REF!,5,0)),0,VLOOKUP(D641,#REF!,5,0))</f>
        <v>#REF!</v>
      </c>
      <c r="AE641" s="46" t="e">
        <f t="shared" si="75"/>
        <v>#REF!</v>
      </c>
      <c r="AF641" s="45"/>
      <c r="AG641" s="76">
        <f t="shared" si="74"/>
        <v>-46164</v>
      </c>
      <c r="AH641" s="45"/>
      <c r="AI641" s="39"/>
      <c r="AJ641" s="39"/>
      <c r="AK641" s="39"/>
      <c r="AL641" s="35"/>
      <c r="AM641" s="34"/>
      <c r="AN641" s="34"/>
      <c r="AO641" s="39"/>
      <c r="AP641" s="47"/>
      <c r="AQ641" s="47"/>
      <c r="AR641" s="47"/>
      <c r="AS641" s="47"/>
    </row>
    <row r="642" spans="1:45" ht="12" customHeight="1" x14ac:dyDescent="0.25">
      <c r="A642" s="33">
        <f t="shared" si="79"/>
        <v>641</v>
      </c>
      <c r="B642" s="34"/>
      <c r="C642" s="34" t="s">
        <v>196</v>
      </c>
      <c r="D642" s="35" t="s">
        <v>751</v>
      </c>
      <c r="E642" s="34" t="s">
        <v>470</v>
      </c>
      <c r="F642" s="34" t="s">
        <v>0</v>
      </c>
      <c r="G642" s="16" t="s">
        <v>291</v>
      </c>
      <c r="H642" s="34">
        <v>480</v>
      </c>
      <c r="I642" s="34" t="s">
        <v>218</v>
      </c>
      <c r="J642" s="34" t="s">
        <v>3</v>
      </c>
      <c r="K642" s="35" t="s">
        <v>5</v>
      </c>
      <c r="L642" s="36" t="e">
        <f>VLOOKUP(G642,#REF!,4,0)</f>
        <v>#REF!</v>
      </c>
      <c r="M642" s="37" t="e">
        <f>_xlfn.IFNA(VLOOKUP(G642,#REF!,2,0),"")</f>
        <v>#REF!</v>
      </c>
      <c r="N642" s="38" t="e">
        <f>_xlfn.IFNA(VLOOKUP(G642,#REF!,3,0),"")</f>
        <v>#REF!</v>
      </c>
      <c r="O642" s="39">
        <v>30</v>
      </c>
      <c r="P642" s="79">
        <v>1.33</v>
      </c>
      <c r="Q642" s="39" t="s">
        <v>420</v>
      </c>
      <c r="R642" s="34">
        <v>1060</v>
      </c>
      <c r="S642" s="38">
        <v>180</v>
      </c>
      <c r="T642" s="40">
        <v>180</v>
      </c>
      <c r="U642" s="41">
        <f t="shared" si="76"/>
        <v>1589.8000000000002</v>
      </c>
      <c r="V642" s="42">
        <f t="shared" si="77"/>
        <v>3.3120833333333337</v>
      </c>
      <c r="W642" s="43">
        <f t="shared" si="78"/>
        <v>0.49434079601990055</v>
      </c>
      <c r="X642" s="38"/>
      <c r="Y642" s="38"/>
      <c r="Z642" s="44"/>
      <c r="AA642" s="45">
        <v>46164</v>
      </c>
      <c r="AB642" s="45">
        <v>46186</v>
      </c>
      <c r="AC642" s="45"/>
      <c r="AD642" s="46" t="e">
        <f>IF(ISNA(VLOOKUP(D642,#REF!,5,0)),0,VLOOKUP(D642,#REF!,5,0))</f>
        <v>#REF!</v>
      </c>
      <c r="AE642" s="46" t="e">
        <f t="shared" si="75"/>
        <v>#REF!</v>
      </c>
      <c r="AF642" s="45"/>
      <c r="AG642" s="76">
        <f t="shared" ref="AG642:AG705" si="80">AF642-AA642</f>
        <v>-46164</v>
      </c>
      <c r="AH642" s="45"/>
      <c r="AI642" s="39"/>
      <c r="AJ642" s="39"/>
      <c r="AK642" s="39"/>
      <c r="AL642" s="35"/>
      <c r="AM642" s="34"/>
      <c r="AN642" s="34"/>
      <c r="AO642" s="39"/>
      <c r="AP642" s="47"/>
      <c r="AQ642" s="47"/>
      <c r="AR642" s="47"/>
      <c r="AS642" s="47"/>
    </row>
    <row r="643" spans="1:45" ht="12" customHeight="1" x14ac:dyDescent="0.25">
      <c r="A643" s="33">
        <f t="shared" si="79"/>
        <v>642</v>
      </c>
      <c r="B643" s="34"/>
      <c r="C643" s="34" t="s">
        <v>192</v>
      </c>
      <c r="D643" s="35" t="s">
        <v>752</v>
      </c>
      <c r="E643" s="34" t="s">
        <v>194</v>
      </c>
      <c r="F643" s="34" t="s">
        <v>195</v>
      </c>
      <c r="G643" s="16" t="s">
        <v>630</v>
      </c>
      <c r="H643" s="34">
        <v>72</v>
      </c>
      <c r="I643" s="34" t="s">
        <v>705</v>
      </c>
      <c r="J643" s="34" t="s">
        <v>234</v>
      </c>
      <c r="K643" s="35" t="s">
        <v>454</v>
      </c>
      <c r="L643" s="36" t="e">
        <f>VLOOKUP(G643,#REF!,4,0)</f>
        <v>#REF!</v>
      </c>
      <c r="M643" s="37" t="e">
        <f>_xlfn.IFNA(VLOOKUP(G643,#REF!,2,0),"")</f>
        <v>#REF!</v>
      </c>
      <c r="N643" s="38" t="e">
        <f>_xlfn.IFNA(VLOOKUP(G643,#REF!,3,0),"")</f>
        <v>#REF!</v>
      </c>
      <c r="O643" s="39">
        <v>6</v>
      </c>
      <c r="P643" s="79">
        <v>103.33333333333333</v>
      </c>
      <c r="Q643" s="39" t="s">
        <v>10</v>
      </c>
      <c r="R643" s="34">
        <v>8</v>
      </c>
      <c r="S643" s="38">
        <v>200</v>
      </c>
      <c r="T643" s="40">
        <v>14.634146341463415</v>
      </c>
      <c r="U643" s="41">
        <f t="shared" si="76"/>
        <v>841.30081300813004</v>
      </c>
      <c r="V643" s="42">
        <f t="shared" si="77"/>
        <v>11.684733514001806</v>
      </c>
      <c r="W643" s="43">
        <f t="shared" si="78"/>
        <v>1.7439900767166874</v>
      </c>
      <c r="X643" s="38"/>
      <c r="Y643" s="38"/>
      <c r="Z643" s="44"/>
      <c r="AA643" s="45">
        <v>46163</v>
      </c>
      <c r="AB643" s="45">
        <v>46207</v>
      </c>
      <c r="AC643" s="45"/>
      <c r="AD643" s="46" t="e">
        <f>IF(ISNA(VLOOKUP(D643,#REF!,5,0)),0,VLOOKUP(D643,#REF!,5,0))</f>
        <v>#REF!</v>
      </c>
      <c r="AE643" s="46" t="e">
        <f t="shared" si="75"/>
        <v>#REF!</v>
      </c>
      <c r="AF643" s="45"/>
      <c r="AG643" s="76">
        <f t="shared" si="80"/>
        <v>-46163</v>
      </c>
      <c r="AH643" s="45"/>
      <c r="AI643" s="39"/>
      <c r="AJ643" s="39"/>
      <c r="AK643" s="39"/>
      <c r="AL643" s="35"/>
      <c r="AM643" s="34"/>
      <c r="AN643" s="34"/>
      <c r="AO643" s="39"/>
      <c r="AP643" s="47"/>
      <c r="AQ643" s="47"/>
      <c r="AR643" s="47"/>
      <c r="AS643" s="47"/>
    </row>
    <row r="644" spans="1:45" ht="12" customHeight="1" x14ac:dyDescent="0.25">
      <c r="A644" s="33">
        <f t="shared" si="79"/>
        <v>643</v>
      </c>
      <c r="B644" s="34"/>
      <c r="C644" s="34" t="s">
        <v>192</v>
      </c>
      <c r="D644" s="35" t="s">
        <v>752</v>
      </c>
      <c r="E644" s="34" t="s">
        <v>194</v>
      </c>
      <c r="F644" s="34" t="s">
        <v>195</v>
      </c>
      <c r="G644" s="16" t="s">
        <v>631</v>
      </c>
      <c r="H644" s="34">
        <v>144</v>
      </c>
      <c r="I644" s="34" t="s">
        <v>705</v>
      </c>
      <c r="J644" s="34" t="s">
        <v>234</v>
      </c>
      <c r="K644" s="35" t="s">
        <v>454</v>
      </c>
      <c r="L644" s="36" t="e">
        <f>VLOOKUP(G644,#REF!,4,0)</f>
        <v>#REF!</v>
      </c>
      <c r="M644" s="37" t="e">
        <f>_xlfn.IFNA(VLOOKUP(G644,#REF!,2,0),"")</f>
        <v>#REF!</v>
      </c>
      <c r="N644" s="38" t="e">
        <f>_xlfn.IFNA(VLOOKUP(G644,#REF!,3,0),"")</f>
        <v>#REF!</v>
      </c>
      <c r="O644" s="39">
        <v>12</v>
      </c>
      <c r="P644" s="79">
        <v>206.66666666666666</v>
      </c>
      <c r="Q644" s="39" t="s">
        <v>10</v>
      </c>
      <c r="R644" s="34">
        <v>8</v>
      </c>
      <c r="S644" s="48">
        <v>200</v>
      </c>
      <c r="T644" s="40">
        <v>29.26829268292683</v>
      </c>
      <c r="U644" s="41">
        <f t="shared" si="76"/>
        <v>1682.6016260162601</v>
      </c>
      <c r="V644" s="42">
        <f t="shared" si="77"/>
        <v>11.684733514001806</v>
      </c>
      <c r="W644" s="43">
        <f t="shared" si="78"/>
        <v>1.7439900767166874</v>
      </c>
      <c r="X644" s="38"/>
      <c r="Y644" s="38"/>
      <c r="Z644" s="44"/>
      <c r="AA644" s="45">
        <v>46163</v>
      </c>
      <c r="AB644" s="45">
        <v>46207</v>
      </c>
      <c r="AC644" s="45"/>
      <c r="AD644" s="46" t="e">
        <f>IF(ISNA(VLOOKUP(D644,#REF!,5,0)),0,VLOOKUP(D644,#REF!,5,0))</f>
        <v>#REF!</v>
      </c>
      <c r="AE644" s="46" t="e">
        <f t="shared" si="75"/>
        <v>#REF!</v>
      </c>
      <c r="AF644" s="45"/>
      <c r="AG644" s="76">
        <f t="shared" si="80"/>
        <v>-46163</v>
      </c>
      <c r="AH644" s="45"/>
      <c r="AI644" s="39"/>
      <c r="AJ644" s="39"/>
      <c r="AK644" s="39"/>
      <c r="AL644" s="35"/>
      <c r="AM644" s="34"/>
      <c r="AN644" s="34"/>
      <c r="AO644" s="39"/>
      <c r="AP644" s="47"/>
      <c r="AQ644" s="47"/>
      <c r="AR644" s="47"/>
      <c r="AS644" s="47"/>
    </row>
    <row r="645" spans="1:45" ht="12" customHeight="1" x14ac:dyDescent="0.25">
      <c r="A645" s="33">
        <f t="shared" si="79"/>
        <v>644</v>
      </c>
      <c r="B645" s="34"/>
      <c r="C645" s="34" t="s">
        <v>745</v>
      </c>
      <c r="D645" s="35" t="s">
        <v>753</v>
      </c>
      <c r="E645" s="34" t="s">
        <v>58</v>
      </c>
      <c r="F645" s="34" t="s">
        <v>0</v>
      </c>
      <c r="G645" s="16" t="s">
        <v>57</v>
      </c>
      <c r="H645" s="34">
        <v>396</v>
      </c>
      <c r="I645" s="34" t="s">
        <v>66</v>
      </c>
      <c r="J645" s="34" t="s">
        <v>3</v>
      </c>
      <c r="K645" s="35" t="s">
        <v>7</v>
      </c>
      <c r="L645" s="36" t="e">
        <f>VLOOKUP(G645,#REF!,4,0)</f>
        <v>#REF!</v>
      </c>
      <c r="M645" s="37" t="e">
        <f>_xlfn.IFNA(VLOOKUP(G645,#REF!,2,0),"")</f>
        <v>#REF!</v>
      </c>
      <c r="N645" s="38" t="e">
        <f>_xlfn.IFNA(VLOOKUP(G645,#REF!,3,0),"")</f>
        <v>#REF!</v>
      </c>
      <c r="O645" s="39">
        <v>33</v>
      </c>
      <c r="P645" s="79">
        <v>498.66771428571428</v>
      </c>
      <c r="Q645" s="39" t="s">
        <v>10</v>
      </c>
      <c r="R645" s="34">
        <v>5.2</v>
      </c>
      <c r="S645" s="38">
        <v>200</v>
      </c>
      <c r="T645" s="40">
        <v>72.527472527472526</v>
      </c>
      <c r="U645" s="41">
        <f t="shared" si="76"/>
        <v>2665.5995868131868</v>
      </c>
      <c r="V645" s="42">
        <f t="shared" si="77"/>
        <v>6.7313120879120873</v>
      </c>
      <c r="W645" s="43">
        <f t="shared" si="78"/>
        <v>1.0046734459570279</v>
      </c>
      <c r="X645" s="38"/>
      <c r="Y645" s="38"/>
      <c r="Z645" s="44"/>
      <c r="AA645" s="45">
        <v>46163</v>
      </c>
      <c r="AB645" s="45">
        <v>46185</v>
      </c>
      <c r="AC645" s="45"/>
      <c r="AD645" s="46" t="e">
        <f>IF(ISNA(VLOOKUP(D645,#REF!,5,0)),0,VLOOKUP(D645,#REF!,5,0))</f>
        <v>#REF!</v>
      </c>
      <c r="AE645" s="46" t="e">
        <f t="shared" si="75"/>
        <v>#REF!</v>
      </c>
      <c r="AF645" s="45"/>
      <c r="AG645" s="76">
        <f t="shared" si="80"/>
        <v>-46163</v>
      </c>
      <c r="AH645" s="45"/>
      <c r="AI645" s="39"/>
      <c r="AJ645" s="39"/>
      <c r="AK645" s="39"/>
      <c r="AL645" s="35"/>
      <c r="AM645" s="34"/>
      <c r="AN645" s="34"/>
      <c r="AO645" s="39"/>
      <c r="AP645" s="47"/>
      <c r="AQ645" s="47"/>
      <c r="AR645" s="47"/>
      <c r="AS645" s="47"/>
    </row>
    <row r="646" spans="1:45" ht="12" customHeight="1" x14ac:dyDescent="0.25">
      <c r="A646" s="33">
        <f t="shared" si="79"/>
        <v>645</v>
      </c>
      <c r="B646" s="34"/>
      <c r="C646" s="34" t="s">
        <v>745</v>
      </c>
      <c r="D646" s="35" t="s">
        <v>753</v>
      </c>
      <c r="E646" s="34" t="s">
        <v>58</v>
      </c>
      <c r="F646" s="34" t="s">
        <v>0</v>
      </c>
      <c r="G646" s="16" t="s">
        <v>231</v>
      </c>
      <c r="H646" s="34">
        <v>90</v>
      </c>
      <c r="I646" s="34" t="s">
        <v>66</v>
      </c>
      <c r="J646" s="34" t="s">
        <v>3</v>
      </c>
      <c r="K646" s="35" t="s">
        <v>7</v>
      </c>
      <c r="L646" s="36" t="e">
        <f>VLOOKUP(G646,#REF!,4,0)</f>
        <v>#REF!</v>
      </c>
      <c r="M646" s="37" t="e">
        <f>_xlfn.IFNA(VLOOKUP(G646,#REF!,2,0),"")</f>
        <v>#REF!</v>
      </c>
      <c r="N646" s="38" t="e">
        <f>_xlfn.IFNA(VLOOKUP(G646,#REF!,3,0),"")</f>
        <v>#REF!</v>
      </c>
      <c r="O646" s="39">
        <v>1</v>
      </c>
      <c r="P646" s="79">
        <v>15.111142857142857</v>
      </c>
      <c r="Q646" s="39" t="s">
        <v>10</v>
      </c>
      <c r="R646" s="34">
        <v>5.2</v>
      </c>
      <c r="S646" s="48">
        <v>200</v>
      </c>
      <c r="T646" s="40">
        <v>2.197802197802198</v>
      </c>
      <c r="U646" s="41">
        <f t="shared" si="76"/>
        <v>80.775745054945062</v>
      </c>
      <c r="V646" s="42">
        <f t="shared" si="77"/>
        <v>0.89750827838827851</v>
      </c>
      <c r="W646" s="43">
        <f t="shared" si="78"/>
        <v>0.13395645946093709</v>
      </c>
      <c r="X646" s="38"/>
      <c r="Y646" s="38"/>
      <c r="Z646" s="44"/>
      <c r="AA646" s="45">
        <v>46163</v>
      </c>
      <c r="AB646" s="45">
        <v>46185</v>
      </c>
      <c r="AC646" s="45"/>
      <c r="AD646" s="46" t="e">
        <f>IF(ISNA(VLOOKUP(D646,#REF!,5,0)),0,VLOOKUP(D646,#REF!,5,0))</f>
        <v>#REF!</v>
      </c>
      <c r="AE646" s="46" t="e">
        <f t="shared" si="75"/>
        <v>#REF!</v>
      </c>
      <c r="AF646" s="45"/>
      <c r="AG646" s="76">
        <f t="shared" si="80"/>
        <v>-46163</v>
      </c>
      <c r="AH646" s="45"/>
      <c r="AI646" s="39"/>
      <c r="AJ646" s="39"/>
      <c r="AK646" s="39"/>
      <c r="AL646" s="35"/>
      <c r="AM646" s="34"/>
      <c r="AN646" s="34"/>
      <c r="AO646" s="39"/>
      <c r="AP646" s="47"/>
      <c r="AQ646" s="47"/>
      <c r="AR646" s="47"/>
      <c r="AS646" s="47"/>
    </row>
    <row r="647" spans="1:45" ht="12" customHeight="1" x14ac:dyDescent="0.25">
      <c r="A647" s="33">
        <f t="shared" si="79"/>
        <v>646</v>
      </c>
      <c r="B647" s="34"/>
      <c r="C647" s="34" t="s">
        <v>745</v>
      </c>
      <c r="D647" s="35" t="s">
        <v>753</v>
      </c>
      <c r="E647" s="34" t="s">
        <v>58</v>
      </c>
      <c r="F647" s="34" t="s">
        <v>0</v>
      </c>
      <c r="G647" s="16" t="s">
        <v>232</v>
      </c>
      <c r="H647" s="34">
        <v>90</v>
      </c>
      <c r="I647" s="34" t="s">
        <v>66</v>
      </c>
      <c r="J647" s="34" t="s">
        <v>3</v>
      </c>
      <c r="K647" s="35" t="s">
        <v>7</v>
      </c>
      <c r="L647" s="36" t="e">
        <f>VLOOKUP(G647,#REF!,4,0)</f>
        <v>#REF!</v>
      </c>
      <c r="M647" s="37" t="e">
        <f>_xlfn.IFNA(VLOOKUP(G647,#REF!,2,0),"")</f>
        <v>#REF!</v>
      </c>
      <c r="N647" s="38" t="e">
        <f>_xlfn.IFNA(VLOOKUP(G647,#REF!,3,0),"")</f>
        <v>#REF!</v>
      </c>
      <c r="O647" s="39">
        <v>1</v>
      </c>
      <c r="P647" s="79">
        <v>15.111142857142857</v>
      </c>
      <c r="Q647" s="39" t="s">
        <v>10</v>
      </c>
      <c r="R647" s="34">
        <v>5.2</v>
      </c>
      <c r="S647" s="38"/>
      <c r="T647" s="40">
        <v>2.197802197802198</v>
      </c>
      <c r="U647" s="41">
        <f t="shared" si="76"/>
        <v>80.775745054945062</v>
      </c>
      <c r="V647" s="42">
        <f t="shared" si="77"/>
        <v>0.89750827838827851</v>
      </c>
      <c r="W647" s="43">
        <f t="shared" si="78"/>
        <v>0.13395645946093709</v>
      </c>
      <c r="X647" s="38"/>
      <c r="Y647" s="38"/>
      <c r="Z647" s="44"/>
      <c r="AA647" s="45">
        <v>46163</v>
      </c>
      <c r="AB647" s="45">
        <v>46185</v>
      </c>
      <c r="AC647" s="45"/>
      <c r="AD647" s="46" t="e">
        <f>IF(ISNA(VLOOKUP(D647,#REF!,5,0)),0,VLOOKUP(D647,#REF!,5,0))</f>
        <v>#REF!</v>
      </c>
      <c r="AE647" s="46" t="e">
        <f t="shared" si="75"/>
        <v>#REF!</v>
      </c>
      <c r="AF647" s="45"/>
      <c r="AG647" s="76">
        <f t="shared" si="80"/>
        <v>-46163</v>
      </c>
      <c r="AH647" s="45"/>
      <c r="AI647" s="39"/>
      <c r="AJ647" s="39"/>
      <c r="AK647" s="39"/>
      <c r="AL647" s="35"/>
      <c r="AM647" s="34"/>
      <c r="AN647" s="34"/>
      <c r="AO647" s="39"/>
      <c r="AP647" s="47"/>
      <c r="AQ647" s="47"/>
      <c r="AR647" s="47"/>
      <c r="AS647" s="47"/>
    </row>
    <row r="648" spans="1:45" ht="12" customHeight="1" x14ac:dyDescent="0.25">
      <c r="A648" s="33">
        <f t="shared" si="79"/>
        <v>647</v>
      </c>
      <c r="B648" s="34"/>
      <c r="C648" s="34" t="s">
        <v>745</v>
      </c>
      <c r="D648" s="35" t="s">
        <v>754</v>
      </c>
      <c r="E648" s="34" t="s">
        <v>58</v>
      </c>
      <c r="F648" s="34" t="s">
        <v>0</v>
      </c>
      <c r="G648" s="16" t="s">
        <v>241</v>
      </c>
      <c r="H648" s="34">
        <v>120</v>
      </c>
      <c r="I648" s="34" t="s">
        <v>66</v>
      </c>
      <c r="J648" s="34" t="s">
        <v>3</v>
      </c>
      <c r="K648" s="35" t="s">
        <v>7</v>
      </c>
      <c r="L648" s="36" t="e">
        <f>VLOOKUP(G648,#REF!,4,0)</f>
        <v>#REF!</v>
      </c>
      <c r="M648" s="37" t="e">
        <f>_xlfn.IFNA(VLOOKUP(G648,#REF!,2,0),"")</f>
        <v>#REF!</v>
      </c>
      <c r="N648" s="38" t="e">
        <f>_xlfn.IFNA(VLOOKUP(G648,#REF!,3,0),"")</f>
        <v>#REF!</v>
      </c>
      <c r="O648" s="39">
        <v>10</v>
      </c>
      <c r="P648" s="79">
        <v>151.11000000000001</v>
      </c>
      <c r="Q648" s="39" t="s">
        <v>10</v>
      </c>
      <c r="R648" s="34">
        <v>5.2</v>
      </c>
      <c r="S648" s="38"/>
      <c r="T648" s="40">
        <v>21.978021978021978</v>
      </c>
      <c r="U648" s="41">
        <f t="shared" si="76"/>
        <v>807.750021978022</v>
      </c>
      <c r="V648" s="42">
        <f t="shared" si="77"/>
        <v>6.7312501831501832</v>
      </c>
      <c r="W648" s="43">
        <f t="shared" si="78"/>
        <v>1.0046642064403257</v>
      </c>
      <c r="X648" s="38"/>
      <c r="Y648" s="38"/>
      <c r="Z648" s="44"/>
      <c r="AA648" s="45">
        <v>46163</v>
      </c>
      <c r="AB648" s="45">
        <v>46185</v>
      </c>
      <c r="AC648" s="45"/>
      <c r="AD648" s="46" t="e">
        <f>IF(ISNA(VLOOKUP(D648,#REF!,5,0)),0,VLOOKUP(D648,#REF!,5,0))</f>
        <v>#REF!</v>
      </c>
      <c r="AE648" s="46" t="e">
        <f t="shared" si="75"/>
        <v>#REF!</v>
      </c>
      <c r="AF648" s="45"/>
      <c r="AG648" s="76">
        <f t="shared" si="80"/>
        <v>-46163</v>
      </c>
      <c r="AH648" s="45"/>
      <c r="AI648" s="39"/>
      <c r="AJ648" s="39"/>
      <c r="AK648" s="39"/>
      <c r="AL648" s="35"/>
      <c r="AM648" s="34"/>
      <c r="AN648" s="34"/>
      <c r="AO648" s="39"/>
      <c r="AP648" s="47"/>
      <c r="AQ648" s="47"/>
      <c r="AR648" s="47"/>
      <c r="AS648" s="47"/>
    </row>
    <row r="649" spans="1:45" ht="12" customHeight="1" x14ac:dyDescent="0.25">
      <c r="A649" s="33">
        <f t="shared" si="79"/>
        <v>648</v>
      </c>
      <c r="B649" s="34"/>
      <c r="C649" s="34" t="s">
        <v>742</v>
      </c>
      <c r="D649" s="35" t="s">
        <v>755</v>
      </c>
      <c r="E649" s="34" t="s">
        <v>470</v>
      </c>
      <c r="F649" s="34" t="s">
        <v>0</v>
      </c>
      <c r="G649" s="16" t="s">
        <v>333</v>
      </c>
      <c r="H649" s="34">
        <v>320</v>
      </c>
      <c r="I649" s="34" t="s">
        <v>66</v>
      </c>
      <c r="J649" s="34" t="s">
        <v>3</v>
      </c>
      <c r="K649" s="35" t="s">
        <v>9</v>
      </c>
      <c r="L649" s="36" t="e">
        <f>VLOOKUP(G649,#REF!,4,0)</f>
        <v>#REF!</v>
      </c>
      <c r="M649" s="37" t="e">
        <f>_xlfn.IFNA(VLOOKUP(G649,#REF!,2,0),"")</f>
        <v>#REF!</v>
      </c>
      <c r="N649" s="38" t="e">
        <f>_xlfn.IFNA(VLOOKUP(G649,#REF!,3,0),"")</f>
        <v>#REF!</v>
      </c>
      <c r="O649" s="39">
        <v>10</v>
      </c>
      <c r="P649" s="79">
        <v>208</v>
      </c>
      <c r="Q649" s="39" t="s">
        <v>10</v>
      </c>
      <c r="R649" s="34">
        <v>4.7</v>
      </c>
      <c r="S649" s="38">
        <v>200</v>
      </c>
      <c r="T649" s="40">
        <v>100</v>
      </c>
      <c r="U649" s="41">
        <f t="shared" si="76"/>
        <v>1077.5999999999999</v>
      </c>
      <c r="V649" s="42">
        <f t="shared" si="77"/>
        <v>3.3674999999999997</v>
      </c>
      <c r="W649" s="43">
        <f t="shared" si="78"/>
        <v>0.50261194029850742</v>
      </c>
      <c r="X649" s="38"/>
      <c r="Y649" s="38"/>
      <c r="Z649" s="44"/>
      <c r="AA649" s="45">
        <v>46163</v>
      </c>
      <c r="AB649" s="45">
        <v>46185</v>
      </c>
      <c r="AC649" s="45"/>
      <c r="AD649" s="46" t="e">
        <f>IF(ISNA(VLOOKUP(D649,#REF!,5,0)),0,VLOOKUP(D649,#REF!,5,0))</f>
        <v>#REF!</v>
      </c>
      <c r="AE649" s="46" t="e">
        <f t="shared" si="75"/>
        <v>#REF!</v>
      </c>
      <c r="AF649" s="45"/>
      <c r="AG649" s="76">
        <f t="shared" si="80"/>
        <v>-46163</v>
      </c>
      <c r="AH649" s="45"/>
      <c r="AI649" s="39"/>
      <c r="AJ649" s="39"/>
      <c r="AK649" s="39"/>
      <c r="AL649" s="35"/>
      <c r="AM649" s="34"/>
      <c r="AN649" s="34"/>
      <c r="AO649" s="39"/>
      <c r="AP649" s="47"/>
      <c r="AQ649" s="47"/>
      <c r="AR649" s="47"/>
      <c r="AS649" s="47"/>
    </row>
    <row r="650" spans="1:45" ht="12" customHeight="1" x14ac:dyDescent="0.25">
      <c r="A650" s="33">
        <f t="shared" si="79"/>
        <v>649</v>
      </c>
      <c r="B650" s="34"/>
      <c r="C650" s="34" t="s">
        <v>190</v>
      </c>
      <c r="D650" s="35" t="s">
        <v>756</v>
      </c>
      <c r="E650" s="34" t="s">
        <v>61</v>
      </c>
      <c r="F650" s="34" t="s">
        <v>0</v>
      </c>
      <c r="G650" s="16" t="s">
        <v>245</v>
      </c>
      <c r="H650" s="34">
        <v>90</v>
      </c>
      <c r="I650" s="34" t="s">
        <v>87</v>
      </c>
      <c r="J650" s="34" t="s">
        <v>3</v>
      </c>
      <c r="K650" s="35" t="s">
        <v>7</v>
      </c>
      <c r="L650" s="36" t="e">
        <f>VLOOKUP(G650,#REF!,4,0)</f>
        <v>#REF!</v>
      </c>
      <c r="M650" s="37" t="e">
        <f>_xlfn.IFNA(VLOOKUP(G650,#REF!,2,0),"")</f>
        <v>#REF!</v>
      </c>
      <c r="N650" s="38" t="e">
        <f>_xlfn.IFNA(VLOOKUP(G650,#REF!,3,0),"")</f>
        <v>#REF!</v>
      </c>
      <c r="O650" s="39">
        <v>1</v>
      </c>
      <c r="P650" s="79">
        <v>20.2</v>
      </c>
      <c r="Q650" s="39" t="s">
        <v>10</v>
      </c>
      <c r="R650" s="34">
        <v>5.9</v>
      </c>
      <c r="S650" s="38">
        <v>200</v>
      </c>
      <c r="T650" s="40">
        <v>20</v>
      </c>
      <c r="U650" s="41">
        <f t="shared" si="76"/>
        <v>139.18</v>
      </c>
      <c r="V650" s="42">
        <f t="shared" si="77"/>
        <v>1.5464444444444445</v>
      </c>
      <c r="W650" s="43">
        <f t="shared" si="78"/>
        <v>0.23081260364842454</v>
      </c>
      <c r="X650" s="38"/>
      <c r="Y650" s="38"/>
      <c r="Z650" s="44"/>
      <c r="AA650" s="45">
        <v>46164</v>
      </c>
      <c r="AB650" s="45">
        <v>46186</v>
      </c>
      <c r="AC650" s="45"/>
      <c r="AD650" s="46" t="e">
        <f>IF(ISNA(VLOOKUP(D650,#REF!,5,0)),0,VLOOKUP(D650,#REF!,5,0))</f>
        <v>#REF!</v>
      </c>
      <c r="AE650" s="46" t="e">
        <f t="shared" si="75"/>
        <v>#REF!</v>
      </c>
      <c r="AF650" s="45"/>
      <c r="AG650" s="76">
        <f t="shared" si="80"/>
        <v>-46164</v>
      </c>
      <c r="AH650" s="45"/>
      <c r="AI650" s="39"/>
      <c r="AJ650" s="39"/>
      <c r="AK650" s="39"/>
      <c r="AL650" s="35"/>
      <c r="AM650" s="34"/>
      <c r="AN650" s="34"/>
      <c r="AO650" s="39"/>
      <c r="AP650" s="47"/>
      <c r="AQ650" s="47"/>
      <c r="AR650" s="47"/>
      <c r="AS650" s="47"/>
    </row>
    <row r="651" spans="1:45" ht="12" customHeight="1" x14ac:dyDescent="0.25">
      <c r="A651" s="33">
        <f t="shared" si="79"/>
        <v>650</v>
      </c>
      <c r="B651" s="34"/>
      <c r="C651" s="34" t="s">
        <v>190</v>
      </c>
      <c r="D651" s="35" t="s">
        <v>756</v>
      </c>
      <c r="E651" s="34" t="s">
        <v>61</v>
      </c>
      <c r="F651" s="34" t="s">
        <v>0</v>
      </c>
      <c r="G651" s="16" t="s">
        <v>329</v>
      </c>
      <c r="H651" s="34">
        <v>304</v>
      </c>
      <c r="I651" s="34" t="s">
        <v>87</v>
      </c>
      <c r="J651" s="34" t="s">
        <v>3</v>
      </c>
      <c r="K651" s="35" t="s">
        <v>7</v>
      </c>
      <c r="L651" s="36" t="e">
        <f>VLOOKUP(G651,#REF!,4,0)</f>
        <v>#REF!</v>
      </c>
      <c r="M651" s="37" t="e">
        <f>_xlfn.IFNA(VLOOKUP(G651,#REF!,2,0),"")</f>
        <v>#REF!</v>
      </c>
      <c r="N651" s="38" t="e">
        <f>_xlfn.IFNA(VLOOKUP(G651,#REF!,3,0),"")</f>
        <v>#REF!</v>
      </c>
      <c r="O651" s="39">
        <v>4</v>
      </c>
      <c r="P651" s="79">
        <v>80.8</v>
      </c>
      <c r="Q651" s="39" t="s">
        <v>10</v>
      </c>
      <c r="R651" s="34">
        <v>5.9</v>
      </c>
      <c r="S651" s="48">
        <v>200</v>
      </c>
      <c r="T651" s="40">
        <v>80</v>
      </c>
      <c r="U651" s="41">
        <f t="shared" si="76"/>
        <v>556.72</v>
      </c>
      <c r="V651" s="42">
        <f t="shared" si="77"/>
        <v>1.8313157894736842</v>
      </c>
      <c r="W651" s="43">
        <f t="shared" si="78"/>
        <v>0.27333071484681853</v>
      </c>
      <c r="X651" s="38"/>
      <c r="Y651" s="38"/>
      <c r="Z651" s="44"/>
      <c r="AA651" s="45">
        <v>46164</v>
      </c>
      <c r="AB651" s="45">
        <v>46186</v>
      </c>
      <c r="AC651" s="45"/>
      <c r="AD651" s="46" t="e">
        <f>IF(ISNA(VLOOKUP(D651,#REF!,5,0)),0,VLOOKUP(D651,#REF!,5,0))</f>
        <v>#REF!</v>
      </c>
      <c r="AE651" s="46" t="e">
        <f t="shared" si="75"/>
        <v>#REF!</v>
      </c>
      <c r="AF651" s="45"/>
      <c r="AG651" s="76">
        <f t="shared" si="80"/>
        <v>-46164</v>
      </c>
      <c r="AH651" s="45"/>
      <c r="AI651" s="39"/>
      <c r="AJ651" s="39"/>
      <c r="AK651" s="39"/>
      <c r="AL651" s="35"/>
      <c r="AM651" s="34"/>
      <c r="AN651" s="34"/>
      <c r="AO651" s="39"/>
      <c r="AP651" s="47"/>
      <c r="AQ651" s="47"/>
      <c r="AR651" s="47"/>
      <c r="AS651" s="47"/>
    </row>
    <row r="652" spans="1:45" ht="12" customHeight="1" x14ac:dyDescent="0.25">
      <c r="A652" s="33">
        <f t="shared" si="79"/>
        <v>651</v>
      </c>
      <c r="B652" s="34"/>
      <c r="C652" s="34" t="s">
        <v>190</v>
      </c>
      <c r="D652" s="35" t="s">
        <v>756</v>
      </c>
      <c r="E652" s="34" t="s">
        <v>61</v>
      </c>
      <c r="F652" s="34" t="s">
        <v>0</v>
      </c>
      <c r="G652" s="16" t="s">
        <v>174</v>
      </c>
      <c r="H652" s="34">
        <v>180</v>
      </c>
      <c r="I652" s="34" t="s">
        <v>87</v>
      </c>
      <c r="J652" s="34" t="s">
        <v>3</v>
      </c>
      <c r="K652" s="35" t="s">
        <v>7</v>
      </c>
      <c r="L652" s="36" t="e">
        <f>VLOOKUP(G652,#REF!,4,0)</f>
        <v>#REF!</v>
      </c>
      <c r="M652" s="37" t="e">
        <f>_xlfn.IFNA(VLOOKUP(G652,#REF!,2,0),"")</f>
        <v>#REF!</v>
      </c>
      <c r="N652" s="38" t="e">
        <f>_xlfn.IFNA(VLOOKUP(G652,#REF!,3,0),"")</f>
        <v>#REF!</v>
      </c>
      <c r="O652" s="39">
        <v>2</v>
      </c>
      <c r="P652" s="79">
        <v>40.4</v>
      </c>
      <c r="Q652" s="39" t="s">
        <v>10</v>
      </c>
      <c r="R652" s="34">
        <v>5.9</v>
      </c>
      <c r="S652" s="38"/>
      <c r="T652" s="40">
        <v>40</v>
      </c>
      <c r="U652" s="41">
        <f t="shared" si="76"/>
        <v>278.36</v>
      </c>
      <c r="V652" s="42">
        <f t="shared" si="77"/>
        <v>1.5464444444444445</v>
      </c>
      <c r="W652" s="43">
        <f t="shared" si="78"/>
        <v>0.23081260364842454</v>
      </c>
      <c r="X652" s="38"/>
      <c r="Y652" s="38"/>
      <c r="Z652" s="44"/>
      <c r="AA652" s="45">
        <v>46164</v>
      </c>
      <c r="AB652" s="45">
        <v>46186</v>
      </c>
      <c r="AC652" s="45"/>
      <c r="AD652" s="46" t="e">
        <f>IF(ISNA(VLOOKUP(D652,#REF!,5,0)),0,VLOOKUP(D652,#REF!,5,0))</f>
        <v>#REF!</v>
      </c>
      <c r="AE652" s="46" t="e">
        <f t="shared" si="75"/>
        <v>#REF!</v>
      </c>
      <c r="AF652" s="45"/>
      <c r="AG652" s="76">
        <f t="shared" si="80"/>
        <v>-46164</v>
      </c>
      <c r="AH652" s="45"/>
      <c r="AI652" s="39"/>
      <c r="AJ652" s="39"/>
      <c r="AK652" s="39"/>
      <c r="AL652" s="35"/>
      <c r="AM652" s="34"/>
      <c r="AN652" s="34"/>
      <c r="AO652" s="39"/>
      <c r="AP652" s="47"/>
      <c r="AQ652" s="47"/>
      <c r="AR652" s="47"/>
      <c r="AS652" s="47"/>
    </row>
    <row r="653" spans="1:45" ht="12" customHeight="1" x14ac:dyDescent="0.25">
      <c r="A653" s="33">
        <f t="shared" si="79"/>
        <v>652</v>
      </c>
      <c r="B653" s="34"/>
      <c r="C653" s="34" t="s">
        <v>190</v>
      </c>
      <c r="D653" s="35" t="s">
        <v>756</v>
      </c>
      <c r="E653" s="34" t="s">
        <v>61</v>
      </c>
      <c r="F653" s="34" t="s">
        <v>0</v>
      </c>
      <c r="G653" s="16" t="s">
        <v>88</v>
      </c>
      <c r="H653" s="34">
        <v>70</v>
      </c>
      <c r="I653" s="34" t="s">
        <v>87</v>
      </c>
      <c r="J653" s="34" t="s">
        <v>3</v>
      </c>
      <c r="K653" s="35" t="s">
        <v>7</v>
      </c>
      <c r="L653" s="36" t="e">
        <f>VLOOKUP(G653,#REF!,4,0)</f>
        <v>#REF!</v>
      </c>
      <c r="M653" s="37" t="e">
        <f>_xlfn.IFNA(VLOOKUP(G653,#REF!,2,0),"")</f>
        <v>#REF!</v>
      </c>
      <c r="N653" s="38" t="e">
        <f>_xlfn.IFNA(VLOOKUP(G653,#REF!,3,0),"")</f>
        <v>#REF!</v>
      </c>
      <c r="O653" s="39">
        <v>1</v>
      </c>
      <c r="P653" s="79">
        <v>20.2</v>
      </c>
      <c r="Q653" s="39" t="s">
        <v>10</v>
      </c>
      <c r="R653" s="34">
        <v>5.9</v>
      </c>
      <c r="S653" s="38"/>
      <c r="T653" s="40">
        <v>20</v>
      </c>
      <c r="U653" s="41">
        <f t="shared" si="76"/>
        <v>139.18</v>
      </c>
      <c r="V653" s="42">
        <f t="shared" si="77"/>
        <v>1.9882857142857144</v>
      </c>
      <c r="W653" s="43">
        <f t="shared" si="78"/>
        <v>0.29675906183368872</v>
      </c>
      <c r="X653" s="38"/>
      <c r="Y653" s="38"/>
      <c r="Z653" s="44"/>
      <c r="AA653" s="45">
        <v>46164</v>
      </c>
      <c r="AB653" s="45">
        <v>46186</v>
      </c>
      <c r="AC653" s="45"/>
      <c r="AD653" s="46" t="e">
        <f>IF(ISNA(VLOOKUP(D653,#REF!,5,0)),0,VLOOKUP(D653,#REF!,5,0))</f>
        <v>#REF!</v>
      </c>
      <c r="AE653" s="46" t="e">
        <f t="shared" si="75"/>
        <v>#REF!</v>
      </c>
      <c r="AF653" s="45"/>
      <c r="AG653" s="76">
        <f t="shared" si="80"/>
        <v>-46164</v>
      </c>
      <c r="AH653" s="45"/>
      <c r="AI653" s="39"/>
      <c r="AJ653" s="39"/>
      <c r="AK653" s="39"/>
      <c r="AL653" s="35"/>
      <c r="AM653" s="34"/>
      <c r="AN653" s="34"/>
      <c r="AO653" s="39"/>
      <c r="AP653" s="47"/>
      <c r="AQ653" s="47"/>
      <c r="AR653" s="47"/>
      <c r="AS653" s="47"/>
    </row>
    <row r="654" spans="1:45" ht="12" customHeight="1" x14ac:dyDescent="0.25">
      <c r="A654" s="33">
        <f t="shared" si="79"/>
        <v>653</v>
      </c>
      <c r="B654" s="34"/>
      <c r="C654" s="34" t="s">
        <v>190</v>
      </c>
      <c r="D654" s="35" t="s">
        <v>756</v>
      </c>
      <c r="E654" s="34" t="s">
        <v>61</v>
      </c>
      <c r="F654" s="34" t="s">
        <v>0</v>
      </c>
      <c r="G654" s="16" t="s">
        <v>175</v>
      </c>
      <c r="H654" s="34">
        <v>180</v>
      </c>
      <c r="I654" s="34" t="s">
        <v>87</v>
      </c>
      <c r="J654" s="34" t="s">
        <v>3</v>
      </c>
      <c r="K654" s="35" t="s">
        <v>7</v>
      </c>
      <c r="L654" s="36" t="e">
        <f>VLOOKUP(G654,#REF!,4,0)</f>
        <v>#REF!</v>
      </c>
      <c r="M654" s="37" t="e">
        <f>_xlfn.IFNA(VLOOKUP(G654,#REF!,2,0),"")</f>
        <v>#REF!</v>
      </c>
      <c r="N654" s="38" t="e">
        <f>_xlfn.IFNA(VLOOKUP(G654,#REF!,3,0),"")</f>
        <v>#REF!</v>
      </c>
      <c r="O654" s="39">
        <v>2</v>
      </c>
      <c r="P654" s="79">
        <v>40.4</v>
      </c>
      <c r="Q654" s="39" t="s">
        <v>10</v>
      </c>
      <c r="R654" s="34">
        <v>5.9</v>
      </c>
      <c r="S654" s="38"/>
      <c r="T654" s="40">
        <v>40</v>
      </c>
      <c r="U654" s="41">
        <f t="shared" si="76"/>
        <v>278.36</v>
      </c>
      <c r="V654" s="42">
        <f t="shared" si="77"/>
        <v>1.5464444444444445</v>
      </c>
      <c r="W654" s="43">
        <f t="shared" si="78"/>
        <v>0.23081260364842454</v>
      </c>
      <c r="X654" s="38"/>
      <c r="Y654" s="38"/>
      <c r="Z654" s="44"/>
      <c r="AA654" s="45">
        <v>46164</v>
      </c>
      <c r="AB654" s="45">
        <v>46186</v>
      </c>
      <c r="AC654" s="45"/>
      <c r="AD654" s="46" t="e">
        <f>IF(ISNA(VLOOKUP(D654,#REF!,5,0)),0,VLOOKUP(D654,#REF!,5,0))</f>
        <v>#REF!</v>
      </c>
      <c r="AE654" s="46" t="e">
        <f t="shared" si="75"/>
        <v>#REF!</v>
      </c>
      <c r="AF654" s="45"/>
      <c r="AG654" s="76">
        <f t="shared" si="80"/>
        <v>-46164</v>
      </c>
      <c r="AH654" s="45"/>
      <c r="AI654" s="39"/>
      <c r="AJ654" s="39"/>
      <c r="AK654" s="39"/>
      <c r="AL654" s="35"/>
      <c r="AM654" s="34"/>
      <c r="AN654" s="34"/>
      <c r="AO654" s="39"/>
      <c r="AP654" s="47"/>
      <c r="AQ654" s="47"/>
      <c r="AR654" s="47"/>
      <c r="AS654" s="47"/>
    </row>
    <row r="655" spans="1:45" ht="12" customHeight="1" x14ac:dyDescent="0.25">
      <c r="A655" s="33">
        <f t="shared" si="79"/>
        <v>654</v>
      </c>
      <c r="B655" s="34"/>
      <c r="C655" s="34" t="s">
        <v>192</v>
      </c>
      <c r="D655" s="35" t="s">
        <v>757</v>
      </c>
      <c r="E655" s="34" t="s">
        <v>194</v>
      </c>
      <c r="F655" s="34" t="s">
        <v>195</v>
      </c>
      <c r="G655" s="16" t="s">
        <v>758</v>
      </c>
      <c r="H655" s="34">
        <v>180</v>
      </c>
      <c r="I655" s="34" t="s">
        <v>705</v>
      </c>
      <c r="J655" s="34" t="s">
        <v>234</v>
      </c>
      <c r="K655" s="35" t="s">
        <v>454</v>
      </c>
      <c r="L655" s="36" t="e">
        <f>VLOOKUP(G655,#REF!,4,0)</f>
        <v>#REF!</v>
      </c>
      <c r="M655" s="37" t="e">
        <f>_xlfn.IFNA(VLOOKUP(G655,#REF!,2,0),"")</f>
        <v>#REF!</v>
      </c>
      <c r="N655" s="38" t="e">
        <f>_xlfn.IFNA(VLOOKUP(G655,#REF!,3,0),"")</f>
        <v>#REF!</v>
      </c>
      <c r="O655" s="39">
        <v>45</v>
      </c>
      <c r="P655" s="79">
        <v>1095.3191489361702</v>
      </c>
      <c r="Q655" s="39" t="s">
        <v>10</v>
      </c>
      <c r="R655" s="34">
        <v>6.8</v>
      </c>
      <c r="S655" s="38">
        <v>200</v>
      </c>
      <c r="T655" s="40">
        <v>109.7560975609756</v>
      </c>
      <c r="U655" s="41">
        <f t="shared" si="76"/>
        <v>7557.9263103269332</v>
      </c>
      <c r="V655" s="42">
        <f t="shared" si="77"/>
        <v>41.988479501816293</v>
      </c>
      <c r="W655" s="43">
        <f t="shared" si="78"/>
        <v>6.2669372390770581</v>
      </c>
      <c r="X655" s="38"/>
      <c r="Y655" s="38"/>
      <c r="Z655" s="44"/>
      <c r="AA655" s="45">
        <v>46164</v>
      </c>
      <c r="AB655" s="45">
        <v>46207</v>
      </c>
      <c r="AC655" s="45"/>
      <c r="AD655" s="46" t="e">
        <f>IF(ISNA(VLOOKUP(D655,#REF!,5,0)),0,VLOOKUP(D655,#REF!,5,0))</f>
        <v>#REF!</v>
      </c>
      <c r="AE655" s="46" t="e">
        <f t="shared" si="75"/>
        <v>#REF!</v>
      </c>
      <c r="AF655" s="45"/>
      <c r="AG655" s="76">
        <f t="shared" si="80"/>
        <v>-46164</v>
      </c>
      <c r="AH655" s="45"/>
      <c r="AI655" s="39"/>
      <c r="AJ655" s="39"/>
      <c r="AK655" s="39"/>
      <c r="AL655" s="35"/>
      <c r="AM655" s="34"/>
      <c r="AN655" s="34"/>
      <c r="AO655" s="39"/>
      <c r="AP655" s="47"/>
      <c r="AQ655" s="47"/>
      <c r="AR655" s="47"/>
      <c r="AS655" s="47"/>
    </row>
    <row r="656" spans="1:45" ht="12" customHeight="1" x14ac:dyDescent="0.25">
      <c r="A656" s="33">
        <f t="shared" si="79"/>
        <v>655</v>
      </c>
      <c r="B656" s="34"/>
      <c r="C656" s="34" t="s">
        <v>192</v>
      </c>
      <c r="D656" s="35" t="s">
        <v>757</v>
      </c>
      <c r="E656" s="34" t="s">
        <v>194</v>
      </c>
      <c r="F656" s="34" t="s">
        <v>195</v>
      </c>
      <c r="G656" s="16" t="s">
        <v>120</v>
      </c>
      <c r="H656" s="34">
        <v>72</v>
      </c>
      <c r="I656" s="34" t="s">
        <v>705</v>
      </c>
      <c r="J656" s="34" t="s">
        <v>234</v>
      </c>
      <c r="K656" s="35" t="s">
        <v>454</v>
      </c>
      <c r="L656" s="36" t="e">
        <f>VLOOKUP(G656,#REF!,4,0)</f>
        <v>#REF!</v>
      </c>
      <c r="M656" s="37" t="e">
        <f>_xlfn.IFNA(VLOOKUP(G656,#REF!,2,0),"")</f>
        <v>#REF!</v>
      </c>
      <c r="N656" s="38" t="e">
        <f>_xlfn.IFNA(VLOOKUP(G656,#REF!,3,0),"")</f>
        <v>#REF!</v>
      </c>
      <c r="O656" s="39">
        <v>2</v>
      </c>
      <c r="P656" s="79">
        <v>48.680851063829785</v>
      </c>
      <c r="Q656" s="39" t="s">
        <v>10</v>
      </c>
      <c r="R656" s="34">
        <v>6.8</v>
      </c>
      <c r="S656" s="48">
        <v>200</v>
      </c>
      <c r="T656" s="40">
        <v>4.8780487804878048</v>
      </c>
      <c r="U656" s="41">
        <f t="shared" si="76"/>
        <v>335.90783601453035</v>
      </c>
      <c r="V656" s="42">
        <f t="shared" si="77"/>
        <v>4.6653866113129219</v>
      </c>
      <c r="W656" s="43">
        <f t="shared" si="78"/>
        <v>0.69632635989745095</v>
      </c>
      <c r="X656" s="38"/>
      <c r="Y656" s="38"/>
      <c r="Z656" s="44"/>
      <c r="AA656" s="45">
        <v>46164</v>
      </c>
      <c r="AB656" s="45">
        <v>46207</v>
      </c>
      <c r="AC656" s="45"/>
      <c r="AD656" s="46" t="e">
        <f>IF(ISNA(VLOOKUP(D656,#REF!,5,0)),0,VLOOKUP(D656,#REF!,5,0))</f>
        <v>#REF!</v>
      </c>
      <c r="AE656" s="46" t="e">
        <f t="shared" si="75"/>
        <v>#REF!</v>
      </c>
      <c r="AF656" s="45"/>
      <c r="AG656" s="76">
        <f t="shared" si="80"/>
        <v>-46164</v>
      </c>
      <c r="AH656" s="45"/>
      <c r="AI656" s="39"/>
      <c r="AJ656" s="39"/>
      <c r="AK656" s="39"/>
      <c r="AL656" s="35"/>
      <c r="AM656" s="34"/>
      <c r="AN656" s="34"/>
      <c r="AO656" s="39"/>
      <c r="AP656" s="47"/>
      <c r="AQ656" s="47"/>
      <c r="AR656" s="47"/>
      <c r="AS656" s="47"/>
    </row>
    <row r="657" spans="1:45" ht="12" customHeight="1" x14ac:dyDescent="0.25">
      <c r="A657" s="33">
        <f t="shared" si="79"/>
        <v>656</v>
      </c>
      <c r="B657" s="34"/>
      <c r="C657" s="34" t="s">
        <v>192</v>
      </c>
      <c r="D657" s="35" t="s">
        <v>759</v>
      </c>
      <c r="E657" s="34" t="s">
        <v>194</v>
      </c>
      <c r="F657" s="34" t="s">
        <v>195</v>
      </c>
      <c r="G657" s="16" t="s">
        <v>275</v>
      </c>
      <c r="H657" s="34">
        <v>102</v>
      </c>
      <c r="I657" s="34" t="s">
        <v>705</v>
      </c>
      <c r="J657" s="34" t="s">
        <v>234</v>
      </c>
      <c r="K657" s="35" t="s">
        <v>309</v>
      </c>
      <c r="L657" s="36" t="e">
        <f>VLOOKUP(G657,#REF!,4,0)</f>
        <v>#REF!</v>
      </c>
      <c r="M657" s="37" t="e">
        <f>_xlfn.IFNA(VLOOKUP(G657,#REF!,2,0),"")</f>
        <v>#REF!</v>
      </c>
      <c r="N657" s="38" t="e">
        <f>_xlfn.IFNA(VLOOKUP(G657,#REF!,3,0),"")</f>
        <v>#REF!</v>
      </c>
      <c r="O657" s="39">
        <v>17</v>
      </c>
      <c r="P657" s="79">
        <v>273</v>
      </c>
      <c r="Q657" s="39" t="s">
        <v>10</v>
      </c>
      <c r="R657" s="34">
        <v>7.5</v>
      </c>
      <c r="S657" s="38"/>
      <c r="T657" s="40">
        <v>41.463414634146339</v>
      </c>
      <c r="U657" s="41">
        <f t="shared" si="76"/>
        <v>2088.9634146341464</v>
      </c>
      <c r="V657" s="42">
        <f t="shared" si="77"/>
        <v>20.480033476805357</v>
      </c>
      <c r="W657" s="43">
        <f t="shared" si="78"/>
        <v>3.0567214144485608</v>
      </c>
      <c r="X657" s="38"/>
      <c r="Y657" s="38"/>
      <c r="Z657" s="44"/>
      <c r="AA657" s="45">
        <v>46164</v>
      </c>
      <c r="AB657" s="45">
        <v>46207</v>
      </c>
      <c r="AC657" s="45"/>
      <c r="AD657" s="46" t="e">
        <f>IF(ISNA(VLOOKUP(D657,#REF!,5,0)),0,VLOOKUP(D657,#REF!,5,0))</f>
        <v>#REF!</v>
      </c>
      <c r="AE657" s="46" t="e">
        <f t="shared" si="75"/>
        <v>#REF!</v>
      </c>
      <c r="AF657" s="45"/>
      <c r="AG657" s="76">
        <f t="shared" si="80"/>
        <v>-46164</v>
      </c>
      <c r="AH657" s="45"/>
      <c r="AI657" s="39"/>
      <c r="AJ657" s="39"/>
      <c r="AK657" s="39"/>
      <c r="AL657" s="35"/>
      <c r="AM657" s="34"/>
      <c r="AN657" s="34"/>
      <c r="AO657" s="39"/>
      <c r="AP657" s="47"/>
      <c r="AQ657" s="47"/>
      <c r="AR657" s="47"/>
      <c r="AS657" s="47"/>
    </row>
    <row r="658" spans="1:45" ht="12" customHeight="1" x14ac:dyDescent="0.25">
      <c r="A658" s="33">
        <f t="shared" si="79"/>
        <v>657</v>
      </c>
      <c r="B658" s="34"/>
      <c r="C658" s="34" t="s">
        <v>762</v>
      </c>
      <c r="D658" s="35" t="s">
        <v>763</v>
      </c>
      <c r="E658" s="34" t="s">
        <v>172</v>
      </c>
      <c r="F658" s="34" t="s">
        <v>0</v>
      </c>
      <c r="G658" s="16" t="s">
        <v>251</v>
      </c>
      <c r="H658" s="34">
        <v>300</v>
      </c>
      <c r="I658" s="34" t="s">
        <v>66</v>
      </c>
      <c r="J658" s="34" t="s">
        <v>3</v>
      </c>
      <c r="K658" s="35" t="s">
        <v>5</v>
      </c>
      <c r="L658" s="36" t="e">
        <f>VLOOKUP(G658,#REF!,4,0)</f>
        <v>#REF!</v>
      </c>
      <c r="M658" s="37" t="e">
        <f>_xlfn.IFNA(VLOOKUP(G658,#REF!,2,0),"")</f>
        <v>#REF!</v>
      </c>
      <c r="N658" s="38" t="e">
        <f>_xlfn.IFNA(VLOOKUP(G658,#REF!,3,0),"")</f>
        <v>#REF!</v>
      </c>
      <c r="O658" s="39">
        <v>10</v>
      </c>
      <c r="P658" s="79">
        <v>153.33333333333334</v>
      </c>
      <c r="Q658" s="39" t="s">
        <v>10</v>
      </c>
      <c r="R658" s="34">
        <v>4</v>
      </c>
      <c r="S658" s="38">
        <v>200</v>
      </c>
      <c r="T658" s="40">
        <v>29.850746268656717</v>
      </c>
      <c r="U658" s="41">
        <f t="shared" ref="U658:U687" si="81">R658*P658+T658</f>
        <v>643.18407960199011</v>
      </c>
      <c r="V658" s="42">
        <f t="shared" ref="V658:V687" si="82">U658/H658</f>
        <v>2.1439469320066338</v>
      </c>
      <c r="W658" s="43">
        <f t="shared" ref="W658:W687" si="83">V658/6.7</f>
        <v>0.31999207940397517</v>
      </c>
      <c r="X658" s="38"/>
      <c r="Y658" s="38"/>
      <c r="Z658" s="44"/>
      <c r="AA658" s="45">
        <v>46171</v>
      </c>
      <c r="AB658" s="45">
        <v>46202</v>
      </c>
      <c r="AC658" s="45"/>
      <c r="AD658" s="44"/>
      <c r="AE658" s="44"/>
      <c r="AF658" s="45"/>
      <c r="AG658" s="76">
        <f t="shared" si="80"/>
        <v>-46171</v>
      </c>
      <c r="AH658" s="45"/>
      <c r="AI658" s="39"/>
      <c r="AJ658" s="39"/>
      <c r="AK658" s="39"/>
      <c r="AL658" s="35"/>
      <c r="AM658" s="34"/>
      <c r="AN658" s="34"/>
      <c r="AO658" s="39"/>
      <c r="AP658" s="47"/>
      <c r="AQ658" s="47"/>
      <c r="AR658" s="47"/>
      <c r="AS658" s="47"/>
    </row>
    <row r="659" spans="1:45" ht="12" customHeight="1" x14ac:dyDescent="0.25">
      <c r="A659" s="33">
        <f t="shared" si="79"/>
        <v>658</v>
      </c>
      <c r="B659" s="34"/>
      <c r="C659" s="34" t="s">
        <v>762</v>
      </c>
      <c r="D659" s="35" t="s">
        <v>763</v>
      </c>
      <c r="E659" s="34" t="s">
        <v>172</v>
      </c>
      <c r="F659" s="34" t="s">
        <v>0</v>
      </c>
      <c r="G659" s="16" t="s">
        <v>252</v>
      </c>
      <c r="H659" s="34">
        <v>120</v>
      </c>
      <c r="I659" s="34" t="s">
        <v>66</v>
      </c>
      <c r="J659" s="34" t="s">
        <v>3</v>
      </c>
      <c r="K659" s="35" t="s">
        <v>5</v>
      </c>
      <c r="L659" s="36" t="e">
        <f>VLOOKUP(G659,#REF!,4,0)</f>
        <v>#REF!</v>
      </c>
      <c r="M659" s="37" t="e">
        <f>_xlfn.IFNA(VLOOKUP(G659,#REF!,2,0),"")</f>
        <v>#REF!</v>
      </c>
      <c r="N659" s="38" t="e">
        <f>_xlfn.IFNA(VLOOKUP(G659,#REF!,3,0),"")</f>
        <v>#REF!</v>
      </c>
      <c r="O659" s="39">
        <v>4</v>
      </c>
      <c r="P659" s="79">
        <v>61.333333333333336</v>
      </c>
      <c r="Q659" s="39" t="s">
        <v>10</v>
      </c>
      <c r="R659" s="34">
        <v>4</v>
      </c>
      <c r="S659" s="48">
        <v>200</v>
      </c>
      <c r="T659" s="40">
        <v>11.940298507462687</v>
      </c>
      <c r="U659" s="41">
        <f t="shared" si="81"/>
        <v>257.27363184079604</v>
      </c>
      <c r="V659" s="42">
        <f t="shared" si="82"/>
        <v>2.1439469320066338</v>
      </c>
      <c r="W659" s="43">
        <f t="shared" si="83"/>
        <v>0.31999207940397517</v>
      </c>
      <c r="X659" s="38"/>
      <c r="Y659" s="38"/>
      <c r="Z659" s="44"/>
      <c r="AA659" s="45">
        <v>46171</v>
      </c>
      <c r="AB659" s="45">
        <v>46202</v>
      </c>
      <c r="AC659" s="45"/>
      <c r="AD659" s="44"/>
      <c r="AE659" s="44"/>
      <c r="AF659" s="45"/>
      <c r="AG659" s="76">
        <f t="shared" si="80"/>
        <v>-46171</v>
      </c>
      <c r="AH659" s="45"/>
      <c r="AI659" s="39"/>
      <c r="AJ659" s="39"/>
      <c r="AK659" s="39"/>
      <c r="AL659" s="35"/>
      <c r="AM659" s="34"/>
      <c r="AN659" s="34"/>
      <c r="AO659" s="39"/>
      <c r="AP659" s="47"/>
      <c r="AQ659" s="47"/>
      <c r="AR659" s="47"/>
      <c r="AS659" s="47"/>
    </row>
    <row r="660" spans="1:45" ht="12" customHeight="1" x14ac:dyDescent="0.25">
      <c r="A660" s="33">
        <f t="shared" si="79"/>
        <v>659</v>
      </c>
      <c r="B660" s="34"/>
      <c r="C660" s="34" t="s">
        <v>762</v>
      </c>
      <c r="D660" s="35" t="s">
        <v>763</v>
      </c>
      <c r="E660" s="34" t="s">
        <v>172</v>
      </c>
      <c r="F660" s="34" t="s">
        <v>0</v>
      </c>
      <c r="G660" s="16" t="s">
        <v>256</v>
      </c>
      <c r="H660" s="34">
        <v>60</v>
      </c>
      <c r="I660" s="34" t="s">
        <v>66</v>
      </c>
      <c r="J660" s="34" t="s">
        <v>3</v>
      </c>
      <c r="K660" s="35" t="s">
        <v>5</v>
      </c>
      <c r="L660" s="36" t="e">
        <f>VLOOKUP(G660,#REF!,4,0)</f>
        <v>#REF!</v>
      </c>
      <c r="M660" s="37" t="e">
        <f>_xlfn.IFNA(VLOOKUP(G660,#REF!,2,0),"")</f>
        <v>#REF!</v>
      </c>
      <c r="N660" s="38" t="e">
        <f>_xlfn.IFNA(VLOOKUP(G660,#REF!,3,0),"")</f>
        <v>#REF!</v>
      </c>
      <c r="O660" s="39">
        <v>3</v>
      </c>
      <c r="P660" s="79">
        <v>46</v>
      </c>
      <c r="Q660" s="39" t="s">
        <v>10</v>
      </c>
      <c r="R660" s="34">
        <v>4</v>
      </c>
      <c r="S660" s="38"/>
      <c r="T660" s="40">
        <v>8.9552238805970141</v>
      </c>
      <c r="U660" s="41">
        <f t="shared" si="81"/>
        <v>192.955223880597</v>
      </c>
      <c r="V660" s="42">
        <f t="shared" si="82"/>
        <v>3.21592039800995</v>
      </c>
      <c r="W660" s="43">
        <f t="shared" si="83"/>
        <v>0.47998811910596267</v>
      </c>
      <c r="X660" s="38"/>
      <c r="Y660" s="38"/>
      <c r="Z660" s="44"/>
      <c r="AA660" s="45">
        <v>46171</v>
      </c>
      <c r="AB660" s="45">
        <v>46202</v>
      </c>
      <c r="AC660" s="45"/>
      <c r="AD660" s="44"/>
      <c r="AE660" s="44"/>
      <c r="AF660" s="45"/>
      <c r="AG660" s="76">
        <f t="shared" si="80"/>
        <v>-46171</v>
      </c>
      <c r="AH660" s="45"/>
      <c r="AI660" s="39"/>
      <c r="AJ660" s="39"/>
      <c r="AK660" s="39"/>
      <c r="AL660" s="35"/>
      <c r="AM660" s="34"/>
      <c r="AN660" s="34"/>
      <c r="AO660" s="39"/>
      <c r="AP660" s="47"/>
      <c r="AQ660" s="47"/>
      <c r="AR660" s="47"/>
      <c r="AS660" s="47"/>
    </row>
    <row r="661" spans="1:45" ht="12" customHeight="1" x14ac:dyDescent="0.25">
      <c r="A661" s="33">
        <f t="shared" si="79"/>
        <v>660</v>
      </c>
      <c r="B661" s="34"/>
      <c r="C661" s="34" t="s">
        <v>762</v>
      </c>
      <c r="D661" s="35" t="s">
        <v>763</v>
      </c>
      <c r="E661" s="34" t="s">
        <v>172</v>
      </c>
      <c r="F661" s="34" t="s">
        <v>0</v>
      </c>
      <c r="G661" s="16" t="s">
        <v>665</v>
      </c>
      <c r="H661" s="34">
        <v>120</v>
      </c>
      <c r="I661" s="34" t="s">
        <v>66</v>
      </c>
      <c r="J661" s="34" t="s">
        <v>3</v>
      </c>
      <c r="K661" s="35" t="s">
        <v>5</v>
      </c>
      <c r="L661" s="36" t="e">
        <f>VLOOKUP(G661,#REF!,4,0)</f>
        <v>#REF!</v>
      </c>
      <c r="M661" s="37" t="e">
        <f>_xlfn.IFNA(VLOOKUP(G661,#REF!,2,0),"")</f>
        <v>#REF!</v>
      </c>
      <c r="N661" s="38" t="e">
        <f>_xlfn.IFNA(VLOOKUP(G661,#REF!,3,0),"")</f>
        <v>#REF!</v>
      </c>
      <c r="O661" s="39">
        <v>4</v>
      </c>
      <c r="P661" s="79">
        <v>61.333333333333336</v>
      </c>
      <c r="Q661" s="39" t="s">
        <v>10</v>
      </c>
      <c r="R661" s="34">
        <v>4</v>
      </c>
      <c r="S661" s="38"/>
      <c r="T661" s="40">
        <v>11.940298507462687</v>
      </c>
      <c r="U661" s="41">
        <f t="shared" si="81"/>
        <v>257.27363184079604</v>
      </c>
      <c r="V661" s="42">
        <f t="shared" si="82"/>
        <v>2.1439469320066338</v>
      </c>
      <c r="W661" s="43">
        <f t="shared" si="83"/>
        <v>0.31999207940397517</v>
      </c>
      <c r="X661" s="38"/>
      <c r="Y661" s="38"/>
      <c r="Z661" s="44"/>
      <c r="AA661" s="45">
        <v>46171</v>
      </c>
      <c r="AB661" s="45">
        <v>46202</v>
      </c>
      <c r="AC661" s="45"/>
      <c r="AD661" s="44"/>
      <c r="AE661" s="44"/>
      <c r="AF661" s="45"/>
      <c r="AG661" s="76">
        <f t="shared" si="80"/>
        <v>-46171</v>
      </c>
      <c r="AH661" s="45"/>
      <c r="AI661" s="39"/>
      <c r="AJ661" s="39"/>
      <c r="AK661" s="39"/>
      <c r="AL661" s="35"/>
      <c r="AM661" s="34"/>
      <c r="AN661" s="34"/>
      <c r="AO661" s="39"/>
      <c r="AP661" s="47"/>
      <c r="AQ661" s="47"/>
      <c r="AR661" s="47"/>
      <c r="AS661" s="47"/>
    </row>
    <row r="662" spans="1:45" ht="12" customHeight="1" x14ac:dyDescent="0.25">
      <c r="A662" s="33">
        <f t="shared" si="79"/>
        <v>661</v>
      </c>
      <c r="B662" s="34"/>
      <c r="C662" s="34" t="s">
        <v>762</v>
      </c>
      <c r="D662" s="35" t="s">
        <v>764</v>
      </c>
      <c r="E662" s="34" t="s">
        <v>61</v>
      </c>
      <c r="F662" s="34" t="s">
        <v>0</v>
      </c>
      <c r="G662" s="16" t="s">
        <v>242</v>
      </c>
      <c r="H662" s="34">
        <v>400</v>
      </c>
      <c r="I662" s="34" t="s">
        <v>66</v>
      </c>
      <c r="J662" s="34" t="s">
        <v>3</v>
      </c>
      <c r="K662" s="35" t="s">
        <v>9</v>
      </c>
      <c r="L662" s="36" t="e">
        <f>VLOOKUP(G662,#REF!,4,0)</f>
        <v>#REF!</v>
      </c>
      <c r="M662" s="37" t="e">
        <f>_xlfn.IFNA(VLOOKUP(G662,#REF!,2,0),"")</f>
        <v>#REF!</v>
      </c>
      <c r="N662" s="38" t="e">
        <f>_xlfn.IFNA(VLOOKUP(G662,#REF!,3,0),"")</f>
        <v>#REF!</v>
      </c>
      <c r="O662" s="39">
        <v>10</v>
      </c>
      <c r="P662" s="79">
        <v>138.26086956521738</v>
      </c>
      <c r="Q662" s="39" t="s">
        <v>10</v>
      </c>
      <c r="R662" s="34">
        <v>5</v>
      </c>
      <c r="S662" s="38"/>
      <c r="T662" s="40">
        <v>29.850746268656717</v>
      </c>
      <c r="U662" s="41">
        <f t="shared" si="81"/>
        <v>721.15509409474362</v>
      </c>
      <c r="V662" s="42">
        <f t="shared" si="82"/>
        <v>1.8028877352368591</v>
      </c>
      <c r="W662" s="43">
        <f t="shared" si="83"/>
        <v>0.26908772167714312</v>
      </c>
      <c r="X662" s="38"/>
      <c r="Y662" s="38"/>
      <c r="Z662" s="44"/>
      <c r="AA662" s="45">
        <v>46171</v>
      </c>
      <c r="AB662" s="45">
        <v>46202</v>
      </c>
      <c r="AC662" s="45"/>
      <c r="AD662" s="44"/>
      <c r="AE662" s="44"/>
      <c r="AF662" s="45"/>
      <c r="AG662" s="76">
        <f t="shared" si="80"/>
        <v>-46171</v>
      </c>
      <c r="AH662" s="45"/>
      <c r="AI662" s="39"/>
      <c r="AJ662" s="39"/>
      <c r="AK662" s="39"/>
      <c r="AL662" s="35"/>
      <c r="AM662" s="34"/>
      <c r="AN662" s="34"/>
      <c r="AO662" s="39"/>
      <c r="AP662" s="47"/>
      <c r="AQ662" s="47"/>
      <c r="AR662" s="47"/>
      <c r="AS662" s="47"/>
    </row>
    <row r="663" spans="1:45" ht="12" customHeight="1" x14ac:dyDescent="0.25">
      <c r="A663" s="33">
        <f t="shared" si="79"/>
        <v>662</v>
      </c>
      <c r="B663" s="34"/>
      <c r="C663" s="34" t="s">
        <v>762</v>
      </c>
      <c r="D663" s="35" t="s">
        <v>764</v>
      </c>
      <c r="E663" s="34" t="s">
        <v>61</v>
      </c>
      <c r="F663" s="34" t="s">
        <v>0</v>
      </c>
      <c r="G663" s="16" t="s">
        <v>148</v>
      </c>
      <c r="H663" s="34">
        <v>690</v>
      </c>
      <c r="I663" s="34" t="s">
        <v>66</v>
      </c>
      <c r="J663" s="34" t="s">
        <v>3</v>
      </c>
      <c r="K663" s="35" t="s">
        <v>9</v>
      </c>
      <c r="L663" s="36" t="e">
        <f>VLOOKUP(G663,#REF!,4,0)</f>
        <v>#REF!</v>
      </c>
      <c r="M663" s="37" t="e">
        <f>_xlfn.IFNA(VLOOKUP(G663,#REF!,2,0),"")</f>
        <v>#REF!</v>
      </c>
      <c r="N663" s="38" t="e">
        <f>_xlfn.IFNA(VLOOKUP(G663,#REF!,3,0),"")</f>
        <v>#REF!</v>
      </c>
      <c r="O663" s="39">
        <v>23</v>
      </c>
      <c r="P663" s="79">
        <v>318</v>
      </c>
      <c r="Q663" s="39" t="s">
        <v>10</v>
      </c>
      <c r="R663" s="34">
        <v>5</v>
      </c>
      <c r="S663" s="38"/>
      <c r="T663" s="40">
        <v>68.656716417910445</v>
      </c>
      <c r="U663" s="41">
        <f t="shared" si="81"/>
        <v>1658.6567164179105</v>
      </c>
      <c r="V663" s="42">
        <f t="shared" si="82"/>
        <v>2.4038503136491456</v>
      </c>
      <c r="W663" s="43">
        <f t="shared" si="83"/>
        <v>0.35878362890285753</v>
      </c>
      <c r="X663" s="38"/>
      <c r="Y663" s="38"/>
      <c r="Z663" s="44"/>
      <c r="AA663" s="45">
        <v>46171</v>
      </c>
      <c r="AB663" s="45">
        <v>46202</v>
      </c>
      <c r="AC663" s="45"/>
      <c r="AD663" s="44"/>
      <c r="AE663" s="44"/>
      <c r="AF663" s="45"/>
      <c r="AG663" s="76">
        <f t="shared" si="80"/>
        <v>-46171</v>
      </c>
      <c r="AH663" s="45"/>
      <c r="AI663" s="39"/>
      <c r="AJ663" s="39"/>
      <c r="AK663" s="39"/>
      <c r="AL663" s="35"/>
      <c r="AM663" s="34"/>
      <c r="AN663" s="34"/>
      <c r="AO663" s="39"/>
      <c r="AP663" s="47"/>
      <c r="AQ663" s="47"/>
      <c r="AR663" s="47"/>
      <c r="AS663" s="47"/>
    </row>
    <row r="664" spans="1:45" ht="12" customHeight="1" x14ac:dyDescent="0.25">
      <c r="A664" s="33">
        <f t="shared" si="79"/>
        <v>663</v>
      </c>
      <c r="B664" s="34"/>
      <c r="C664" s="34" t="s">
        <v>762</v>
      </c>
      <c r="D664" s="35" t="s">
        <v>764</v>
      </c>
      <c r="E664" s="34" t="s">
        <v>61</v>
      </c>
      <c r="F664" s="34" t="s">
        <v>0</v>
      </c>
      <c r="G664" s="16" t="s">
        <v>283</v>
      </c>
      <c r="H664" s="34">
        <v>300</v>
      </c>
      <c r="I664" s="34" t="s">
        <v>66</v>
      </c>
      <c r="J664" s="34" t="s">
        <v>3</v>
      </c>
      <c r="K664" s="35" t="s">
        <v>9</v>
      </c>
      <c r="L664" s="36" t="e">
        <f>VLOOKUP(G664,#REF!,4,0)</f>
        <v>#REF!</v>
      </c>
      <c r="M664" s="37" t="e">
        <f>_xlfn.IFNA(VLOOKUP(G664,#REF!,2,0),"")</f>
        <v>#REF!</v>
      </c>
      <c r="N664" s="38" t="e">
        <f>_xlfn.IFNA(VLOOKUP(G664,#REF!,3,0),"")</f>
        <v>#REF!</v>
      </c>
      <c r="O664" s="39">
        <v>10</v>
      </c>
      <c r="P664" s="79">
        <v>138.26086956521738</v>
      </c>
      <c r="Q664" s="39" t="s">
        <v>10</v>
      </c>
      <c r="R664" s="34">
        <v>5</v>
      </c>
      <c r="S664" s="38"/>
      <c r="T664" s="40">
        <v>29.850746268656717</v>
      </c>
      <c r="U664" s="41">
        <f t="shared" si="81"/>
        <v>721.15509409474362</v>
      </c>
      <c r="V664" s="42">
        <f t="shared" si="82"/>
        <v>2.4038503136491456</v>
      </c>
      <c r="W664" s="43">
        <f t="shared" si="83"/>
        <v>0.35878362890285753</v>
      </c>
      <c r="X664" s="38"/>
      <c r="Y664" s="38"/>
      <c r="Z664" s="44"/>
      <c r="AA664" s="45">
        <v>46171</v>
      </c>
      <c r="AB664" s="45">
        <v>46202</v>
      </c>
      <c r="AC664" s="45"/>
      <c r="AD664" s="44"/>
      <c r="AE664" s="44"/>
      <c r="AF664" s="45"/>
      <c r="AG664" s="76">
        <f t="shared" si="80"/>
        <v>-46171</v>
      </c>
      <c r="AH664" s="45"/>
      <c r="AI664" s="39"/>
      <c r="AJ664" s="39"/>
      <c r="AK664" s="39"/>
      <c r="AL664" s="35"/>
      <c r="AM664" s="34"/>
      <c r="AN664" s="34"/>
      <c r="AO664" s="39"/>
      <c r="AP664" s="47"/>
      <c r="AQ664" s="47"/>
      <c r="AR664" s="47"/>
      <c r="AS664" s="47"/>
    </row>
    <row r="665" spans="1:45" ht="12" customHeight="1" x14ac:dyDescent="0.25">
      <c r="A665" s="33">
        <f t="shared" si="79"/>
        <v>664</v>
      </c>
      <c r="B665" s="34"/>
      <c r="C665" s="34" t="s">
        <v>762</v>
      </c>
      <c r="D665" s="35" t="s">
        <v>764</v>
      </c>
      <c r="E665" s="34" t="s">
        <v>61</v>
      </c>
      <c r="F665" s="34" t="s">
        <v>0</v>
      </c>
      <c r="G665" s="16" t="s">
        <v>147</v>
      </c>
      <c r="H665" s="34">
        <v>90</v>
      </c>
      <c r="I665" s="34" t="s">
        <v>66</v>
      </c>
      <c r="J665" s="34" t="s">
        <v>3</v>
      </c>
      <c r="K665" s="35" t="s">
        <v>9</v>
      </c>
      <c r="L665" s="36" t="e">
        <f>VLOOKUP(G665,#REF!,4,0)</f>
        <v>#REF!</v>
      </c>
      <c r="M665" s="37" t="e">
        <f>_xlfn.IFNA(VLOOKUP(G665,#REF!,2,0),"")</f>
        <v>#REF!</v>
      </c>
      <c r="N665" s="38" t="e">
        <f>_xlfn.IFNA(VLOOKUP(G665,#REF!,3,0),"")</f>
        <v>#REF!</v>
      </c>
      <c r="O665" s="39">
        <v>3</v>
      </c>
      <c r="P665" s="79">
        <v>41.478260869565219</v>
      </c>
      <c r="Q665" s="39" t="s">
        <v>10</v>
      </c>
      <c r="R665" s="34">
        <v>5</v>
      </c>
      <c r="S665" s="38"/>
      <c r="T665" s="40">
        <v>8.9552238805970141</v>
      </c>
      <c r="U665" s="41">
        <f t="shared" si="81"/>
        <v>216.3465282284231</v>
      </c>
      <c r="V665" s="42">
        <f t="shared" si="82"/>
        <v>2.4038503136491456</v>
      </c>
      <c r="W665" s="43">
        <f t="shared" si="83"/>
        <v>0.35878362890285753</v>
      </c>
      <c r="X665" s="38"/>
      <c r="Y665" s="38"/>
      <c r="Z665" s="44"/>
      <c r="AA665" s="45">
        <v>46171</v>
      </c>
      <c r="AB665" s="45">
        <v>46202</v>
      </c>
      <c r="AC665" s="45"/>
      <c r="AD665" s="44"/>
      <c r="AE665" s="44"/>
      <c r="AF665" s="45"/>
      <c r="AG665" s="76">
        <f t="shared" si="80"/>
        <v>-46171</v>
      </c>
      <c r="AH665" s="45"/>
      <c r="AI665" s="39"/>
      <c r="AJ665" s="39"/>
      <c r="AK665" s="39"/>
      <c r="AL665" s="35"/>
      <c r="AM665" s="34"/>
      <c r="AN665" s="34"/>
      <c r="AO665" s="39"/>
      <c r="AP665" s="47"/>
      <c r="AQ665" s="47"/>
      <c r="AR665" s="47"/>
      <c r="AS665" s="47"/>
    </row>
    <row r="666" spans="1:45" ht="12" customHeight="1" x14ac:dyDescent="0.25">
      <c r="A666" s="33">
        <f t="shared" si="79"/>
        <v>665</v>
      </c>
      <c r="B666" s="34"/>
      <c r="C666" s="34" t="s">
        <v>765</v>
      </c>
      <c r="D666" s="35" t="s">
        <v>766</v>
      </c>
      <c r="E666" s="34" t="s">
        <v>58</v>
      </c>
      <c r="F666" s="34" t="s">
        <v>0</v>
      </c>
      <c r="G666" s="16" t="s">
        <v>64</v>
      </c>
      <c r="H666" s="34">
        <v>600</v>
      </c>
      <c r="I666" s="34" t="s">
        <v>66</v>
      </c>
      <c r="J666" s="34" t="s">
        <v>3</v>
      </c>
      <c r="K666" s="35" t="s">
        <v>4</v>
      </c>
      <c r="L666" s="36" t="e">
        <f>VLOOKUP(G666,#REF!,4,0)</f>
        <v>#REF!</v>
      </c>
      <c r="M666" s="37" t="e">
        <f>_xlfn.IFNA(VLOOKUP(G666,#REF!,2,0),"")</f>
        <v>#REF!</v>
      </c>
      <c r="N666" s="38" t="e">
        <f>_xlfn.IFNA(VLOOKUP(G666,#REF!,3,0),"")</f>
        <v>#REF!</v>
      </c>
      <c r="O666" s="39">
        <v>15</v>
      </c>
      <c r="P666" s="79">
        <v>206</v>
      </c>
      <c r="Q666" s="39" t="s">
        <v>10</v>
      </c>
      <c r="R666" s="34">
        <v>4</v>
      </c>
      <c r="S666" s="38">
        <v>200</v>
      </c>
      <c r="T666" s="40">
        <v>75</v>
      </c>
      <c r="U666" s="41">
        <f t="shared" si="81"/>
        <v>899</v>
      </c>
      <c r="V666" s="42">
        <f t="shared" si="82"/>
        <v>1.4983333333333333</v>
      </c>
      <c r="W666" s="43">
        <f t="shared" si="83"/>
        <v>0.22363184079601989</v>
      </c>
      <c r="X666" s="38"/>
      <c r="Y666" s="38"/>
      <c r="Z666" s="44"/>
      <c r="AA666" s="45">
        <v>46171</v>
      </c>
      <c r="AB666" s="45">
        <v>46193</v>
      </c>
      <c r="AC666" s="45"/>
      <c r="AD666" s="44"/>
      <c r="AE666" s="44"/>
      <c r="AF666" s="45"/>
      <c r="AG666" s="76">
        <f t="shared" si="80"/>
        <v>-46171</v>
      </c>
      <c r="AH666" s="45"/>
      <c r="AI666" s="39"/>
      <c r="AJ666" s="39"/>
      <c r="AK666" s="39"/>
      <c r="AL666" s="35"/>
      <c r="AM666" s="34"/>
      <c r="AN666" s="34"/>
      <c r="AO666" s="39"/>
      <c r="AP666" s="47"/>
      <c r="AQ666" s="47"/>
      <c r="AR666" s="47"/>
      <c r="AS666" s="47"/>
    </row>
    <row r="667" spans="1:45" ht="12" customHeight="1" x14ac:dyDescent="0.25">
      <c r="A667" s="33">
        <f t="shared" si="79"/>
        <v>666</v>
      </c>
      <c r="B667" s="34"/>
      <c r="C667" s="34" t="s">
        <v>767</v>
      </c>
      <c r="D667" s="35" t="s">
        <v>768</v>
      </c>
      <c r="E667" s="34" t="s">
        <v>470</v>
      </c>
      <c r="F667" s="34" t="s">
        <v>0</v>
      </c>
      <c r="G667" s="16" t="s">
        <v>247</v>
      </c>
      <c r="H667" s="34">
        <v>600</v>
      </c>
      <c r="I667" s="34" t="s">
        <v>66</v>
      </c>
      <c r="J667" s="34" t="s">
        <v>3</v>
      </c>
      <c r="K667" s="35" t="s">
        <v>11</v>
      </c>
      <c r="L667" s="36" t="e">
        <f>VLOOKUP(G667,#REF!,4,0)</f>
        <v>#REF!</v>
      </c>
      <c r="M667" s="37" t="e">
        <f>_xlfn.IFNA(VLOOKUP(G667,#REF!,2,0),"")</f>
        <v>#REF!</v>
      </c>
      <c r="N667" s="38" t="e">
        <f>_xlfn.IFNA(VLOOKUP(G667,#REF!,3,0),"")</f>
        <v>#REF!</v>
      </c>
      <c r="O667" s="39">
        <v>20</v>
      </c>
      <c r="P667" s="79">
        <v>315.52238805970148</v>
      </c>
      <c r="Q667" s="39" t="s">
        <v>10</v>
      </c>
      <c r="R667" s="34">
        <v>5.4</v>
      </c>
      <c r="S667" s="38">
        <v>200</v>
      </c>
      <c r="T667" s="40">
        <v>27.397260273972602</v>
      </c>
      <c r="U667" s="41">
        <f t="shared" si="81"/>
        <v>1731.2181557963606</v>
      </c>
      <c r="V667" s="42">
        <f t="shared" si="82"/>
        <v>2.8853635929939343</v>
      </c>
      <c r="W667" s="43">
        <f t="shared" si="83"/>
        <v>0.43065128253640811</v>
      </c>
      <c r="X667" s="38"/>
      <c r="Y667" s="38"/>
      <c r="Z667" s="44"/>
      <c r="AA667" s="45">
        <v>46171</v>
      </c>
      <c r="AB667" s="45">
        <v>46202</v>
      </c>
      <c r="AC667" s="45"/>
      <c r="AD667" s="44"/>
      <c r="AE667" s="44"/>
      <c r="AF667" s="45"/>
      <c r="AG667" s="76">
        <f t="shared" si="80"/>
        <v>-46171</v>
      </c>
      <c r="AH667" s="45"/>
      <c r="AI667" s="39"/>
      <c r="AJ667" s="39"/>
      <c r="AK667" s="39"/>
      <c r="AL667" s="35"/>
      <c r="AM667" s="34"/>
      <c r="AN667" s="34"/>
      <c r="AO667" s="39"/>
      <c r="AP667" s="47"/>
      <c r="AQ667" s="47"/>
      <c r="AR667" s="47"/>
      <c r="AS667" s="47"/>
    </row>
    <row r="668" spans="1:45" ht="12" customHeight="1" x14ac:dyDescent="0.25">
      <c r="A668" s="33">
        <f t="shared" si="79"/>
        <v>667</v>
      </c>
      <c r="B668" s="34"/>
      <c r="C668" s="34" t="s">
        <v>767</v>
      </c>
      <c r="D668" s="35" t="s">
        <v>768</v>
      </c>
      <c r="E668" s="34" t="s">
        <v>470</v>
      </c>
      <c r="F668" s="34" t="s">
        <v>0</v>
      </c>
      <c r="G668" s="16" t="s">
        <v>272</v>
      </c>
      <c r="H668" s="34">
        <v>390</v>
      </c>
      <c r="I668" s="34" t="s">
        <v>66</v>
      </c>
      <c r="J668" s="34" t="s">
        <v>3</v>
      </c>
      <c r="K668" s="35" t="s">
        <v>11</v>
      </c>
      <c r="L668" s="36" t="e">
        <f>VLOOKUP(G668,#REF!,4,0)</f>
        <v>#REF!</v>
      </c>
      <c r="M668" s="37" t="e">
        <f>_xlfn.IFNA(VLOOKUP(G668,#REF!,2,0),"")</f>
        <v>#REF!</v>
      </c>
      <c r="N668" s="38" t="e">
        <f>_xlfn.IFNA(VLOOKUP(G668,#REF!,3,0),"")</f>
        <v>#REF!</v>
      </c>
      <c r="O668" s="39">
        <v>13</v>
      </c>
      <c r="P668" s="79">
        <v>205.08955223880596</v>
      </c>
      <c r="Q668" s="39" t="s">
        <v>10</v>
      </c>
      <c r="R668" s="34">
        <v>5.4</v>
      </c>
      <c r="S668" s="48">
        <v>200</v>
      </c>
      <c r="T668" s="40">
        <v>17.80821917808219</v>
      </c>
      <c r="U668" s="41">
        <f t="shared" si="81"/>
        <v>1125.2918012676346</v>
      </c>
      <c r="V668" s="42">
        <f t="shared" si="82"/>
        <v>2.8853635929939347</v>
      </c>
      <c r="W668" s="43">
        <f t="shared" si="83"/>
        <v>0.43065128253640816</v>
      </c>
      <c r="X668" s="38"/>
      <c r="Y668" s="38"/>
      <c r="Z668" s="44"/>
      <c r="AA668" s="45">
        <v>46171</v>
      </c>
      <c r="AB668" s="45">
        <v>46202</v>
      </c>
      <c r="AC668" s="45"/>
      <c r="AD668" s="44"/>
      <c r="AE668" s="44"/>
      <c r="AF668" s="45"/>
      <c r="AG668" s="76">
        <f t="shared" si="80"/>
        <v>-46171</v>
      </c>
      <c r="AH668" s="45"/>
      <c r="AI668" s="39"/>
      <c r="AJ668" s="39"/>
      <c r="AK668" s="39"/>
      <c r="AL668" s="35"/>
      <c r="AM668" s="34"/>
      <c r="AN668" s="34"/>
      <c r="AO668" s="39"/>
      <c r="AP668" s="47"/>
      <c r="AQ668" s="47"/>
      <c r="AR668" s="47"/>
      <c r="AS668" s="47"/>
    </row>
    <row r="669" spans="1:45" ht="12" customHeight="1" x14ac:dyDescent="0.25">
      <c r="A669" s="33">
        <f t="shared" si="79"/>
        <v>668</v>
      </c>
      <c r="B669" s="34"/>
      <c r="C669" s="34" t="s">
        <v>767</v>
      </c>
      <c r="D669" s="35" t="s">
        <v>768</v>
      </c>
      <c r="E669" s="34" t="s">
        <v>470</v>
      </c>
      <c r="F669" s="34" t="s">
        <v>0</v>
      </c>
      <c r="G669" s="16" t="s">
        <v>222</v>
      </c>
      <c r="H669" s="34">
        <v>180</v>
      </c>
      <c r="I669" s="34" t="s">
        <v>66</v>
      </c>
      <c r="J669" s="34" t="s">
        <v>3</v>
      </c>
      <c r="K669" s="35" t="s">
        <v>11</v>
      </c>
      <c r="L669" s="36" t="e">
        <f>VLOOKUP(G669,#REF!,4,0)</f>
        <v>#REF!</v>
      </c>
      <c r="M669" s="37" t="e">
        <f>_xlfn.IFNA(VLOOKUP(G669,#REF!,2,0),"")</f>
        <v>#REF!</v>
      </c>
      <c r="N669" s="38" t="e">
        <f>_xlfn.IFNA(VLOOKUP(G669,#REF!,3,0),"")</f>
        <v>#REF!</v>
      </c>
      <c r="O669" s="39">
        <v>6</v>
      </c>
      <c r="P669" s="79">
        <v>94.656716417910445</v>
      </c>
      <c r="Q669" s="39" t="s">
        <v>10</v>
      </c>
      <c r="R669" s="34">
        <v>5.4</v>
      </c>
      <c r="S669" s="38"/>
      <c r="T669" s="40">
        <v>8.2191780821917817</v>
      </c>
      <c r="U669" s="41">
        <f t="shared" si="81"/>
        <v>519.36544673890819</v>
      </c>
      <c r="V669" s="42">
        <f t="shared" si="82"/>
        <v>2.8853635929939343</v>
      </c>
      <c r="W669" s="43">
        <f t="shared" si="83"/>
        <v>0.43065128253640811</v>
      </c>
      <c r="X669" s="38"/>
      <c r="Y669" s="38"/>
      <c r="Z669" s="44"/>
      <c r="AA669" s="45">
        <v>46171</v>
      </c>
      <c r="AB669" s="45">
        <v>46202</v>
      </c>
      <c r="AC669" s="45"/>
      <c r="AD669" s="44"/>
      <c r="AE669" s="44"/>
      <c r="AF669" s="45"/>
      <c r="AG669" s="76">
        <f t="shared" si="80"/>
        <v>-46171</v>
      </c>
      <c r="AH669" s="45"/>
      <c r="AI669" s="39"/>
      <c r="AJ669" s="39"/>
      <c r="AK669" s="39"/>
      <c r="AL669" s="35"/>
      <c r="AM669" s="34"/>
      <c r="AN669" s="34"/>
      <c r="AO669" s="39"/>
      <c r="AP669" s="47"/>
      <c r="AQ669" s="47"/>
      <c r="AR669" s="47"/>
      <c r="AS669" s="47"/>
    </row>
    <row r="670" spans="1:45" ht="12" customHeight="1" x14ac:dyDescent="0.25">
      <c r="A670" s="33">
        <f t="shared" si="79"/>
        <v>669</v>
      </c>
      <c r="B670" s="34"/>
      <c r="C670" s="34" t="s">
        <v>767</v>
      </c>
      <c r="D670" s="35" t="s">
        <v>768</v>
      </c>
      <c r="E670" s="34" t="s">
        <v>470</v>
      </c>
      <c r="F670" s="34" t="s">
        <v>0</v>
      </c>
      <c r="G670" s="16" t="s">
        <v>514</v>
      </c>
      <c r="H670" s="34">
        <v>2100</v>
      </c>
      <c r="I670" s="34" t="s">
        <v>66</v>
      </c>
      <c r="J670" s="34" t="s">
        <v>3</v>
      </c>
      <c r="K670" s="35" t="s">
        <v>11</v>
      </c>
      <c r="L670" s="36" t="e">
        <f>VLOOKUP(G670,#REF!,4,0)</f>
        <v>#REF!</v>
      </c>
      <c r="M670" s="37" t="e">
        <f>_xlfn.IFNA(VLOOKUP(G670,#REF!,2,0),"")</f>
        <v>#REF!</v>
      </c>
      <c r="N670" s="38" t="e">
        <f>_xlfn.IFNA(VLOOKUP(G670,#REF!,3,0),"")</f>
        <v>#REF!</v>
      </c>
      <c r="O670" s="39">
        <v>70</v>
      </c>
      <c r="P670" s="79">
        <v>1104.3283582089553</v>
      </c>
      <c r="Q670" s="39" t="s">
        <v>10</v>
      </c>
      <c r="R670" s="34">
        <v>5.4</v>
      </c>
      <c r="S670" s="38"/>
      <c r="T670" s="40">
        <v>95.890410958904113</v>
      </c>
      <c r="U670" s="41">
        <f t="shared" si="81"/>
        <v>6059.2635452872628</v>
      </c>
      <c r="V670" s="42">
        <f t="shared" si="82"/>
        <v>2.8853635929939347</v>
      </c>
      <c r="W670" s="43">
        <f t="shared" si="83"/>
        <v>0.43065128253640816</v>
      </c>
      <c r="X670" s="38"/>
      <c r="Y670" s="38"/>
      <c r="Z670" s="44"/>
      <c r="AA670" s="45">
        <v>46171</v>
      </c>
      <c r="AB670" s="45">
        <v>46202</v>
      </c>
      <c r="AC670" s="45"/>
      <c r="AD670" s="44"/>
      <c r="AE670" s="44"/>
      <c r="AF670" s="45"/>
      <c r="AG670" s="76">
        <f t="shared" si="80"/>
        <v>-46171</v>
      </c>
      <c r="AH670" s="45"/>
      <c r="AI670" s="39"/>
      <c r="AJ670" s="39"/>
      <c r="AK670" s="39"/>
      <c r="AL670" s="35"/>
      <c r="AM670" s="34"/>
      <c r="AN670" s="34"/>
      <c r="AO670" s="39"/>
      <c r="AP670" s="47"/>
      <c r="AQ670" s="47"/>
      <c r="AR670" s="47"/>
      <c r="AS670" s="47"/>
    </row>
    <row r="671" spans="1:45" ht="12" customHeight="1" x14ac:dyDescent="0.25">
      <c r="A671" s="33">
        <f t="shared" si="79"/>
        <v>670</v>
      </c>
      <c r="B671" s="34"/>
      <c r="C671" s="34" t="s">
        <v>767</v>
      </c>
      <c r="D671" s="35" t="s">
        <v>768</v>
      </c>
      <c r="E671" s="34" t="s">
        <v>470</v>
      </c>
      <c r="F671" s="34" t="s">
        <v>0</v>
      </c>
      <c r="G671" s="16" t="s">
        <v>249</v>
      </c>
      <c r="H671" s="34">
        <v>150</v>
      </c>
      <c r="I671" s="34" t="s">
        <v>66</v>
      </c>
      <c r="J671" s="34" t="s">
        <v>3</v>
      </c>
      <c r="K671" s="35" t="s">
        <v>11</v>
      </c>
      <c r="L671" s="36" t="e">
        <f>VLOOKUP(G671,#REF!,4,0)</f>
        <v>#REF!</v>
      </c>
      <c r="M671" s="37" t="e">
        <f>_xlfn.IFNA(VLOOKUP(G671,#REF!,2,0),"")</f>
        <v>#REF!</v>
      </c>
      <c r="N671" s="38" t="e">
        <f>_xlfn.IFNA(VLOOKUP(G671,#REF!,3,0),"")</f>
        <v>#REF!</v>
      </c>
      <c r="O671" s="39">
        <v>5</v>
      </c>
      <c r="P671" s="79">
        <v>78.880597014925371</v>
      </c>
      <c r="Q671" s="39" t="s">
        <v>10</v>
      </c>
      <c r="R671" s="34">
        <v>5.4</v>
      </c>
      <c r="S671" s="38"/>
      <c r="T671" s="40">
        <v>6.8493150684931505</v>
      </c>
      <c r="U671" s="41">
        <f t="shared" si="81"/>
        <v>432.80453894909016</v>
      </c>
      <c r="V671" s="42">
        <f t="shared" si="82"/>
        <v>2.8853635929939343</v>
      </c>
      <c r="W671" s="43">
        <f t="shared" si="83"/>
        <v>0.43065128253640811</v>
      </c>
      <c r="X671" s="38"/>
      <c r="Y671" s="38"/>
      <c r="Z671" s="44"/>
      <c r="AA671" s="45">
        <v>46171</v>
      </c>
      <c r="AB671" s="45">
        <v>46202</v>
      </c>
      <c r="AC671" s="45"/>
      <c r="AD671" s="44"/>
      <c r="AE671" s="44"/>
      <c r="AF671" s="45"/>
      <c r="AG671" s="76">
        <f t="shared" si="80"/>
        <v>-46171</v>
      </c>
      <c r="AH671" s="45"/>
      <c r="AI671" s="39"/>
      <c r="AJ671" s="39"/>
      <c r="AK671" s="39"/>
      <c r="AL671" s="35"/>
      <c r="AM671" s="34"/>
      <c r="AN671" s="34"/>
      <c r="AO671" s="39"/>
      <c r="AP671" s="47"/>
      <c r="AQ671" s="47"/>
      <c r="AR671" s="47"/>
      <c r="AS671" s="47"/>
    </row>
    <row r="672" spans="1:45" ht="12" customHeight="1" x14ac:dyDescent="0.25">
      <c r="A672" s="33">
        <f t="shared" si="79"/>
        <v>671</v>
      </c>
      <c r="B672" s="34"/>
      <c r="C672" s="34" t="s">
        <v>767</v>
      </c>
      <c r="D672" s="35" t="s">
        <v>768</v>
      </c>
      <c r="E672" s="34" t="s">
        <v>470</v>
      </c>
      <c r="F672" s="34" t="s">
        <v>0</v>
      </c>
      <c r="G672" s="16" t="s">
        <v>486</v>
      </c>
      <c r="H672" s="34">
        <v>600</v>
      </c>
      <c r="I672" s="34" t="s">
        <v>66</v>
      </c>
      <c r="J672" s="34" t="s">
        <v>3</v>
      </c>
      <c r="K672" s="35" t="s">
        <v>11</v>
      </c>
      <c r="L672" s="36" t="e">
        <f>VLOOKUP(G672,#REF!,4,0)</f>
        <v>#REF!</v>
      </c>
      <c r="M672" s="37" t="e">
        <f>_xlfn.IFNA(VLOOKUP(G672,#REF!,2,0),"")</f>
        <v>#REF!</v>
      </c>
      <c r="N672" s="38" t="e">
        <f>_xlfn.IFNA(VLOOKUP(G672,#REF!,3,0),"")</f>
        <v>#REF!</v>
      </c>
      <c r="O672" s="39">
        <v>20</v>
      </c>
      <c r="P672" s="79">
        <v>315.52238805970148</v>
      </c>
      <c r="Q672" s="39" t="s">
        <v>10</v>
      </c>
      <c r="R672" s="34">
        <v>5.4</v>
      </c>
      <c r="S672" s="38"/>
      <c r="T672" s="40">
        <v>27.397260273972602</v>
      </c>
      <c r="U672" s="41">
        <f t="shared" si="81"/>
        <v>1731.2181557963606</v>
      </c>
      <c r="V672" s="42">
        <f t="shared" si="82"/>
        <v>2.8853635929939343</v>
      </c>
      <c r="W672" s="43">
        <f t="shared" si="83"/>
        <v>0.43065128253640811</v>
      </c>
      <c r="X672" s="38"/>
      <c r="Y672" s="38"/>
      <c r="Z672" s="44"/>
      <c r="AA672" s="45">
        <v>46171</v>
      </c>
      <c r="AB672" s="45">
        <v>46202</v>
      </c>
      <c r="AC672" s="45"/>
      <c r="AD672" s="44"/>
      <c r="AE672" s="44"/>
      <c r="AF672" s="45"/>
      <c r="AG672" s="76">
        <f t="shared" si="80"/>
        <v>-46171</v>
      </c>
      <c r="AH672" s="45"/>
      <c r="AI672" s="39"/>
      <c r="AJ672" s="39"/>
      <c r="AK672" s="39"/>
      <c r="AL672" s="35"/>
      <c r="AM672" s="34"/>
      <c r="AN672" s="34"/>
      <c r="AO672" s="39"/>
      <c r="AP672" s="47"/>
      <c r="AQ672" s="47"/>
      <c r="AR672" s="47"/>
      <c r="AS672" s="47"/>
    </row>
    <row r="673" spans="1:45" ht="12" customHeight="1" x14ac:dyDescent="0.25">
      <c r="A673" s="33">
        <f t="shared" si="79"/>
        <v>672</v>
      </c>
      <c r="B673" s="34"/>
      <c r="C673" s="34" t="s">
        <v>767</v>
      </c>
      <c r="D673" s="35" t="s">
        <v>769</v>
      </c>
      <c r="E673" s="34" t="s">
        <v>470</v>
      </c>
      <c r="F673" s="34" t="s">
        <v>0</v>
      </c>
      <c r="G673" s="16" t="s">
        <v>204</v>
      </c>
      <c r="H673" s="34">
        <v>160</v>
      </c>
      <c r="I673" s="34" t="s">
        <v>66</v>
      </c>
      <c r="J673" s="34" t="s">
        <v>3</v>
      </c>
      <c r="K673" s="35" t="s">
        <v>4</v>
      </c>
      <c r="L673" s="36" t="e">
        <f>VLOOKUP(G673,#REF!,4,0)</f>
        <v>#REF!</v>
      </c>
      <c r="M673" s="37" t="e">
        <f>_xlfn.IFNA(VLOOKUP(G673,#REF!,2,0),"")</f>
        <v>#REF!</v>
      </c>
      <c r="N673" s="38" t="e">
        <f>_xlfn.IFNA(VLOOKUP(G673,#REF!,3,0),"")</f>
        <v>#REF!</v>
      </c>
      <c r="O673" s="39">
        <v>4</v>
      </c>
      <c r="P673" s="79">
        <v>54.285714285714285</v>
      </c>
      <c r="Q673" s="39" t="s">
        <v>10</v>
      </c>
      <c r="R673" s="34">
        <v>4</v>
      </c>
      <c r="S673" s="38"/>
      <c r="T673" s="40">
        <v>5.4794520547945202</v>
      </c>
      <c r="U673" s="41">
        <f t="shared" si="81"/>
        <v>222.62230919765165</v>
      </c>
      <c r="V673" s="42">
        <f t="shared" si="82"/>
        <v>1.3913894324853229</v>
      </c>
      <c r="W673" s="43">
        <f t="shared" si="83"/>
        <v>0.20767006455004819</v>
      </c>
      <c r="X673" s="38"/>
      <c r="Y673" s="38"/>
      <c r="Z673" s="44"/>
      <c r="AA673" s="45">
        <v>46171</v>
      </c>
      <c r="AB673" s="45">
        <v>46202</v>
      </c>
      <c r="AC673" s="45"/>
      <c r="AD673" s="44"/>
      <c r="AE673" s="44"/>
      <c r="AF673" s="45"/>
      <c r="AG673" s="76">
        <f t="shared" si="80"/>
        <v>-46171</v>
      </c>
      <c r="AH673" s="45"/>
      <c r="AI673" s="39"/>
      <c r="AJ673" s="39"/>
      <c r="AK673" s="39"/>
      <c r="AL673" s="35"/>
      <c r="AM673" s="34"/>
      <c r="AN673" s="34"/>
      <c r="AO673" s="39"/>
      <c r="AP673" s="47"/>
      <c r="AQ673" s="47"/>
      <c r="AR673" s="47"/>
      <c r="AS673" s="47"/>
    </row>
    <row r="674" spans="1:45" ht="12" customHeight="1" x14ac:dyDescent="0.25">
      <c r="A674" s="33">
        <f t="shared" si="79"/>
        <v>673</v>
      </c>
      <c r="B674" s="34"/>
      <c r="C674" s="34" t="s">
        <v>767</v>
      </c>
      <c r="D674" s="35" t="s">
        <v>769</v>
      </c>
      <c r="E674" s="34" t="s">
        <v>470</v>
      </c>
      <c r="F674" s="34" t="s">
        <v>0</v>
      </c>
      <c r="G674" s="16" t="s">
        <v>237</v>
      </c>
      <c r="H674" s="34">
        <v>120</v>
      </c>
      <c r="I674" s="34" t="s">
        <v>66</v>
      </c>
      <c r="J674" s="34" t="s">
        <v>3</v>
      </c>
      <c r="K674" s="35" t="s">
        <v>4</v>
      </c>
      <c r="L674" s="36" t="e">
        <f>VLOOKUP(G674,#REF!,4,0)</f>
        <v>#REF!</v>
      </c>
      <c r="M674" s="37" t="e">
        <f>_xlfn.IFNA(VLOOKUP(G674,#REF!,2,0),"")</f>
        <v>#REF!</v>
      </c>
      <c r="N674" s="38" t="e">
        <f>_xlfn.IFNA(VLOOKUP(G674,#REF!,3,0),"")</f>
        <v>#REF!</v>
      </c>
      <c r="O674" s="39">
        <v>3</v>
      </c>
      <c r="P674" s="79">
        <v>40.714285714285715</v>
      </c>
      <c r="Q674" s="39" t="s">
        <v>10</v>
      </c>
      <c r="R674" s="34">
        <v>4</v>
      </c>
      <c r="S674" s="38"/>
      <c r="T674" s="40">
        <v>4.1095890410958908</v>
      </c>
      <c r="U674" s="41">
        <f t="shared" si="81"/>
        <v>166.96673189823875</v>
      </c>
      <c r="V674" s="42">
        <f t="shared" si="82"/>
        <v>1.3913894324853229</v>
      </c>
      <c r="W674" s="43">
        <f t="shared" si="83"/>
        <v>0.20767006455004819</v>
      </c>
      <c r="X674" s="38"/>
      <c r="Y674" s="38"/>
      <c r="Z674" s="44"/>
      <c r="AA674" s="45">
        <v>46171</v>
      </c>
      <c r="AB674" s="45">
        <v>46202</v>
      </c>
      <c r="AC674" s="45"/>
      <c r="AD674" s="44"/>
      <c r="AE674" s="44"/>
      <c r="AF674" s="45"/>
      <c r="AG674" s="76">
        <f t="shared" si="80"/>
        <v>-46171</v>
      </c>
      <c r="AH674" s="45"/>
      <c r="AI674" s="39"/>
      <c r="AJ674" s="39"/>
      <c r="AK674" s="39"/>
      <c r="AL674" s="35"/>
      <c r="AM674" s="34"/>
      <c r="AN674" s="34"/>
      <c r="AO674" s="39"/>
      <c r="AP674" s="47"/>
      <c r="AQ674" s="47"/>
      <c r="AR674" s="47"/>
      <c r="AS674" s="47"/>
    </row>
    <row r="675" spans="1:45" ht="12" customHeight="1" x14ac:dyDescent="0.25">
      <c r="A675" s="33">
        <f t="shared" si="79"/>
        <v>674</v>
      </c>
      <c r="B675" s="34"/>
      <c r="C675" s="34" t="s">
        <v>765</v>
      </c>
      <c r="D675" s="35" t="s">
        <v>770</v>
      </c>
      <c r="E675" s="34" t="s">
        <v>172</v>
      </c>
      <c r="F675" s="34" t="s">
        <v>0</v>
      </c>
      <c r="G675" s="16" t="s">
        <v>123</v>
      </c>
      <c r="H675" s="34">
        <v>16</v>
      </c>
      <c r="I675" s="34" t="s">
        <v>66</v>
      </c>
      <c r="J675" s="34" t="s">
        <v>3</v>
      </c>
      <c r="K675" s="35" t="s">
        <v>11</v>
      </c>
      <c r="L675" s="36" t="e">
        <f>VLOOKUP(G675,#REF!,4,0)</f>
        <v>#REF!</v>
      </c>
      <c r="M675" s="37" t="e">
        <f>_xlfn.IFNA(VLOOKUP(G675,#REF!,2,0),"")</f>
        <v>#REF!</v>
      </c>
      <c r="N675" s="38" t="e">
        <f>_xlfn.IFNA(VLOOKUP(G675,#REF!,3,0),"")</f>
        <v>#REF!</v>
      </c>
      <c r="O675" s="39">
        <v>1</v>
      </c>
      <c r="P675" s="79">
        <v>14.333333333333334</v>
      </c>
      <c r="Q675" s="39" t="s">
        <v>10</v>
      </c>
      <c r="R675" s="34">
        <v>5.4</v>
      </c>
      <c r="S675" s="38">
        <v>200</v>
      </c>
      <c r="T675" s="40">
        <v>5</v>
      </c>
      <c r="U675" s="41">
        <f t="shared" si="81"/>
        <v>82.4</v>
      </c>
      <c r="V675" s="42">
        <f t="shared" si="82"/>
        <v>5.15</v>
      </c>
      <c r="W675" s="43">
        <f t="shared" si="83"/>
        <v>0.76865671641791045</v>
      </c>
      <c r="X675" s="38"/>
      <c r="Y675" s="38"/>
      <c r="Z675" s="44"/>
      <c r="AA675" s="45">
        <v>46171</v>
      </c>
      <c r="AB675" s="45">
        <v>46193</v>
      </c>
      <c r="AC675" s="45"/>
      <c r="AD675" s="44"/>
      <c r="AE675" s="44"/>
      <c r="AF675" s="45"/>
      <c r="AG675" s="76">
        <f t="shared" si="80"/>
        <v>-46171</v>
      </c>
      <c r="AH675" s="45"/>
      <c r="AI675" s="39"/>
      <c r="AJ675" s="39"/>
      <c r="AK675" s="39"/>
      <c r="AL675" s="35"/>
      <c r="AM675" s="34"/>
      <c r="AN675" s="34"/>
      <c r="AO675" s="39"/>
      <c r="AP675" s="47"/>
      <c r="AQ675" s="47"/>
      <c r="AR675" s="47"/>
      <c r="AS675" s="47"/>
    </row>
    <row r="676" spans="1:45" ht="12" customHeight="1" x14ac:dyDescent="0.25">
      <c r="A676" s="33">
        <f t="shared" si="79"/>
        <v>675</v>
      </c>
      <c r="B676" s="34"/>
      <c r="C676" s="34" t="s">
        <v>765</v>
      </c>
      <c r="D676" s="35" t="s">
        <v>770</v>
      </c>
      <c r="E676" s="34" t="s">
        <v>172</v>
      </c>
      <c r="F676" s="34" t="s">
        <v>0</v>
      </c>
      <c r="G676" s="16" t="s">
        <v>133</v>
      </c>
      <c r="H676" s="34">
        <v>160</v>
      </c>
      <c r="I676" s="34" t="s">
        <v>66</v>
      </c>
      <c r="J676" s="34" t="s">
        <v>3</v>
      </c>
      <c r="K676" s="35" t="s">
        <v>11</v>
      </c>
      <c r="L676" s="36" t="e">
        <f>VLOOKUP(G676,#REF!,4,0)</f>
        <v>#REF!</v>
      </c>
      <c r="M676" s="37" t="e">
        <f>_xlfn.IFNA(VLOOKUP(G676,#REF!,2,0),"")</f>
        <v>#REF!</v>
      </c>
      <c r="N676" s="38" t="e">
        <f>_xlfn.IFNA(VLOOKUP(G676,#REF!,3,0),"")</f>
        <v>#REF!</v>
      </c>
      <c r="O676" s="39">
        <v>10</v>
      </c>
      <c r="P676" s="79">
        <v>143.33333333333334</v>
      </c>
      <c r="Q676" s="39" t="s">
        <v>10</v>
      </c>
      <c r="R676" s="34">
        <v>5.4</v>
      </c>
      <c r="S676" s="48">
        <v>200</v>
      </c>
      <c r="T676" s="40">
        <v>50</v>
      </c>
      <c r="U676" s="41">
        <f t="shared" si="81"/>
        <v>824.00000000000011</v>
      </c>
      <c r="V676" s="42">
        <f t="shared" si="82"/>
        <v>5.15</v>
      </c>
      <c r="W676" s="43">
        <f t="shared" si="83"/>
        <v>0.76865671641791045</v>
      </c>
      <c r="X676" s="38"/>
      <c r="Y676" s="38"/>
      <c r="Z676" s="44"/>
      <c r="AA676" s="45">
        <v>46171</v>
      </c>
      <c r="AB676" s="45">
        <v>46193</v>
      </c>
      <c r="AC676" s="45"/>
      <c r="AD676" s="44"/>
      <c r="AE676" s="44"/>
      <c r="AF676" s="45"/>
      <c r="AG676" s="76">
        <f t="shared" si="80"/>
        <v>-46171</v>
      </c>
      <c r="AH676" s="45"/>
      <c r="AI676" s="39"/>
      <c r="AJ676" s="39"/>
      <c r="AK676" s="39"/>
      <c r="AL676" s="35"/>
      <c r="AM676" s="34"/>
      <c r="AN676" s="34"/>
      <c r="AO676" s="39"/>
      <c r="AP676" s="47"/>
      <c r="AQ676" s="47"/>
      <c r="AR676" s="47"/>
      <c r="AS676" s="47"/>
    </row>
    <row r="677" spans="1:45" ht="12" customHeight="1" x14ac:dyDescent="0.25">
      <c r="A677" s="33">
        <f t="shared" si="79"/>
        <v>676</v>
      </c>
      <c r="B677" s="34"/>
      <c r="C677" s="34" t="s">
        <v>765</v>
      </c>
      <c r="D677" s="35" t="s">
        <v>770</v>
      </c>
      <c r="E677" s="34" t="s">
        <v>172</v>
      </c>
      <c r="F677" s="34" t="s">
        <v>0</v>
      </c>
      <c r="G677" s="16" t="s">
        <v>113</v>
      </c>
      <c r="H677" s="34">
        <v>16</v>
      </c>
      <c r="I677" s="34" t="s">
        <v>66</v>
      </c>
      <c r="J677" s="34" t="s">
        <v>3</v>
      </c>
      <c r="K677" s="35" t="s">
        <v>11</v>
      </c>
      <c r="L677" s="36" t="e">
        <f>VLOOKUP(G677,#REF!,4,0)</f>
        <v>#REF!</v>
      </c>
      <c r="M677" s="37" t="e">
        <f>_xlfn.IFNA(VLOOKUP(G677,#REF!,2,0),"")</f>
        <v>#REF!</v>
      </c>
      <c r="N677" s="38" t="e">
        <f>_xlfn.IFNA(VLOOKUP(G677,#REF!,3,0),"")</f>
        <v>#REF!</v>
      </c>
      <c r="O677" s="39">
        <v>1</v>
      </c>
      <c r="P677" s="79">
        <v>14.333333333333334</v>
      </c>
      <c r="Q677" s="39" t="s">
        <v>10</v>
      </c>
      <c r="R677" s="34">
        <v>5.4</v>
      </c>
      <c r="S677" s="38"/>
      <c r="T677" s="40">
        <v>5</v>
      </c>
      <c r="U677" s="41">
        <f t="shared" si="81"/>
        <v>82.4</v>
      </c>
      <c r="V677" s="42">
        <f t="shared" si="82"/>
        <v>5.15</v>
      </c>
      <c r="W677" s="43">
        <f t="shared" si="83"/>
        <v>0.76865671641791045</v>
      </c>
      <c r="X677" s="38"/>
      <c r="Y677" s="38"/>
      <c r="Z677" s="44"/>
      <c r="AA677" s="45">
        <v>46171</v>
      </c>
      <c r="AB677" s="45">
        <v>46193</v>
      </c>
      <c r="AC677" s="45"/>
      <c r="AD677" s="44"/>
      <c r="AE677" s="44"/>
      <c r="AF677" s="45"/>
      <c r="AG677" s="76">
        <f t="shared" si="80"/>
        <v>-46171</v>
      </c>
      <c r="AH677" s="45"/>
      <c r="AI677" s="39"/>
      <c r="AJ677" s="39"/>
      <c r="AK677" s="39"/>
      <c r="AL677" s="35"/>
      <c r="AM677" s="34"/>
      <c r="AN677" s="34"/>
      <c r="AO677" s="39"/>
      <c r="AP677" s="47"/>
      <c r="AQ677" s="47"/>
      <c r="AR677" s="47"/>
      <c r="AS677" s="47"/>
    </row>
    <row r="678" spans="1:45" ht="12" customHeight="1" x14ac:dyDescent="0.25">
      <c r="A678" s="33">
        <f t="shared" si="79"/>
        <v>677</v>
      </c>
      <c r="B678" s="34"/>
      <c r="C678" s="34" t="s">
        <v>767</v>
      </c>
      <c r="D678" s="35" t="s">
        <v>771</v>
      </c>
      <c r="E678" s="34" t="s">
        <v>470</v>
      </c>
      <c r="F678" s="34" t="s">
        <v>0</v>
      </c>
      <c r="G678" s="16" t="s">
        <v>264</v>
      </c>
      <c r="H678" s="34">
        <v>64</v>
      </c>
      <c r="I678" s="34" t="s">
        <v>66</v>
      </c>
      <c r="J678" s="34" t="s">
        <v>3</v>
      </c>
      <c r="K678" s="35" t="s">
        <v>11</v>
      </c>
      <c r="L678" s="36" t="e">
        <f>VLOOKUP(G678,#REF!,4,0)</f>
        <v>#REF!</v>
      </c>
      <c r="M678" s="37" t="e">
        <f>_xlfn.IFNA(VLOOKUP(G678,#REF!,2,0),"")</f>
        <v>#REF!</v>
      </c>
      <c r="N678" s="38" t="e">
        <f>_xlfn.IFNA(VLOOKUP(G678,#REF!,3,0),"")</f>
        <v>#REF!</v>
      </c>
      <c r="O678" s="39">
        <v>4</v>
      </c>
      <c r="P678" s="79">
        <v>54.4</v>
      </c>
      <c r="Q678" s="39" t="s">
        <v>10</v>
      </c>
      <c r="R678" s="34">
        <v>5.4</v>
      </c>
      <c r="S678" s="38">
        <v>200</v>
      </c>
      <c r="T678" s="40">
        <v>5.4794520547945202</v>
      </c>
      <c r="U678" s="41">
        <f t="shared" si="81"/>
        <v>299.23945205479453</v>
      </c>
      <c r="V678" s="42">
        <f t="shared" si="82"/>
        <v>4.6756164383561645</v>
      </c>
      <c r="W678" s="43">
        <f t="shared" si="83"/>
        <v>0.69785319975465143</v>
      </c>
      <c r="X678" s="38"/>
      <c r="Y678" s="38"/>
      <c r="Z678" s="44"/>
      <c r="AA678" s="45">
        <v>46171</v>
      </c>
      <c r="AB678" s="45">
        <v>46202</v>
      </c>
      <c r="AC678" s="45"/>
      <c r="AD678" s="44"/>
      <c r="AE678" s="44"/>
      <c r="AF678" s="45"/>
      <c r="AG678" s="76">
        <f t="shared" si="80"/>
        <v>-46171</v>
      </c>
      <c r="AH678" s="45"/>
      <c r="AI678" s="39"/>
      <c r="AJ678" s="39"/>
      <c r="AK678" s="39"/>
      <c r="AL678" s="35"/>
      <c r="AM678" s="34"/>
      <c r="AN678" s="34"/>
      <c r="AO678" s="39"/>
      <c r="AP678" s="47"/>
      <c r="AQ678" s="47"/>
      <c r="AR678" s="47"/>
      <c r="AS678" s="47"/>
    </row>
    <row r="679" spans="1:45" ht="12" customHeight="1" x14ac:dyDescent="0.25">
      <c r="A679" s="33">
        <f t="shared" si="79"/>
        <v>678</v>
      </c>
      <c r="B679" s="34"/>
      <c r="C679" s="34" t="s">
        <v>767</v>
      </c>
      <c r="D679" s="35" t="s">
        <v>771</v>
      </c>
      <c r="E679" s="34" t="s">
        <v>470</v>
      </c>
      <c r="F679" s="34" t="s">
        <v>0</v>
      </c>
      <c r="G679" s="16" t="s">
        <v>266</v>
      </c>
      <c r="H679" s="34">
        <v>16</v>
      </c>
      <c r="I679" s="34" t="s">
        <v>66</v>
      </c>
      <c r="J679" s="34" t="s">
        <v>3</v>
      </c>
      <c r="K679" s="35" t="s">
        <v>11</v>
      </c>
      <c r="L679" s="36" t="e">
        <f>VLOOKUP(G679,#REF!,4,0)</f>
        <v>#REF!</v>
      </c>
      <c r="M679" s="37" t="e">
        <f>_xlfn.IFNA(VLOOKUP(G679,#REF!,2,0),"")</f>
        <v>#REF!</v>
      </c>
      <c r="N679" s="38" t="e">
        <f>_xlfn.IFNA(VLOOKUP(G679,#REF!,3,0),"")</f>
        <v>#REF!</v>
      </c>
      <c r="O679" s="39">
        <v>1</v>
      </c>
      <c r="P679" s="79">
        <v>13.6</v>
      </c>
      <c r="Q679" s="39" t="s">
        <v>10</v>
      </c>
      <c r="R679" s="34">
        <v>5.4</v>
      </c>
      <c r="S679" s="48">
        <v>200</v>
      </c>
      <c r="T679" s="40">
        <v>1.3698630136986301</v>
      </c>
      <c r="U679" s="41">
        <f t="shared" si="81"/>
        <v>74.809863013698632</v>
      </c>
      <c r="V679" s="42">
        <f t="shared" si="82"/>
        <v>4.6756164383561645</v>
      </c>
      <c r="W679" s="43">
        <f t="shared" si="83"/>
        <v>0.69785319975465143</v>
      </c>
      <c r="X679" s="38"/>
      <c r="Y679" s="38"/>
      <c r="Z679" s="44"/>
      <c r="AA679" s="45">
        <v>46171</v>
      </c>
      <c r="AB679" s="45">
        <v>46202</v>
      </c>
      <c r="AC679" s="45"/>
      <c r="AD679" s="44"/>
      <c r="AE679" s="44"/>
      <c r="AF679" s="45"/>
      <c r="AG679" s="76">
        <f t="shared" si="80"/>
        <v>-46171</v>
      </c>
      <c r="AH679" s="45"/>
      <c r="AI679" s="39"/>
      <c r="AJ679" s="39"/>
      <c r="AK679" s="39"/>
      <c r="AL679" s="35"/>
      <c r="AM679" s="34"/>
      <c r="AN679" s="34"/>
      <c r="AO679" s="39"/>
      <c r="AP679" s="47"/>
      <c r="AQ679" s="47"/>
      <c r="AR679" s="47"/>
      <c r="AS679" s="47"/>
    </row>
    <row r="680" spans="1:45" ht="12" customHeight="1" x14ac:dyDescent="0.25">
      <c r="A680" s="33">
        <f t="shared" si="79"/>
        <v>679</v>
      </c>
      <c r="B680" s="34"/>
      <c r="C680" s="34" t="s">
        <v>197</v>
      </c>
      <c r="D680" s="35" t="s">
        <v>772</v>
      </c>
      <c r="E680" s="34" t="s">
        <v>61</v>
      </c>
      <c r="F680" s="34" t="s">
        <v>0</v>
      </c>
      <c r="G680" s="16" t="s">
        <v>278</v>
      </c>
      <c r="H680" s="34">
        <v>128</v>
      </c>
      <c r="I680" s="34" t="s">
        <v>218</v>
      </c>
      <c r="J680" s="34" t="s">
        <v>3</v>
      </c>
      <c r="K680" s="35" t="s">
        <v>7</v>
      </c>
      <c r="L680" s="36" t="e">
        <f>VLOOKUP(G680,#REF!,4,0)</f>
        <v>#REF!</v>
      </c>
      <c r="M680" s="37" t="e">
        <f>_xlfn.IFNA(VLOOKUP(G680,#REF!,2,0),"")</f>
        <v>#REF!</v>
      </c>
      <c r="N680" s="38" t="e">
        <f>_xlfn.IFNA(VLOOKUP(G680,#REF!,3,0),"")</f>
        <v>#REF!</v>
      </c>
      <c r="O680" s="39">
        <v>2</v>
      </c>
      <c r="P680" s="79">
        <v>7.9333333333333325E-2</v>
      </c>
      <c r="Q680" s="39" t="s">
        <v>420</v>
      </c>
      <c r="R680" s="34">
        <v>1300</v>
      </c>
      <c r="S680" s="38">
        <v>180</v>
      </c>
      <c r="T680" s="40">
        <v>12</v>
      </c>
      <c r="U680" s="41">
        <f t="shared" si="81"/>
        <v>115.13333333333333</v>
      </c>
      <c r="V680" s="42">
        <f t="shared" si="82"/>
        <v>0.89947916666666661</v>
      </c>
      <c r="W680" s="43">
        <f t="shared" si="83"/>
        <v>0.13425062189054726</v>
      </c>
      <c r="X680" s="38"/>
      <c r="Y680" s="38"/>
      <c r="Z680" s="44"/>
      <c r="AA680" s="45">
        <v>46171</v>
      </c>
      <c r="AB680" s="45">
        <v>46193</v>
      </c>
      <c r="AC680" s="45"/>
      <c r="AD680" s="44"/>
      <c r="AE680" s="44"/>
      <c r="AF680" s="45"/>
      <c r="AG680" s="76">
        <f t="shared" si="80"/>
        <v>-46171</v>
      </c>
      <c r="AH680" s="45"/>
      <c r="AI680" s="39"/>
      <c r="AJ680" s="39"/>
      <c r="AK680" s="39"/>
      <c r="AL680" s="35"/>
      <c r="AM680" s="34"/>
      <c r="AN680" s="34"/>
      <c r="AO680" s="39"/>
      <c r="AP680" s="47"/>
      <c r="AQ680" s="47"/>
      <c r="AR680" s="47"/>
      <c r="AS680" s="47"/>
    </row>
    <row r="681" spans="1:45" ht="12" customHeight="1" x14ac:dyDescent="0.25">
      <c r="A681" s="33">
        <f t="shared" si="79"/>
        <v>680</v>
      </c>
      <c r="B681" s="34"/>
      <c r="C681" s="34" t="s">
        <v>197</v>
      </c>
      <c r="D681" s="35" t="s">
        <v>772</v>
      </c>
      <c r="E681" s="34" t="s">
        <v>61</v>
      </c>
      <c r="F681" s="34" t="s">
        <v>0</v>
      </c>
      <c r="G681" s="16" t="s">
        <v>293</v>
      </c>
      <c r="H681" s="34">
        <v>128</v>
      </c>
      <c r="I681" s="34" t="s">
        <v>218</v>
      </c>
      <c r="J681" s="34" t="s">
        <v>3</v>
      </c>
      <c r="K681" s="35" t="s">
        <v>7</v>
      </c>
      <c r="L681" s="36" t="e">
        <f>VLOOKUP(G681,#REF!,4,0)</f>
        <v>#REF!</v>
      </c>
      <c r="M681" s="37" t="e">
        <f>_xlfn.IFNA(VLOOKUP(G681,#REF!,2,0),"")</f>
        <v>#REF!</v>
      </c>
      <c r="N681" s="38" t="e">
        <f>_xlfn.IFNA(VLOOKUP(G681,#REF!,3,0),"")</f>
        <v>#REF!</v>
      </c>
      <c r="O681" s="39">
        <v>2</v>
      </c>
      <c r="P681" s="79">
        <v>7.9333333333333325E-2</v>
      </c>
      <c r="Q681" s="39" t="s">
        <v>420</v>
      </c>
      <c r="R681" s="34">
        <v>1300</v>
      </c>
      <c r="S681" s="48">
        <v>180</v>
      </c>
      <c r="T681" s="40">
        <v>12</v>
      </c>
      <c r="U681" s="41">
        <f t="shared" si="81"/>
        <v>115.13333333333333</v>
      </c>
      <c r="V681" s="42">
        <f t="shared" si="82"/>
        <v>0.89947916666666661</v>
      </c>
      <c r="W681" s="43">
        <f t="shared" si="83"/>
        <v>0.13425062189054726</v>
      </c>
      <c r="X681" s="38"/>
      <c r="Y681" s="38"/>
      <c r="Z681" s="44"/>
      <c r="AA681" s="45">
        <v>46171</v>
      </c>
      <c r="AB681" s="45">
        <v>46193</v>
      </c>
      <c r="AC681" s="45"/>
      <c r="AD681" s="44"/>
      <c r="AE681" s="44"/>
      <c r="AF681" s="45"/>
      <c r="AG681" s="76">
        <f t="shared" si="80"/>
        <v>-46171</v>
      </c>
      <c r="AH681" s="45"/>
      <c r="AI681" s="39"/>
      <c r="AJ681" s="39"/>
      <c r="AK681" s="39"/>
      <c r="AL681" s="35"/>
      <c r="AM681" s="34"/>
      <c r="AN681" s="34"/>
      <c r="AO681" s="39"/>
      <c r="AP681" s="47"/>
      <c r="AQ681" s="47"/>
      <c r="AR681" s="47"/>
      <c r="AS681" s="47"/>
    </row>
    <row r="682" spans="1:45" ht="12" customHeight="1" x14ac:dyDescent="0.25">
      <c r="A682" s="33">
        <f t="shared" si="79"/>
        <v>681</v>
      </c>
      <c r="B682" s="34"/>
      <c r="C682" s="34" t="s">
        <v>197</v>
      </c>
      <c r="D682" s="35" t="s">
        <v>772</v>
      </c>
      <c r="E682" s="34" t="s">
        <v>61</v>
      </c>
      <c r="F682" s="34" t="s">
        <v>0</v>
      </c>
      <c r="G682" s="16" t="s">
        <v>277</v>
      </c>
      <c r="H682" s="34">
        <v>256</v>
      </c>
      <c r="I682" s="34" t="s">
        <v>218</v>
      </c>
      <c r="J682" s="34" t="s">
        <v>3</v>
      </c>
      <c r="K682" s="35" t="s">
        <v>7</v>
      </c>
      <c r="L682" s="36" t="e">
        <f>VLOOKUP(G682,#REF!,4,0)</f>
        <v>#REF!</v>
      </c>
      <c r="M682" s="37" t="e">
        <f>_xlfn.IFNA(VLOOKUP(G682,#REF!,2,0),"")</f>
        <v>#REF!</v>
      </c>
      <c r="N682" s="38" t="e">
        <f>_xlfn.IFNA(VLOOKUP(G682,#REF!,3,0),"")</f>
        <v>#REF!</v>
      </c>
      <c r="O682" s="39">
        <v>4</v>
      </c>
      <c r="P682" s="79">
        <v>0.15866666666666665</v>
      </c>
      <c r="Q682" s="39" t="s">
        <v>420</v>
      </c>
      <c r="R682" s="34">
        <v>1300</v>
      </c>
      <c r="S682" s="38"/>
      <c r="T682" s="40">
        <v>24</v>
      </c>
      <c r="U682" s="41">
        <f t="shared" si="81"/>
        <v>230.26666666666665</v>
      </c>
      <c r="V682" s="42">
        <f t="shared" si="82"/>
        <v>0.89947916666666661</v>
      </c>
      <c r="W682" s="43">
        <f t="shared" si="83"/>
        <v>0.13425062189054726</v>
      </c>
      <c r="X682" s="38"/>
      <c r="Y682" s="38"/>
      <c r="Z682" s="44"/>
      <c r="AA682" s="45">
        <v>46171</v>
      </c>
      <c r="AB682" s="45">
        <v>46193</v>
      </c>
      <c r="AC682" s="45"/>
      <c r="AD682" s="44"/>
      <c r="AE682" s="44"/>
      <c r="AF682" s="45"/>
      <c r="AG682" s="76">
        <f t="shared" si="80"/>
        <v>-46171</v>
      </c>
      <c r="AH682" s="45"/>
      <c r="AI682" s="39"/>
      <c r="AJ682" s="39"/>
      <c r="AK682" s="39"/>
      <c r="AL682" s="35"/>
      <c r="AM682" s="34"/>
      <c r="AN682" s="34"/>
      <c r="AO682" s="39"/>
      <c r="AP682" s="47"/>
      <c r="AQ682" s="47"/>
      <c r="AR682" s="47"/>
      <c r="AS682" s="47"/>
    </row>
    <row r="683" spans="1:45" ht="12" customHeight="1" x14ac:dyDescent="0.25">
      <c r="A683" s="33">
        <f t="shared" si="79"/>
        <v>682</v>
      </c>
      <c r="B683" s="34"/>
      <c r="C683" s="34" t="s">
        <v>197</v>
      </c>
      <c r="D683" s="35" t="s">
        <v>772</v>
      </c>
      <c r="E683" s="34" t="s">
        <v>61</v>
      </c>
      <c r="F683" s="34" t="s">
        <v>0</v>
      </c>
      <c r="G683" s="16" t="s">
        <v>253</v>
      </c>
      <c r="H683" s="34">
        <v>1280</v>
      </c>
      <c r="I683" s="34" t="s">
        <v>218</v>
      </c>
      <c r="J683" s="34" t="s">
        <v>3</v>
      </c>
      <c r="K683" s="35" t="s">
        <v>7</v>
      </c>
      <c r="L683" s="36" t="e">
        <f>VLOOKUP(G683,#REF!,4,0)</f>
        <v>#REF!</v>
      </c>
      <c r="M683" s="37" t="e">
        <f>_xlfn.IFNA(VLOOKUP(G683,#REF!,2,0),"")</f>
        <v>#REF!</v>
      </c>
      <c r="N683" s="38" t="e">
        <f>_xlfn.IFNA(VLOOKUP(G683,#REF!,3,0),"")</f>
        <v>#REF!</v>
      </c>
      <c r="O683" s="39">
        <v>20</v>
      </c>
      <c r="P683" s="79">
        <v>0.79333333333333322</v>
      </c>
      <c r="Q683" s="39" t="s">
        <v>420</v>
      </c>
      <c r="R683" s="34">
        <v>1300</v>
      </c>
      <c r="S683" s="38"/>
      <c r="T683" s="40">
        <v>120</v>
      </c>
      <c r="U683" s="41">
        <f t="shared" si="81"/>
        <v>1151.3333333333333</v>
      </c>
      <c r="V683" s="42">
        <f t="shared" si="82"/>
        <v>0.89947916666666661</v>
      </c>
      <c r="W683" s="43">
        <f t="shared" si="83"/>
        <v>0.13425062189054726</v>
      </c>
      <c r="X683" s="38"/>
      <c r="Y683" s="38"/>
      <c r="Z683" s="44"/>
      <c r="AA683" s="45">
        <v>46171</v>
      </c>
      <c r="AB683" s="45">
        <v>46193</v>
      </c>
      <c r="AC683" s="45"/>
      <c r="AD683" s="44"/>
      <c r="AE683" s="44"/>
      <c r="AF683" s="45"/>
      <c r="AG683" s="76">
        <f t="shared" si="80"/>
        <v>-46171</v>
      </c>
      <c r="AH683" s="45"/>
      <c r="AI683" s="39"/>
      <c r="AJ683" s="39"/>
      <c r="AK683" s="39"/>
      <c r="AL683" s="35"/>
      <c r="AM683" s="34"/>
      <c r="AN683" s="34"/>
      <c r="AO683" s="39"/>
      <c r="AP683" s="47"/>
      <c r="AQ683" s="47"/>
      <c r="AR683" s="47"/>
      <c r="AS683" s="47"/>
    </row>
    <row r="684" spans="1:45" ht="12" customHeight="1" x14ac:dyDescent="0.25">
      <c r="A684" s="33">
        <f t="shared" si="79"/>
        <v>683</v>
      </c>
      <c r="B684" s="34"/>
      <c r="C684" s="34" t="s">
        <v>197</v>
      </c>
      <c r="D684" s="35" t="s">
        <v>772</v>
      </c>
      <c r="E684" s="34" t="s">
        <v>61</v>
      </c>
      <c r="F684" s="34" t="s">
        <v>0</v>
      </c>
      <c r="G684" s="16" t="s">
        <v>438</v>
      </c>
      <c r="H684" s="34">
        <v>128</v>
      </c>
      <c r="I684" s="34" t="s">
        <v>218</v>
      </c>
      <c r="J684" s="34" t="s">
        <v>3</v>
      </c>
      <c r="K684" s="35" t="s">
        <v>7</v>
      </c>
      <c r="L684" s="36" t="e">
        <f>VLOOKUP(G684,#REF!,4,0)</f>
        <v>#REF!</v>
      </c>
      <c r="M684" s="37" t="e">
        <f>_xlfn.IFNA(VLOOKUP(G684,#REF!,2,0),"")</f>
        <v>#REF!</v>
      </c>
      <c r="N684" s="38" t="e">
        <f>_xlfn.IFNA(VLOOKUP(G684,#REF!,3,0),"")</f>
        <v>#REF!</v>
      </c>
      <c r="O684" s="39">
        <v>2</v>
      </c>
      <c r="P684" s="79">
        <v>7.9333333333333325E-2</v>
      </c>
      <c r="Q684" s="39" t="s">
        <v>420</v>
      </c>
      <c r="R684" s="34">
        <v>1300</v>
      </c>
      <c r="S684" s="38"/>
      <c r="T684" s="40">
        <v>12</v>
      </c>
      <c r="U684" s="41">
        <f t="shared" si="81"/>
        <v>115.13333333333333</v>
      </c>
      <c r="V684" s="42">
        <f t="shared" si="82"/>
        <v>0.89947916666666661</v>
      </c>
      <c r="W684" s="43">
        <f t="shared" si="83"/>
        <v>0.13425062189054726</v>
      </c>
      <c r="X684" s="38"/>
      <c r="Y684" s="38"/>
      <c r="Z684" s="44"/>
      <c r="AA684" s="45">
        <v>46171</v>
      </c>
      <c r="AB684" s="45">
        <v>46193</v>
      </c>
      <c r="AC684" s="45"/>
      <c r="AD684" s="44"/>
      <c r="AE684" s="44"/>
      <c r="AF684" s="45"/>
      <c r="AG684" s="76">
        <f t="shared" si="80"/>
        <v>-46171</v>
      </c>
      <c r="AH684" s="45"/>
      <c r="AI684" s="39"/>
      <c r="AJ684" s="39"/>
      <c r="AK684" s="39"/>
      <c r="AL684" s="35"/>
      <c r="AM684" s="34"/>
      <c r="AN684" s="34"/>
      <c r="AO684" s="39"/>
      <c r="AP684" s="47"/>
      <c r="AQ684" s="47"/>
      <c r="AR684" s="47"/>
      <c r="AS684" s="47"/>
    </row>
    <row r="685" spans="1:45" ht="12" customHeight="1" x14ac:dyDescent="0.25">
      <c r="A685" s="33">
        <f t="shared" ref="A685:A748" si="84">ROW(A684)</f>
        <v>684</v>
      </c>
      <c r="B685" s="34"/>
      <c r="C685" s="34" t="s">
        <v>200</v>
      </c>
      <c r="D685" s="35" t="s">
        <v>773</v>
      </c>
      <c r="E685" s="34" t="s">
        <v>470</v>
      </c>
      <c r="F685" s="34" t="s">
        <v>0</v>
      </c>
      <c r="G685" s="16" t="s">
        <v>615</v>
      </c>
      <c r="H685" s="34">
        <v>100</v>
      </c>
      <c r="I685" s="34" t="s">
        <v>218</v>
      </c>
      <c r="J685" s="34" t="s">
        <v>3</v>
      </c>
      <c r="K685" s="35" t="s">
        <v>11</v>
      </c>
      <c r="L685" s="36" t="e">
        <f>VLOOKUP(G685,#REF!,4,0)</f>
        <v>#REF!</v>
      </c>
      <c r="M685" s="37" t="e">
        <f>_xlfn.IFNA(VLOOKUP(G685,#REF!,2,0),"")</f>
        <v>#REF!</v>
      </c>
      <c r="N685" s="38" t="e">
        <f>_xlfn.IFNA(VLOOKUP(G685,#REF!,3,0),"")</f>
        <v>#REF!</v>
      </c>
      <c r="O685" s="39">
        <v>5</v>
      </c>
      <c r="P685" s="79">
        <v>0.18857142857142856</v>
      </c>
      <c r="Q685" s="39" t="s">
        <v>420</v>
      </c>
      <c r="R685" s="34">
        <v>1610</v>
      </c>
      <c r="S685" s="38">
        <v>180</v>
      </c>
      <c r="T685" s="40">
        <v>25.714285714285715</v>
      </c>
      <c r="U685" s="41">
        <f t="shared" si="81"/>
        <v>329.31428571428569</v>
      </c>
      <c r="V685" s="42">
        <f t="shared" si="82"/>
        <v>3.2931428571428567</v>
      </c>
      <c r="W685" s="43">
        <f t="shared" si="83"/>
        <v>0.4915138592750532</v>
      </c>
      <c r="X685" s="38"/>
      <c r="Y685" s="38"/>
      <c r="Z685" s="44"/>
      <c r="AA685" s="45">
        <v>46171</v>
      </c>
      <c r="AB685" s="45">
        <v>46196</v>
      </c>
      <c r="AC685" s="45"/>
      <c r="AD685" s="44"/>
      <c r="AE685" s="44"/>
      <c r="AF685" s="45"/>
      <c r="AG685" s="76">
        <f t="shared" si="80"/>
        <v>-46171</v>
      </c>
      <c r="AH685" s="45"/>
      <c r="AI685" s="39"/>
      <c r="AJ685" s="39"/>
      <c r="AK685" s="39"/>
      <c r="AL685" s="35"/>
      <c r="AM685" s="34"/>
      <c r="AN685" s="34"/>
      <c r="AO685" s="39"/>
      <c r="AP685" s="47"/>
      <c r="AQ685" s="47"/>
      <c r="AR685" s="47"/>
      <c r="AS685" s="47"/>
    </row>
    <row r="686" spans="1:45" ht="12" customHeight="1" x14ac:dyDescent="0.25">
      <c r="A686" s="33">
        <f t="shared" si="84"/>
        <v>685</v>
      </c>
      <c r="B686" s="34"/>
      <c r="C686" s="34" t="s">
        <v>200</v>
      </c>
      <c r="D686" s="35" t="s">
        <v>773</v>
      </c>
      <c r="E686" s="34" t="s">
        <v>470</v>
      </c>
      <c r="F686" s="34" t="s">
        <v>0</v>
      </c>
      <c r="G686" s="16" t="s">
        <v>476</v>
      </c>
      <c r="H686" s="34">
        <v>1920</v>
      </c>
      <c r="I686" s="34" t="s">
        <v>218</v>
      </c>
      <c r="J686" s="34" t="s">
        <v>3</v>
      </c>
      <c r="K686" s="35" t="s">
        <v>11</v>
      </c>
      <c r="L686" s="36" t="e">
        <f>VLOOKUP(G686,#REF!,4,0)</f>
        <v>#REF!</v>
      </c>
      <c r="M686" s="37" t="e">
        <f>_xlfn.IFNA(VLOOKUP(G686,#REF!,2,0),"")</f>
        <v>#REF!</v>
      </c>
      <c r="N686" s="38" t="e">
        <f>_xlfn.IFNA(VLOOKUP(G686,#REF!,3,0),"")</f>
        <v>#REF!</v>
      </c>
      <c r="O686" s="39">
        <v>30</v>
      </c>
      <c r="P686" s="79">
        <v>1.1314285714285715</v>
      </c>
      <c r="Q686" s="39" t="s">
        <v>420</v>
      </c>
      <c r="R686" s="34">
        <v>1610</v>
      </c>
      <c r="S686" s="48">
        <v>180</v>
      </c>
      <c r="T686" s="40">
        <v>154.28571428571428</v>
      </c>
      <c r="U686" s="41">
        <f t="shared" si="81"/>
        <v>1975.8857142857144</v>
      </c>
      <c r="V686" s="42">
        <f t="shared" si="82"/>
        <v>1.029107142857143</v>
      </c>
      <c r="W686" s="43">
        <f t="shared" si="83"/>
        <v>0.15359808102345418</v>
      </c>
      <c r="X686" s="38"/>
      <c r="Y686" s="38"/>
      <c r="Z686" s="44"/>
      <c r="AA686" s="45">
        <v>46171</v>
      </c>
      <c r="AB686" s="45">
        <v>46196</v>
      </c>
      <c r="AC686" s="45"/>
      <c r="AD686" s="44"/>
      <c r="AE686" s="44"/>
      <c r="AF686" s="45"/>
      <c r="AG686" s="76">
        <f t="shared" si="80"/>
        <v>-46171</v>
      </c>
      <c r="AH686" s="45"/>
      <c r="AI686" s="39"/>
      <c r="AJ686" s="39"/>
      <c r="AK686" s="39"/>
      <c r="AL686" s="35"/>
      <c r="AM686" s="34"/>
      <c r="AN686" s="34"/>
      <c r="AO686" s="39"/>
      <c r="AP686" s="47"/>
      <c r="AQ686" s="47"/>
      <c r="AR686" s="47"/>
      <c r="AS686" s="47"/>
    </row>
    <row r="687" spans="1:45" ht="12" customHeight="1" x14ac:dyDescent="0.25">
      <c r="A687" s="33">
        <f t="shared" si="84"/>
        <v>686</v>
      </c>
      <c r="B687" s="34"/>
      <c r="C687" s="34" t="s">
        <v>765</v>
      </c>
      <c r="D687" s="35" t="s">
        <v>774</v>
      </c>
      <c r="E687" s="34" t="s">
        <v>61</v>
      </c>
      <c r="F687" s="34" t="s">
        <v>0</v>
      </c>
      <c r="G687" s="16" t="s">
        <v>120</v>
      </c>
      <c r="H687" s="34">
        <v>468</v>
      </c>
      <c r="I687" s="34" t="s">
        <v>66</v>
      </c>
      <c r="J687" s="34" t="s">
        <v>3</v>
      </c>
      <c r="K687" s="35" t="s">
        <v>5</v>
      </c>
      <c r="L687" s="36" t="e">
        <f>VLOOKUP(G687,#REF!,4,0)</f>
        <v>#REF!</v>
      </c>
      <c r="M687" s="37" t="e">
        <f>_xlfn.IFNA(VLOOKUP(G687,#REF!,2,0),"")</f>
        <v>#REF!</v>
      </c>
      <c r="N687" s="38" t="e">
        <f>_xlfn.IFNA(VLOOKUP(G687,#REF!,3,0),"")</f>
        <v>#REF!</v>
      </c>
      <c r="O687" s="39">
        <v>13</v>
      </c>
      <c r="P687" s="79">
        <v>296</v>
      </c>
      <c r="Q687" s="39" t="s">
        <v>10</v>
      </c>
      <c r="R687" s="34">
        <v>5</v>
      </c>
      <c r="S687" s="38">
        <v>200</v>
      </c>
      <c r="T687" s="40">
        <v>65</v>
      </c>
      <c r="U687" s="41">
        <f t="shared" si="81"/>
        <v>1545</v>
      </c>
      <c r="V687" s="42">
        <f t="shared" si="82"/>
        <v>3.3012820512820511</v>
      </c>
      <c r="W687" s="43">
        <f t="shared" si="83"/>
        <v>0.49272866437045537</v>
      </c>
      <c r="X687" s="38"/>
      <c r="Y687" s="38"/>
      <c r="Z687" s="44"/>
      <c r="AA687" s="45">
        <v>46171</v>
      </c>
      <c r="AB687" s="45">
        <v>46193</v>
      </c>
      <c r="AC687" s="45"/>
      <c r="AD687" s="44"/>
      <c r="AE687" s="44"/>
      <c r="AF687" s="45"/>
      <c r="AG687" s="76">
        <f t="shared" si="80"/>
        <v>-46171</v>
      </c>
      <c r="AH687" s="45"/>
      <c r="AI687" s="39"/>
      <c r="AJ687" s="39"/>
      <c r="AK687" s="39"/>
      <c r="AL687" s="35"/>
      <c r="AM687" s="34"/>
      <c r="AN687" s="34"/>
      <c r="AO687" s="39"/>
      <c r="AP687" s="47"/>
      <c r="AQ687" s="47"/>
      <c r="AR687" s="47"/>
      <c r="AS687" s="47"/>
    </row>
    <row r="688" spans="1:45" ht="12" customHeight="1" x14ac:dyDescent="0.25">
      <c r="A688" s="33">
        <f t="shared" si="84"/>
        <v>687</v>
      </c>
      <c r="B688" s="34"/>
      <c r="C688" s="34" t="s">
        <v>776</v>
      </c>
      <c r="D688" s="35" t="s">
        <v>777</v>
      </c>
      <c r="E688" s="34" t="s">
        <v>61</v>
      </c>
      <c r="F688" s="34" t="s">
        <v>0</v>
      </c>
      <c r="G688" s="16" t="s">
        <v>242</v>
      </c>
      <c r="H688" s="34">
        <v>400</v>
      </c>
      <c r="I688" s="34" t="s">
        <v>54</v>
      </c>
      <c r="J688" s="34" t="s">
        <v>3</v>
      </c>
      <c r="K688" s="35" t="s">
        <v>4</v>
      </c>
      <c r="L688" s="36" t="e">
        <f>VLOOKUP(G688,#REF!,4,0)</f>
        <v>#REF!</v>
      </c>
      <c r="M688" s="37" t="e">
        <f>_xlfn.IFNA(VLOOKUP(G688,#REF!,2,0),"")</f>
        <v>#REF!</v>
      </c>
      <c r="N688" s="38" t="e">
        <f>_xlfn.IFNA(VLOOKUP(G688,#REF!,3,0),"")</f>
        <v>#REF!</v>
      </c>
      <c r="O688" s="39">
        <v>10</v>
      </c>
      <c r="P688" s="79">
        <v>133.39500000000001</v>
      </c>
      <c r="Q688" s="39" t="s">
        <v>10</v>
      </c>
      <c r="R688" s="34">
        <v>5.4</v>
      </c>
      <c r="S688" s="48">
        <v>200</v>
      </c>
      <c r="T688" s="40">
        <v>17.857142857142858</v>
      </c>
      <c r="U688" s="41">
        <f t="shared" ref="U688:U737" si="85">R688*P688+T688</f>
        <v>738.19014285714297</v>
      </c>
      <c r="V688" s="42">
        <f t="shared" ref="V688:V737" si="86">U688/H688</f>
        <v>1.8454753571428575</v>
      </c>
      <c r="W688" s="43">
        <f t="shared" ref="W688:W737" si="87">V688/6.7</f>
        <v>0.27544408315565039</v>
      </c>
      <c r="X688" s="38"/>
      <c r="Y688" s="38"/>
      <c r="Z688" s="44"/>
      <c r="AA688" s="45">
        <v>46179</v>
      </c>
      <c r="AB688" s="45">
        <v>46205</v>
      </c>
      <c r="AC688" s="45"/>
      <c r="AD688" s="44"/>
      <c r="AE688" s="44"/>
      <c r="AF688" s="45"/>
      <c r="AG688" s="76">
        <f t="shared" si="80"/>
        <v>-46179</v>
      </c>
      <c r="AH688" s="45"/>
      <c r="AI688" s="39"/>
      <c r="AJ688" s="39"/>
      <c r="AK688" s="39"/>
      <c r="AL688" s="35"/>
      <c r="AM688" s="34"/>
      <c r="AN688" s="34"/>
      <c r="AO688" s="39"/>
      <c r="AP688" s="47"/>
      <c r="AQ688" s="47"/>
      <c r="AR688" s="47"/>
      <c r="AS688" s="47"/>
    </row>
    <row r="689" spans="1:45" ht="12" customHeight="1" x14ac:dyDescent="0.25">
      <c r="A689" s="33">
        <f t="shared" si="84"/>
        <v>688</v>
      </c>
      <c r="B689" s="34"/>
      <c r="C689" s="34" t="s">
        <v>776</v>
      </c>
      <c r="D689" s="35" t="s">
        <v>777</v>
      </c>
      <c r="E689" s="34" t="s">
        <v>61</v>
      </c>
      <c r="F689" s="34" t="s">
        <v>0</v>
      </c>
      <c r="G689" s="16" t="s">
        <v>279</v>
      </c>
      <c r="H689" s="34">
        <v>200</v>
      </c>
      <c r="I689" s="34" t="s">
        <v>54</v>
      </c>
      <c r="J689" s="34" t="s">
        <v>3</v>
      </c>
      <c r="K689" s="35" t="s">
        <v>4</v>
      </c>
      <c r="L689" s="36" t="e">
        <f>VLOOKUP(G689,#REF!,4,0)</f>
        <v>#REF!</v>
      </c>
      <c r="M689" s="37" t="e">
        <f>_xlfn.IFNA(VLOOKUP(G689,#REF!,2,0),"")</f>
        <v>#REF!</v>
      </c>
      <c r="N689" s="38" t="e">
        <f>_xlfn.IFNA(VLOOKUP(G689,#REF!,3,0),"")</f>
        <v>#REF!</v>
      </c>
      <c r="O689" s="39">
        <v>10</v>
      </c>
      <c r="P689" s="79">
        <v>133.39500000000001</v>
      </c>
      <c r="Q689" s="39" t="s">
        <v>10</v>
      </c>
      <c r="R689" s="34">
        <v>5.4</v>
      </c>
      <c r="S689" s="38"/>
      <c r="T689" s="40">
        <v>17.857142857142858</v>
      </c>
      <c r="U689" s="41">
        <f t="shared" si="85"/>
        <v>738.19014285714297</v>
      </c>
      <c r="V689" s="42">
        <f t="shared" si="86"/>
        <v>3.690950714285715</v>
      </c>
      <c r="W689" s="43">
        <f t="shared" si="87"/>
        <v>0.55088816631130078</v>
      </c>
      <c r="X689" s="38"/>
      <c r="Y689" s="38"/>
      <c r="Z689" s="44"/>
      <c r="AA689" s="45">
        <v>46179</v>
      </c>
      <c r="AB689" s="45">
        <v>46205</v>
      </c>
      <c r="AC689" s="45"/>
      <c r="AD689" s="44"/>
      <c r="AE689" s="44"/>
      <c r="AF689" s="45"/>
      <c r="AG689" s="76">
        <f t="shared" si="80"/>
        <v>-46179</v>
      </c>
      <c r="AH689" s="45"/>
      <c r="AI689" s="39"/>
      <c r="AJ689" s="39"/>
      <c r="AK689" s="39"/>
      <c r="AL689" s="35"/>
      <c r="AM689" s="34"/>
      <c r="AN689" s="34"/>
      <c r="AO689" s="39"/>
      <c r="AP689" s="47"/>
      <c r="AQ689" s="47"/>
      <c r="AR689" s="47"/>
      <c r="AS689" s="47"/>
    </row>
    <row r="690" spans="1:45" ht="12" customHeight="1" x14ac:dyDescent="0.25">
      <c r="A690" s="33">
        <f t="shared" si="84"/>
        <v>689</v>
      </c>
      <c r="B690" s="34"/>
      <c r="C690" s="34" t="s">
        <v>776</v>
      </c>
      <c r="D690" s="35" t="s">
        <v>778</v>
      </c>
      <c r="E690" s="34" t="s">
        <v>61</v>
      </c>
      <c r="F690" s="34" t="s">
        <v>0</v>
      </c>
      <c r="G690" s="16" t="s">
        <v>148</v>
      </c>
      <c r="H690" s="34">
        <v>1800</v>
      </c>
      <c r="I690" s="34" t="s">
        <v>54</v>
      </c>
      <c r="J690" s="34" t="s">
        <v>3</v>
      </c>
      <c r="K690" s="35" t="s">
        <v>4</v>
      </c>
      <c r="L690" s="36" t="e">
        <f>VLOOKUP(G690,#REF!,4,0)</f>
        <v>#REF!</v>
      </c>
      <c r="M690" s="37" t="e">
        <f>_xlfn.IFNA(VLOOKUP(G690,#REF!,2,0),"")</f>
        <v>#REF!</v>
      </c>
      <c r="N690" s="38" t="e">
        <f>_xlfn.IFNA(VLOOKUP(G690,#REF!,3,0),"")</f>
        <v>#REF!</v>
      </c>
      <c r="O690" s="39">
        <v>60</v>
      </c>
      <c r="P690" s="79">
        <v>800.38</v>
      </c>
      <c r="Q690" s="39" t="s">
        <v>10</v>
      </c>
      <c r="R690" s="34">
        <v>5.4</v>
      </c>
      <c r="S690" s="38"/>
      <c r="T690" s="40">
        <v>107.14285714285714</v>
      </c>
      <c r="U690" s="41">
        <f t="shared" si="85"/>
        <v>4429.1948571428575</v>
      </c>
      <c r="V690" s="42">
        <f t="shared" si="86"/>
        <v>2.4606638095238096</v>
      </c>
      <c r="W690" s="43">
        <f t="shared" si="87"/>
        <v>0.36726325515280739</v>
      </c>
      <c r="X690" s="38"/>
      <c r="Y690" s="38"/>
      <c r="Z690" s="44"/>
      <c r="AA690" s="45">
        <v>46179</v>
      </c>
      <c r="AB690" s="45">
        <v>46205</v>
      </c>
      <c r="AC690" s="45"/>
      <c r="AD690" s="44"/>
      <c r="AE690" s="44"/>
      <c r="AF690" s="45"/>
      <c r="AG690" s="76">
        <f t="shared" si="80"/>
        <v>-46179</v>
      </c>
      <c r="AH690" s="45"/>
      <c r="AI690" s="39"/>
      <c r="AJ690" s="39"/>
      <c r="AK690" s="39"/>
      <c r="AL690" s="35"/>
      <c r="AM690" s="34"/>
      <c r="AN690" s="34"/>
      <c r="AO690" s="39"/>
      <c r="AP690" s="47"/>
      <c r="AQ690" s="47"/>
      <c r="AR690" s="47"/>
      <c r="AS690" s="47"/>
    </row>
    <row r="691" spans="1:45" ht="12" customHeight="1" x14ac:dyDescent="0.25">
      <c r="A691" s="33">
        <f t="shared" si="84"/>
        <v>690</v>
      </c>
      <c r="B691" s="34"/>
      <c r="C691" s="34" t="s">
        <v>207</v>
      </c>
      <c r="D691" s="35" t="s">
        <v>779</v>
      </c>
      <c r="E691" s="34" t="s">
        <v>71</v>
      </c>
      <c r="F691" s="34" t="s">
        <v>72</v>
      </c>
      <c r="G691" s="16" t="s">
        <v>64</v>
      </c>
      <c r="H691" s="34">
        <v>280</v>
      </c>
      <c r="I691" s="34" t="s">
        <v>66</v>
      </c>
      <c r="J691" s="34" t="s">
        <v>255</v>
      </c>
      <c r="K691" s="35" t="s">
        <v>107</v>
      </c>
      <c r="L691" s="36" t="e">
        <f>VLOOKUP(G691,#REF!,4,0)</f>
        <v>#REF!</v>
      </c>
      <c r="M691" s="37" t="e">
        <f>_xlfn.IFNA(VLOOKUP(G691,#REF!,2,0),"")</f>
        <v>#REF!</v>
      </c>
      <c r="N691" s="38" t="e">
        <f>_xlfn.IFNA(VLOOKUP(G691,#REF!,3,0),"")</f>
        <v>#REF!</v>
      </c>
      <c r="O691" s="39">
        <v>7</v>
      </c>
      <c r="P691" s="79">
        <v>0.38888888888888884</v>
      </c>
      <c r="Q691" s="39" t="s">
        <v>420</v>
      </c>
      <c r="R691" s="34">
        <v>850</v>
      </c>
      <c r="S691" s="38">
        <v>550</v>
      </c>
      <c r="T691" s="40">
        <v>128.33333333333334</v>
      </c>
      <c r="U691" s="41">
        <f t="shared" si="85"/>
        <v>458.8888888888888</v>
      </c>
      <c r="V691" s="42">
        <f t="shared" si="86"/>
        <v>1.6388888888888886</v>
      </c>
      <c r="W691" s="43">
        <f t="shared" si="87"/>
        <v>0.2446102819237147</v>
      </c>
      <c r="X691" s="38"/>
      <c r="Y691" s="38"/>
      <c r="Z691" s="44"/>
      <c r="AA691" s="45">
        <v>46177</v>
      </c>
      <c r="AB691" s="45">
        <v>46215</v>
      </c>
      <c r="AC691" s="45"/>
      <c r="AD691" s="44"/>
      <c r="AE691" s="44"/>
      <c r="AF691" s="45"/>
      <c r="AG691" s="76">
        <f t="shared" si="80"/>
        <v>-46177</v>
      </c>
      <c r="AH691" s="45"/>
      <c r="AI691" s="39"/>
      <c r="AJ691" s="39"/>
      <c r="AK691" s="39"/>
      <c r="AL691" s="35"/>
      <c r="AM691" s="34"/>
      <c r="AN691" s="34"/>
      <c r="AO691" s="39"/>
      <c r="AP691" s="47"/>
      <c r="AQ691" s="47"/>
      <c r="AR691" s="47"/>
      <c r="AS691" s="47"/>
    </row>
    <row r="692" spans="1:45" ht="12" customHeight="1" x14ac:dyDescent="0.25">
      <c r="A692" s="33">
        <f t="shared" si="84"/>
        <v>691</v>
      </c>
      <c r="B692" s="34"/>
      <c r="C692" s="34" t="s">
        <v>207</v>
      </c>
      <c r="D692" s="35" t="s">
        <v>779</v>
      </c>
      <c r="E692" s="34" t="s">
        <v>71</v>
      </c>
      <c r="F692" s="34" t="s">
        <v>72</v>
      </c>
      <c r="G692" s="16" t="s">
        <v>97</v>
      </c>
      <c r="H692" s="34">
        <v>160</v>
      </c>
      <c r="I692" s="34" t="s">
        <v>66</v>
      </c>
      <c r="J692" s="34" t="s">
        <v>255</v>
      </c>
      <c r="K692" s="35" t="s">
        <v>107</v>
      </c>
      <c r="L692" s="36" t="e">
        <f>VLOOKUP(G692,#REF!,4,0)</f>
        <v>#REF!</v>
      </c>
      <c r="M692" s="37" t="e">
        <f>_xlfn.IFNA(VLOOKUP(G692,#REF!,2,0),"")</f>
        <v>#REF!</v>
      </c>
      <c r="N692" s="38" t="e">
        <f>_xlfn.IFNA(VLOOKUP(G692,#REF!,3,0),"")</f>
        <v>#REF!</v>
      </c>
      <c r="O692" s="39">
        <v>4</v>
      </c>
      <c r="P692" s="79">
        <v>0.22222222222222221</v>
      </c>
      <c r="Q692" s="39" t="s">
        <v>420</v>
      </c>
      <c r="R692" s="34">
        <v>850</v>
      </c>
      <c r="S692" s="48">
        <v>550</v>
      </c>
      <c r="T692" s="40">
        <v>73.333333333333329</v>
      </c>
      <c r="U692" s="41">
        <f t="shared" si="85"/>
        <v>262.22222222222223</v>
      </c>
      <c r="V692" s="42">
        <f t="shared" si="86"/>
        <v>1.6388888888888888</v>
      </c>
      <c r="W692" s="43">
        <f t="shared" si="87"/>
        <v>0.24461028192371476</v>
      </c>
      <c r="X692" s="38"/>
      <c r="Y692" s="38"/>
      <c r="Z692" s="44"/>
      <c r="AA692" s="45">
        <v>46177</v>
      </c>
      <c r="AB692" s="45">
        <v>46215</v>
      </c>
      <c r="AC692" s="45"/>
      <c r="AD692" s="44"/>
      <c r="AE692" s="44"/>
      <c r="AF692" s="45"/>
      <c r="AG692" s="76">
        <f t="shared" si="80"/>
        <v>-46177</v>
      </c>
      <c r="AH692" s="45"/>
      <c r="AI692" s="39"/>
      <c r="AJ692" s="39"/>
      <c r="AK692" s="39"/>
      <c r="AL692" s="35"/>
      <c r="AM692" s="34"/>
      <c r="AN692" s="34"/>
      <c r="AO692" s="39"/>
      <c r="AP692" s="47"/>
      <c r="AQ692" s="47"/>
      <c r="AR692" s="47"/>
      <c r="AS692" s="47"/>
    </row>
    <row r="693" spans="1:45" ht="12" customHeight="1" x14ac:dyDescent="0.25">
      <c r="A693" s="33">
        <f t="shared" si="84"/>
        <v>692</v>
      </c>
      <c r="B693" s="34"/>
      <c r="C693" s="34" t="s">
        <v>207</v>
      </c>
      <c r="D693" s="35" t="s">
        <v>779</v>
      </c>
      <c r="E693" s="34" t="s">
        <v>71</v>
      </c>
      <c r="F693" s="34" t="s">
        <v>72</v>
      </c>
      <c r="G693" s="16" t="s">
        <v>98</v>
      </c>
      <c r="H693" s="34">
        <v>80</v>
      </c>
      <c r="I693" s="34" t="s">
        <v>66</v>
      </c>
      <c r="J693" s="34" t="s">
        <v>255</v>
      </c>
      <c r="K693" s="35" t="s">
        <v>107</v>
      </c>
      <c r="L693" s="36" t="e">
        <f>VLOOKUP(G693,#REF!,4,0)</f>
        <v>#REF!</v>
      </c>
      <c r="M693" s="37" t="e">
        <f>_xlfn.IFNA(VLOOKUP(G693,#REF!,2,0),"")</f>
        <v>#REF!</v>
      </c>
      <c r="N693" s="38" t="e">
        <f>_xlfn.IFNA(VLOOKUP(G693,#REF!,3,0),"")</f>
        <v>#REF!</v>
      </c>
      <c r="O693" s="39">
        <v>2</v>
      </c>
      <c r="P693" s="79">
        <v>0.1111111111111111</v>
      </c>
      <c r="Q693" s="39" t="s">
        <v>420</v>
      </c>
      <c r="R693" s="34">
        <v>850</v>
      </c>
      <c r="S693" s="38"/>
      <c r="T693" s="40">
        <v>36.666666666666664</v>
      </c>
      <c r="U693" s="41">
        <f t="shared" si="85"/>
        <v>131.11111111111111</v>
      </c>
      <c r="V693" s="42">
        <f t="shared" si="86"/>
        <v>1.6388888888888888</v>
      </c>
      <c r="W693" s="43">
        <f t="shared" si="87"/>
        <v>0.24461028192371476</v>
      </c>
      <c r="X693" s="38"/>
      <c r="Y693" s="38"/>
      <c r="Z693" s="44"/>
      <c r="AA693" s="45">
        <v>46177</v>
      </c>
      <c r="AB693" s="45">
        <v>46215</v>
      </c>
      <c r="AC693" s="45"/>
      <c r="AD693" s="44"/>
      <c r="AE693" s="44"/>
      <c r="AF693" s="45"/>
      <c r="AG693" s="76">
        <f t="shared" si="80"/>
        <v>-46177</v>
      </c>
      <c r="AH693" s="45"/>
      <c r="AI693" s="39"/>
      <c r="AJ693" s="39"/>
      <c r="AK693" s="39"/>
      <c r="AL693" s="35"/>
      <c r="AM693" s="34"/>
      <c r="AN693" s="34"/>
      <c r="AO693" s="39"/>
      <c r="AP693" s="47"/>
      <c r="AQ693" s="47"/>
      <c r="AR693" s="47"/>
      <c r="AS693" s="47"/>
    </row>
    <row r="694" spans="1:45" ht="12" customHeight="1" x14ac:dyDescent="0.25">
      <c r="A694" s="33">
        <f t="shared" si="84"/>
        <v>693</v>
      </c>
      <c r="B694" s="34"/>
      <c r="C694" s="34" t="s">
        <v>207</v>
      </c>
      <c r="D694" s="35" t="s">
        <v>779</v>
      </c>
      <c r="E694" s="34" t="s">
        <v>71</v>
      </c>
      <c r="F694" s="34" t="s">
        <v>72</v>
      </c>
      <c r="G694" s="16" t="s">
        <v>65</v>
      </c>
      <c r="H694" s="34">
        <v>200</v>
      </c>
      <c r="I694" s="34" t="s">
        <v>66</v>
      </c>
      <c r="J694" s="34" t="s">
        <v>255</v>
      </c>
      <c r="K694" s="35" t="s">
        <v>107</v>
      </c>
      <c r="L694" s="36" t="e">
        <f>VLOOKUP(G694,#REF!,4,0)</f>
        <v>#REF!</v>
      </c>
      <c r="M694" s="37" t="e">
        <f>_xlfn.IFNA(VLOOKUP(G694,#REF!,2,0),"")</f>
        <v>#REF!</v>
      </c>
      <c r="N694" s="38" t="e">
        <f>_xlfn.IFNA(VLOOKUP(G694,#REF!,3,0),"")</f>
        <v>#REF!</v>
      </c>
      <c r="O694" s="39">
        <v>5</v>
      </c>
      <c r="P694" s="79">
        <v>0.27777777777777779</v>
      </c>
      <c r="Q694" s="39" t="s">
        <v>420</v>
      </c>
      <c r="R694" s="34">
        <v>850</v>
      </c>
      <c r="S694" s="38"/>
      <c r="T694" s="40">
        <v>91.666666666666671</v>
      </c>
      <c r="U694" s="41">
        <f t="shared" si="85"/>
        <v>327.77777777777777</v>
      </c>
      <c r="V694" s="42">
        <f t="shared" si="86"/>
        <v>1.6388888888888888</v>
      </c>
      <c r="W694" s="43">
        <f t="shared" si="87"/>
        <v>0.24461028192371476</v>
      </c>
      <c r="X694" s="38"/>
      <c r="Y694" s="38"/>
      <c r="Z694" s="44"/>
      <c r="AA694" s="45">
        <v>46177</v>
      </c>
      <c r="AB694" s="45">
        <v>46215</v>
      </c>
      <c r="AC694" s="45"/>
      <c r="AD694" s="44"/>
      <c r="AE694" s="44"/>
      <c r="AF694" s="45"/>
      <c r="AG694" s="76">
        <f t="shared" si="80"/>
        <v>-46177</v>
      </c>
      <c r="AH694" s="45"/>
      <c r="AI694" s="39"/>
      <c r="AJ694" s="39"/>
      <c r="AK694" s="39"/>
      <c r="AL694" s="35"/>
      <c r="AM694" s="34"/>
      <c r="AN694" s="34"/>
      <c r="AO694" s="39"/>
      <c r="AP694" s="47"/>
      <c r="AQ694" s="47"/>
      <c r="AR694" s="47"/>
      <c r="AS694" s="47"/>
    </row>
    <row r="695" spans="1:45" ht="12" customHeight="1" x14ac:dyDescent="0.25">
      <c r="A695" s="33">
        <f t="shared" si="84"/>
        <v>694</v>
      </c>
      <c r="B695" s="34"/>
      <c r="C695" s="34" t="s">
        <v>780</v>
      </c>
      <c r="D695" s="35" t="s">
        <v>781</v>
      </c>
      <c r="E695" s="34" t="s">
        <v>782</v>
      </c>
      <c r="F695" s="34" t="s">
        <v>52</v>
      </c>
      <c r="G695" s="16" t="s">
        <v>68</v>
      </c>
      <c r="H695" s="34">
        <v>120</v>
      </c>
      <c r="I695" s="34" t="s">
        <v>66</v>
      </c>
      <c r="J695" s="34" t="s">
        <v>55</v>
      </c>
      <c r="K695" s="35" t="s">
        <v>56</v>
      </c>
      <c r="L695" s="36" t="e">
        <f>VLOOKUP(G695,#REF!,4,0)</f>
        <v>#REF!</v>
      </c>
      <c r="M695" s="37" t="e">
        <f>_xlfn.IFNA(VLOOKUP(G695,#REF!,2,0),"")</f>
        <v>#REF!</v>
      </c>
      <c r="N695" s="38" t="e">
        <f>_xlfn.IFNA(VLOOKUP(G695,#REF!,3,0),"")</f>
        <v>#REF!</v>
      </c>
      <c r="O695" s="39">
        <v>4</v>
      </c>
      <c r="P695" s="79">
        <v>50</v>
      </c>
      <c r="Q695" s="39" t="s">
        <v>10</v>
      </c>
      <c r="R695" s="34">
        <v>6.8</v>
      </c>
      <c r="S695" s="38">
        <v>250</v>
      </c>
      <c r="T695" s="40">
        <v>66.666666666666671</v>
      </c>
      <c r="U695" s="41">
        <f t="shared" si="85"/>
        <v>406.66666666666669</v>
      </c>
      <c r="V695" s="42">
        <f t="shared" si="86"/>
        <v>3.3888888888888888</v>
      </c>
      <c r="W695" s="43">
        <f t="shared" si="87"/>
        <v>0.50580431177446106</v>
      </c>
      <c r="X695" s="38"/>
      <c r="Y695" s="38"/>
      <c r="Z695" s="44"/>
      <c r="AA695" s="45">
        <v>46179</v>
      </c>
      <c r="AB695" s="45"/>
      <c r="AC695" s="45"/>
      <c r="AD695" s="44"/>
      <c r="AE695" s="44"/>
      <c r="AF695" s="45"/>
      <c r="AG695" s="76">
        <f t="shared" si="80"/>
        <v>-46179</v>
      </c>
      <c r="AH695" s="45"/>
      <c r="AI695" s="39"/>
      <c r="AJ695" s="39"/>
      <c r="AK695" s="39"/>
      <c r="AL695" s="35"/>
      <c r="AM695" s="34"/>
      <c r="AN695" s="34"/>
      <c r="AO695" s="39"/>
      <c r="AP695" s="47"/>
      <c r="AQ695" s="47"/>
      <c r="AR695" s="47"/>
      <c r="AS695" s="47"/>
    </row>
    <row r="696" spans="1:45" ht="12" customHeight="1" x14ac:dyDescent="0.25">
      <c r="A696" s="33">
        <f t="shared" si="84"/>
        <v>695</v>
      </c>
      <c r="B696" s="34"/>
      <c r="C696" s="34" t="s">
        <v>780</v>
      </c>
      <c r="D696" s="35" t="s">
        <v>781</v>
      </c>
      <c r="E696" s="34" t="s">
        <v>782</v>
      </c>
      <c r="F696" s="34" t="s">
        <v>52</v>
      </c>
      <c r="G696" s="16" t="s">
        <v>69</v>
      </c>
      <c r="H696" s="34">
        <v>90</v>
      </c>
      <c r="I696" s="34" t="s">
        <v>66</v>
      </c>
      <c r="J696" s="34" t="s">
        <v>55</v>
      </c>
      <c r="K696" s="35" t="s">
        <v>56</v>
      </c>
      <c r="L696" s="36" t="e">
        <f>VLOOKUP(G696,#REF!,4,0)</f>
        <v>#REF!</v>
      </c>
      <c r="M696" s="37" t="e">
        <f>_xlfn.IFNA(VLOOKUP(G696,#REF!,2,0),"")</f>
        <v>#REF!</v>
      </c>
      <c r="N696" s="38" t="e">
        <f>_xlfn.IFNA(VLOOKUP(G696,#REF!,3,0),"")</f>
        <v>#REF!</v>
      </c>
      <c r="O696" s="39">
        <v>3</v>
      </c>
      <c r="P696" s="79">
        <v>37.5</v>
      </c>
      <c r="Q696" s="39" t="s">
        <v>10</v>
      </c>
      <c r="R696" s="34">
        <v>6.8</v>
      </c>
      <c r="S696" s="48">
        <v>250</v>
      </c>
      <c r="T696" s="40">
        <v>50</v>
      </c>
      <c r="U696" s="41">
        <f t="shared" si="85"/>
        <v>305</v>
      </c>
      <c r="V696" s="42">
        <f t="shared" si="86"/>
        <v>3.3888888888888888</v>
      </c>
      <c r="W696" s="43">
        <f t="shared" si="87"/>
        <v>0.50580431177446106</v>
      </c>
      <c r="X696" s="38"/>
      <c r="Y696" s="38"/>
      <c r="Z696" s="44"/>
      <c r="AA696" s="45">
        <v>46179</v>
      </c>
      <c r="AB696" s="45"/>
      <c r="AC696" s="45"/>
      <c r="AD696" s="44"/>
      <c r="AE696" s="44"/>
      <c r="AF696" s="45"/>
      <c r="AG696" s="76">
        <f t="shared" si="80"/>
        <v>-46179</v>
      </c>
      <c r="AH696" s="45"/>
      <c r="AI696" s="39"/>
      <c r="AJ696" s="39"/>
      <c r="AK696" s="39"/>
      <c r="AL696" s="35"/>
      <c r="AM696" s="34"/>
      <c r="AN696" s="34"/>
      <c r="AO696" s="39"/>
      <c r="AP696" s="47"/>
      <c r="AQ696" s="47"/>
      <c r="AR696" s="47"/>
      <c r="AS696" s="47"/>
    </row>
    <row r="697" spans="1:45" ht="12" customHeight="1" x14ac:dyDescent="0.25">
      <c r="A697" s="33">
        <f t="shared" si="84"/>
        <v>696</v>
      </c>
      <c r="B697" s="34"/>
      <c r="C697" s="34" t="s">
        <v>780</v>
      </c>
      <c r="D697" s="35" t="s">
        <v>781</v>
      </c>
      <c r="E697" s="34" t="s">
        <v>782</v>
      </c>
      <c r="F697" s="34" t="s">
        <v>52</v>
      </c>
      <c r="G697" s="16" t="s">
        <v>119</v>
      </c>
      <c r="H697" s="34">
        <v>30</v>
      </c>
      <c r="I697" s="34" t="s">
        <v>66</v>
      </c>
      <c r="J697" s="34" t="s">
        <v>55</v>
      </c>
      <c r="K697" s="35" t="s">
        <v>56</v>
      </c>
      <c r="L697" s="36" t="e">
        <f>VLOOKUP(G697,#REF!,4,0)</f>
        <v>#REF!</v>
      </c>
      <c r="M697" s="37" t="e">
        <f>_xlfn.IFNA(VLOOKUP(G697,#REF!,2,0),"")</f>
        <v>#REF!</v>
      </c>
      <c r="N697" s="38" t="e">
        <f>_xlfn.IFNA(VLOOKUP(G697,#REF!,3,0),"")</f>
        <v>#REF!</v>
      </c>
      <c r="O697" s="39">
        <v>1</v>
      </c>
      <c r="P697" s="79">
        <v>12.5</v>
      </c>
      <c r="Q697" s="39" t="s">
        <v>10</v>
      </c>
      <c r="R697" s="34">
        <v>6.8</v>
      </c>
      <c r="S697" s="38"/>
      <c r="T697" s="40">
        <v>16.666666666666668</v>
      </c>
      <c r="U697" s="41">
        <f t="shared" si="85"/>
        <v>101.66666666666667</v>
      </c>
      <c r="V697" s="42">
        <f t="shared" si="86"/>
        <v>3.3888888888888888</v>
      </c>
      <c r="W697" s="43">
        <f t="shared" si="87"/>
        <v>0.50580431177446106</v>
      </c>
      <c r="X697" s="38"/>
      <c r="Y697" s="38"/>
      <c r="Z697" s="44"/>
      <c r="AA697" s="45">
        <v>46179</v>
      </c>
      <c r="AB697" s="45"/>
      <c r="AC697" s="45"/>
      <c r="AD697" s="44"/>
      <c r="AE697" s="44"/>
      <c r="AF697" s="45"/>
      <c r="AG697" s="76">
        <f t="shared" si="80"/>
        <v>-46179</v>
      </c>
      <c r="AH697" s="45"/>
      <c r="AI697" s="39"/>
      <c r="AJ697" s="39"/>
      <c r="AK697" s="39"/>
      <c r="AL697" s="35"/>
      <c r="AM697" s="34"/>
      <c r="AN697" s="34"/>
      <c r="AO697" s="39"/>
      <c r="AP697" s="47"/>
      <c r="AQ697" s="47"/>
      <c r="AR697" s="47"/>
      <c r="AS697" s="47"/>
    </row>
    <row r="698" spans="1:45" ht="12" customHeight="1" x14ac:dyDescent="0.25">
      <c r="A698" s="33">
        <f t="shared" si="84"/>
        <v>697</v>
      </c>
      <c r="B698" s="34"/>
      <c r="C698" s="34" t="s">
        <v>783</v>
      </c>
      <c r="D698" s="35" t="s">
        <v>784</v>
      </c>
      <c r="E698" s="34" t="s">
        <v>470</v>
      </c>
      <c r="F698" s="34" t="s">
        <v>0</v>
      </c>
      <c r="G698" s="16" t="s">
        <v>285</v>
      </c>
      <c r="H698" s="34">
        <v>390</v>
      </c>
      <c r="I698" s="34" t="s">
        <v>66</v>
      </c>
      <c r="J698" s="34" t="s">
        <v>3</v>
      </c>
      <c r="K698" s="35" t="s">
        <v>4</v>
      </c>
      <c r="L698" s="36" t="e">
        <f>VLOOKUP(G698,#REF!,4,0)</f>
        <v>#REF!</v>
      </c>
      <c r="M698" s="37" t="e">
        <f>_xlfn.IFNA(VLOOKUP(G698,#REF!,2,0),"")</f>
        <v>#REF!</v>
      </c>
      <c r="N698" s="38" t="e">
        <f>_xlfn.IFNA(VLOOKUP(G698,#REF!,3,0),"")</f>
        <v>#REF!</v>
      </c>
      <c r="O698" s="39">
        <v>13</v>
      </c>
      <c r="P698" s="79">
        <v>206.0233918128655</v>
      </c>
      <c r="Q698" s="39" t="s">
        <v>10</v>
      </c>
      <c r="R698" s="34">
        <v>5.4</v>
      </c>
      <c r="S698" s="38">
        <v>200</v>
      </c>
      <c r="T698" s="40">
        <v>15.2046783625731</v>
      </c>
      <c r="U698" s="41">
        <f t="shared" si="85"/>
        <v>1127.7309941520468</v>
      </c>
      <c r="V698" s="42">
        <f t="shared" si="86"/>
        <v>2.8916179337231971</v>
      </c>
      <c r="W698" s="43">
        <f t="shared" si="87"/>
        <v>0.43158476622734282</v>
      </c>
      <c r="X698" s="38"/>
      <c r="Y698" s="38"/>
      <c r="Z698" s="44"/>
      <c r="AA698" s="45">
        <v>46179</v>
      </c>
      <c r="AB698" s="45">
        <v>46194</v>
      </c>
      <c r="AC698" s="45"/>
      <c r="AD698" s="44"/>
      <c r="AE698" s="44"/>
      <c r="AF698" s="45"/>
      <c r="AG698" s="76">
        <f t="shared" si="80"/>
        <v>-46179</v>
      </c>
      <c r="AH698" s="45"/>
      <c r="AI698" s="39"/>
      <c r="AJ698" s="39"/>
      <c r="AK698" s="39"/>
      <c r="AL698" s="35"/>
      <c r="AM698" s="34"/>
      <c r="AN698" s="34"/>
      <c r="AO698" s="39"/>
      <c r="AP698" s="47"/>
      <c r="AQ698" s="47"/>
      <c r="AR698" s="47"/>
      <c r="AS698" s="47"/>
    </row>
    <row r="699" spans="1:45" ht="12" customHeight="1" x14ac:dyDescent="0.25">
      <c r="A699" s="33">
        <f t="shared" si="84"/>
        <v>698</v>
      </c>
      <c r="B699" s="34"/>
      <c r="C699" s="34" t="s">
        <v>783</v>
      </c>
      <c r="D699" s="35" t="s">
        <v>784</v>
      </c>
      <c r="E699" s="34" t="s">
        <v>470</v>
      </c>
      <c r="F699" s="34" t="s">
        <v>0</v>
      </c>
      <c r="G699" s="16" t="s">
        <v>284</v>
      </c>
      <c r="H699" s="34">
        <v>150</v>
      </c>
      <c r="I699" s="34" t="s">
        <v>66</v>
      </c>
      <c r="J699" s="34" t="s">
        <v>3</v>
      </c>
      <c r="K699" s="35" t="s">
        <v>4</v>
      </c>
      <c r="L699" s="36" t="e">
        <f>VLOOKUP(G699,#REF!,4,0)</f>
        <v>#REF!</v>
      </c>
      <c r="M699" s="37" t="e">
        <f>_xlfn.IFNA(VLOOKUP(G699,#REF!,2,0),"")</f>
        <v>#REF!</v>
      </c>
      <c r="N699" s="38" t="e">
        <f>_xlfn.IFNA(VLOOKUP(G699,#REF!,3,0),"")</f>
        <v>#REF!</v>
      </c>
      <c r="O699" s="39">
        <v>5</v>
      </c>
      <c r="P699" s="79">
        <v>79.239766081871338</v>
      </c>
      <c r="Q699" s="39" t="s">
        <v>10</v>
      </c>
      <c r="R699" s="34">
        <v>5.4</v>
      </c>
      <c r="S699" s="48">
        <v>200</v>
      </c>
      <c r="T699" s="40">
        <v>5.8479532163742691</v>
      </c>
      <c r="U699" s="41">
        <f t="shared" si="85"/>
        <v>433.74269005847952</v>
      </c>
      <c r="V699" s="42">
        <f t="shared" si="86"/>
        <v>2.8916179337231966</v>
      </c>
      <c r="W699" s="43">
        <f t="shared" si="87"/>
        <v>0.43158476622734276</v>
      </c>
      <c r="X699" s="38"/>
      <c r="Y699" s="38"/>
      <c r="Z699" s="44"/>
      <c r="AA699" s="45">
        <v>46179</v>
      </c>
      <c r="AB699" s="45">
        <v>46194</v>
      </c>
      <c r="AC699" s="45"/>
      <c r="AD699" s="44"/>
      <c r="AE699" s="44"/>
      <c r="AF699" s="45"/>
      <c r="AG699" s="76">
        <f t="shared" si="80"/>
        <v>-46179</v>
      </c>
      <c r="AH699" s="45"/>
      <c r="AI699" s="39"/>
      <c r="AJ699" s="39"/>
      <c r="AK699" s="39"/>
      <c r="AL699" s="35"/>
      <c r="AM699" s="34"/>
      <c r="AN699" s="34"/>
      <c r="AO699" s="39"/>
      <c r="AP699" s="47"/>
      <c r="AQ699" s="47"/>
      <c r="AR699" s="47"/>
      <c r="AS699" s="47"/>
    </row>
    <row r="700" spans="1:45" ht="12" customHeight="1" x14ac:dyDescent="0.25">
      <c r="A700" s="33">
        <f t="shared" si="84"/>
        <v>699</v>
      </c>
      <c r="B700" s="34"/>
      <c r="C700" s="34" t="s">
        <v>783</v>
      </c>
      <c r="D700" s="35" t="s">
        <v>784</v>
      </c>
      <c r="E700" s="34" t="s">
        <v>470</v>
      </c>
      <c r="F700" s="34" t="s">
        <v>0</v>
      </c>
      <c r="G700" s="16" t="s">
        <v>247</v>
      </c>
      <c r="H700" s="34">
        <v>1200</v>
      </c>
      <c r="I700" s="34" t="s">
        <v>66</v>
      </c>
      <c r="J700" s="34" t="s">
        <v>3</v>
      </c>
      <c r="K700" s="35" t="s">
        <v>4</v>
      </c>
      <c r="L700" s="36" t="e">
        <f>VLOOKUP(G700,#REF!,4,0)</f>
        <v>#REF!</v>
      </c>
      <c r="M700" s="37" t="e">
        <f>_xlfn.IFNA(VLOOKUP(G700,#REF!,2,0),"")</f>
        <v>#REF!</v>
      </c>
      <c r="N700" s="38" t="e">
        <f>_xlfn.IFNA(VLOOKUP(G700,#REF!,3,0),"")</f>
        <v>#REF!</v>
      </c>
      <c r="O700" s="39">
        <v>40</v>
      </c>
      <c r="P700" s="79">
        <v>633.9181286549707</v>
      </c>
      <c r="Q700" s="39" t="s">
        <v>10</v>
      </c>
      <c r="R700" s="34">
        <v>5.4</v>
      </c>
      <c r="S700" s="38"/>
      <c r="T700" s="40">
        <v>46.783625730994153</v>
      </c>
      <c r="U700" s="41">
        <f t="shared" si="85"/>
        <v>3469.9415204678362</v>
      </c>
      <c r="V700" s="42">
        <f t="shared" si="86"/>
        <v>2.8916179337231966</v>
      </c>
      <c r="W700" s="43">
        <f t="shared" si="87"/>
        <v>0.43158476622734276</v>
      </c>
      <c r="X700" s="38"/>
      <c r="Y700" s="38"/>
      <c r="Z700" s="44"/>
      <c r="AA700" s="45">
        <v>46179</v>
      </c>
      <c r="AB700" s="45">
        <v>46194</v>
      </c>
      <c r="AC700" s="45"/>
      <c r="AD700" s="44"/>
      <c r="AE700" s="44"/>
      <c r="AF700" s="45"/>
      <c r="AG700" s="76">
        <f t="shared" si="80"/>
        <v>-46179</v>
      </c>
      <c r="AH700" s="45"/>
      <c r="AI700" s="39"/>
      <c r="AJ700" s="39"/>
      <c r="AK700" s="39"/>
      <c r="AL700" s="35"/>
      <c r="AM700" s="34"/>
      <c r="AN700" s="34"/>
      <c r="AO700" s="39"/>
      <c r="AP700" s="47"/>
      <c r="AQ700" s="47"/>
      <c r="AR700" s="47"/>
      <c r="AS700" s="47"/>
    </row>
    <row r="701" spans="1:45" ht="12" customHeight="1" x14ac:dyDescent="0.25">
      <c r="A701" s="33">
        <f t="shared" si="84"/>
        <v>700</v>
      </c>
      <c r="B701" s="34"/>
      <c r="C701" s="34" t="s">
        <v>783</v>
      </c>
      <c r="D701" s="35" t="s">
        <v>784</v>
      </c>
      <c r="E701" s="34" t="s">
        <v>470</v>
      </c>
      <c r="F701" s="34" t="s">
        <v>0</v>
      </c>
      <c r="G701" s="16" t="s">
        <v>272</v>
      </c>
      <c r="H701" s="34">
        <v>600</v>
      </c>
      <c r="I701" s="34" t="s">
        <v>66</v>
      </c>
      <c r="J701" s="34" t="s">
        <v>3</v>
      </c>
      <c r="K701" s="35" t="s">
        <v>4</v>
      </c>
      <c r="L701" s="36" t="e">
        <f>VLOOKUP(G701,#REF!,4,0)</f>
        <v>#REF!</v>
      </c>
      <c r="M701" s="37" t="e">
        <f>_xlfn.IFNA(VLOOKUP(G701,#REF!,2,0),"")</f>
        <v>#REF!</v>
      </c>
      <c r="N701" s="38" t="e">
        <f>_xlfn.IFNA(VLOOKUP(G701,#REF!,3,0),"")</f>
        <v>#REF!</v>
      </c>
      <c r="O701" s="39">
        <v>20</v>
      </c>
      <c r="P701" s="79">
        <v>316.95906432748535</v>
      </c>
      <c r="Q701" s="39" t="s">
        <v>10</v>
      </c>
      <c r="R701" s="34">
        <v>5.4</v>
      </c>
      <c r="S701" s="38"/>
      <c r="T701" s="40">
        <v>23.391812865497077</v>
      </c>
      <c r="U701" s="41">
        <f t="shared" si="85"/>
        <v>1734.9707602339181</v>
      </c>
      <c r="V701" s="42">
        <f t="shared" si="86"/>
        <v>2.8916179337231966</v>
      </c>
      <c r="W701" s="43">
        <f t="shared" si="87"/>
        <v>0.43158476622734276</v>
      </c>
      <c r="X701" s="38"/>
      <c r="Y701" s="38"/>
      <c r="Z701" s="44"/>
      <c r="AA701" s="45">
        <v>46179</v>
      </c>
      <c r="AB701" s="45">
        <v>46194</v>
      </c>
      <c r="AC701" s="45"/>
      <c r="AD701" s="44"/>
      <c r="AE701" s="44"/>
      <c r="AF701" s="45"/>
      <c r="AG701" s="76">
        <f t="shared" si="80"/>
        <v>-46179</v>
      </c>
      <c r="AH701" s="45"/>
      <c r="AI701" s="39"/>
      <c r="AJ701" s="39"/>
      <c r="AK701" s="39"/>
      <c r="AL701" s="35"/>
      <c r="AM701" s="34"/>
      <c r="AN701" s="34"/>
      <c r="AO701" s="39"/>
      <c r="AP701" s="47"/>
      <c r="AQ701" s="47"/>
      <c r="AR701" s="47"/>
      <c r="AS701" s="47"/>
    </row>
    <row r="702" spans="1:45" ht="12" customHeight="1" x14ac:dyDescent="0.25">
      <c r="A702" s="33">
        <f t="shared" si="84"/>
        <v>701</v>
      </c>
      <c r="B702" s="34"/>
      <c r="C702" s="34" t="s">
        <v>783</v>
      </c>
      <c r="D702" s="35" t="s">
        <v>784</v>
      </c>
      <c r="E702" s="34" t="s">
        <v>470</v>
      </c>
      <c r="F702" s="34" t="s">
        <v>0</v>
      </c>
      <c r="G702" s="16" t="s">
        <v>514</v>
      </c>
      <c r="H702" s="34">
        <v>2100</v>
      </c>
      <c r="I702" s="34" t="s">
        <v>66</v>
      </c>
      <c r="J702" s="34" t="s">
        <v>3</v>
      </c>
      <c r="K702" s="35" t="s">
        <v>4</v>
      </c>
      <c r="L702" s="36" t="e">
        <f>VLOOKUP(G702,#REF!,4,0)</f>
        <v>#REF!</v>
      </c>
      <c r="M702" s="37" t="e">
        <f>_xlfn.IFNA(VLOOKUP(G702,#REF!,2,0),"")</f>
        <v>#REF!</v>
      </c>
      <c r="N702" s="38" t="e">
        <f>_xlfn.IFNA(VLOOKUP(G702,#REF!,3,0),"")</f>
        <v>#REF!</v>
      </c>
      <c r="O702" s="39">
        <v>70</v>
      </c>
      <c r="P702" s="79">
        <v>1109.3567251461989</v>
      </c>
      <c r="Q702" s="39" t="s">
        <v>10</v>
      </c>
      <c r="R702" s="34">
        <v>5.4</v>
      </c>
      <c r="S702" s="38"/>
      <c r="T702" s="40">
        <v>81.871345029239762</v>
      </c>
      <c r="U702" s="41">
        <f t="shared" si="85"/>
        <v>6072.397660818714</v>
      </c>
      <c r="V702" s="42">
        <f t="shared" si="86"/>
        <v>2.8916179337231971</v>
      </c>
      <c r="W702" s="43">
        <f t="shared" si="87"/>
        <v>0.43158476622734282</v>
      </c>
      <c r="X702" s="38"/>
      <c r="Y702" s="38"/>
      <c r="Z702" s="44"/>
      <c r="AA702" s="45">
        <v>46179</v>
      </c>
      <c r="AB702" s="45">
        <v>46194</v>
      </c>
      <c r="AC702" s="45"/>
      <c r="AD702" s="44"/>
      <c r="AE702" s="44"/>
      <c r="AF702" s="45"/>
      <c r="AG702" s="76">
        <f t="shared" si="80"/>
        <v>-46179</v>
      </c>
      <c r="AH702" s="45"/>
      <c r="AI702" s="39"/>
      <c r="AJ702" s="39"/>
      <c r="AK702" s="39"/>
      <c r="AL702" s="35"/>
      <c r="AM702" s="34"/>
      <c r="AN702" s="34"/>
      <c r="AO702" s="39"/>
      <c r="AP702" s="47"/>
      <c r="AQ702" s="47"/>
      <c r="AR702" s="47"/>
      <c r="AS702" s="47"/>
    </row>
    <row r="703" spans="1:45" ht="12" customHeight="1" x14ac:dyDescent="0.25">
      <c r="A703" s="33">
        <f t="shared" si="84"/>
        <v>702</v>
      </c>
      <c r="B703" s="34"/>
      <c r="C703" s="34" t="s">
        <v>783</v>
      </c>
      <c r="D703" s="35" t="s">
        <v>784</v>
      </c>
      <c r="E703" s="34" t="s">
        <v>470</v>
      </c>
      <c r="F703" s="34" t="s">
        <v>0</v>
      </c>
      <c r="G703" s="16" t="s">
        <v>486</v>
      </c>
      <c r="H703" s="34">
        <v>690</v>
      </c>
      <c r="I703" s="34" t="s">
        <v>66</v>
      </c>
      <c r="J703" s="34" t="s">
        <v>3</v>
      </c>
      <c r="K703" s="35" t="s">
        <v>4</v>
      </c>
      <c r="L703" s="36" t="e">
        <f>VLOOKUP(G703,#REF!,4,0)</f>
        <v>#REF!</v>
      </c>
      <c r="M703" s="37" t="e">
        <f>_xlfn.IFNA(VLOOKUP(G703,#REF!,2,0),"")</f>
        <v>#REF!</v>
      </c>
      <c r="N703" s="38" t="e">
        <f>_xlfn.IFNA(VLOOKUP(G703,#REF!,3,0),"")</f>
        <v>#REF!</v>
      </c>
      <c r="O703" s="39">
        <v>23</v>
      </c>
      <c r="P703" s="79">
        <v>364.50292397660814</v>
      </c>
      <c r="Q703" s="39" t="s">
        <v>10</v>
      </c>
      <c r="R703" s="34">
        <v>5.4</v>
      </c>
      <c r="S703" s="38"/>
      <c r="T703" s="40">
        <v>26.900584795321638</v>
      </c>
      <c r="U703" s="41">
        <f t="shared" si="85"/>
        <v>1995.2163742690059</v>
      </c>
      <c r="V703" s="42">
        <f t="shared" si="86"/>
        <v>2.8916179337231971</v>
      </c>
      <c r="W703" s="43">
        <f t="shared" si="87"/>
        <v>0.43158476622734282</v>
      </c>
      <c r="X703" s="38"/>
      <c r="Y703" s="38"/>
      <c r="Z703" s="44"/>
      <c r="AA703" s="45">
        <v>46179</v>
      </c>
      <c r="AB703" s="45">
        <v>46194</v>
      </c>
      <c r="AC703" s="45"/>
      <c r="AD703" s="44"/>
      <c r="AE703" s="44"/>
      <c r="AF703" s="45"/>
      <c r="AG703" s="76">
        <f t="shared" si="80"/>
        <v>-46179</v>
      </c>
      <c r="AH703" s="45"/>
      <c r="AI703" s="39"/>
      <c r="AJ703" s="39"/>
      <c r="AK703" s="39"/>
      <c r="AL703" s="35"/>
      <c r="AM703" s="34"/>
      <c r="AN703" s="34"/>
      <c r="AO703" s="39"/>
      <c r="AP703" s="47"/>
      <c r="AQ703" s="47"/>
      <c r="AR703" s="47"/>
      <c r="AS703" s="47"/>
    </row>
    <row r="704" spans="1:45" ht="12" customHeight="1" x14ac:dyDescent="0.25">
      <c r="A704" s="33">
        <f t="shared" si="84"/>
        <v>703</v>
      </c>
      <c r="B704" s="34"/>
      <c r="C704" s="34" t="s">
        <v>776</v>
      </c>
      <c r="D704" s="35" t="s">
        <v>785</v>
      </c>
      <c r="E704" s="34" t="s">
        <v>58</v>
      </c>
      <c r="F704" s="34" t="s">
        <v>0</v>
      </c>
      <c r="G704" s="16" t="s">
        <v>64</v>
      </c>
      <c r="H704" s="34">
        <v>600</v>
      </c>
      <c r="I704" s="34" t="s">
        <v>54</v>
      </c>
      <c r="J704" s="34" t="s">
        <v>3</v>
      </c>
      <c r="K704" s="35" t="s">
        <v>4</v>
      </c>
      <c r="L704" s="36" t="e">
        <f>VLOOKUP(G704,#REF!,4,0)</f>
        <v>#REF!</v>
      </c>
      <c r="M704" s="37" t="e">
        <f>_xlfn.IFNA(VLOOKUP(G704,#REF!,2,0),"")</f>
        <v>#REF!</v>
      </c>
      <c r="N704" s="38" t="e">
        <f>_xlfn.IFNA(VLOOKUP(G704,#REF!,3,0),"")</f>
        <v>#REF!</v>
      </c>
      <c r="O704" s="39">
        <v>15</v>
      </c>
      <c r="P704" s="79">
        <v>200.09423076923076</v>
      </c>
      <c r="Q704" s="39" t="s">
        <v>10</v>
      </c>
      <c r="R704" s="34">
        <v>5.4</v>
      </c>
      <c r="S704" s="38">
        <v>200</v>
      </c>
      <c r="T704" s="40">
        <v>26.785714285714285</v>
      </c>
      <c r="U704" s="41">
        <f t="shared" si="85"/>
        <v>1107.2945604395604</v>
      </c>
      <c r="V704" s="42">
        <f t="shared" si="86"/>
        <v>1.845490934065934</v>
      </c>
      <c r="W704" s="43">
        <f t="shared" si="87"/>
        <v>0.2754464080695424</v>
      </c>
      <c r="X704" s="38"/>
      <c r="Y704" s="38"/>
      <c r="Z704" s="44"/>
      <c r="AA704" s="45">
        <v>46179</v>
      </c>
      <c r="AB704" s="45">
        <v>46205</v>
      </c>
      <c r="AC704" s="45"/>
      <c r="AD704" s="44"/>
      <c r="AE704" s="44"/>
      <c r="AF704" s="45"/>
      <c r="AG704" s="76">
        <f t="shared" si="80"/>
        <v>-46179</v>
      </c>
      <c r="AH704" s="45"/>
      <c r="AI704" s="39"/>
      <c r="AJ704" s="39"/>
      <c r="AK704" s="39"/>
      <c r="AL704" s="35"/>
      <c r="AM704" s="34"/>
      <c r="AN704" s="34"/>
      <c r="AO704" s="39"/>
      <c r="AP704" s="47"/>
      <c r="AQ704" s="47"/>
      <c r="AR704" s="47"/>
      <c r="AS704" s="47"/>
    </row>
    <row r="705" spans="1:45" ht="12" customHeight="1" x14ac:dyDescent="0.25">
      <c r="A705" s="33">
        <f t="shared" si="84"/>
        <v>704</v>
      </c>
      <c r="B705" s="34"/>
      <c r="C705" s="34" t="s">
        <v>776</v>
      </c>
      <c r="D705" s="35" t="s">
        <v>785</v>
      </c>
      <c r="E705" s="34" t="s">
        <v>58</v>
      </c>
      <c r="F705" s="34" t="s">
        <v>0</v>
      </c>
      <c r="G705" s="16" t="s">
        <v>65</v>
      </c>
      <c r="H705" s="34">
        <v>400</v>
      </c>
      <c r="I705" s="34" t="s">
        <v>54</v>
      </c>
      <c r="J705" s="34" t="s">
        <v>3</v>
      </c>
      <c r="K705" s="35" t="s">
        <v>4</v>
      </c>
      <c r="L705" s="36" t="e">
        <f>VLOOKUP(G705,#REF!,4,0)</f>
        <v>#REF!</v>
      </c>
      <c r="M705" s="37" t="e">
        <f>_xlfn.IFNA(VLOOKUP(G705,#REF!,2,0),"")</f>
        <v>#REF!</v>
      </c>
      <c r="N705" s="38" t="e">
        <f>_xlfn.IFNA(VLOOKUP(G705,#REF!,3,0),"")</f>
        <v>#REF!</v>
      </c>
      <c r="O705" s="39">
        <v>10</v>
      </c>
      <c r="P705" s="79">
        <v>133.39615384615382</v>
      </c>
      <c r="Q705" s="39" t="s">
        <v>10</v>
      </c>
      <c r="R705" s="34">
        <v>5.4</v>
      </c>
      <c r="S705" s="48">
        <v>200</v>
      </c>
      <c r="T705" s="40">
        <v>17.857142857142858</v>
      </c>
      <c r="U705" s="41">
        <f t="shared" si="85"/>
        <v>738.19637362637354</v>
      </c>
      <c r="V705" s="42">
        <f t="shared" si="86"/>
        <v>1.8454909340659338</v>
      </c>
      <c r="W705" s="43">
        <f t="shared" si="87"/>
        <v>0.27544640806954235</v>
      </c>
      <c r="X705" s="38"/>
      <c r="Y705" s="38"/>
      <c r="Z705" s="44"/>
      <c r="AA705" s="45">
        <v>46179</v>
      </c>
      <c r="AB705" s="45">
        <v>46205</v>
      </c>
      <c r="AC705" s="45"/>
      <c r="AD705" s="44"/>
      <c r="AE705" s="44"/>
      <c r="AF705" s="45"/>
      <c r="AG705" s="76">
        <f t="shared" si="80"/>
        <v>-46179</v>
      </c>
      <c r="AH705" s="45"/>
      <c r="AI705" s="39"/>
      <c r="AJ705" s="39"/>
      <c r="AK705" s="39"/>
      <c r="AL705" s="35"/>
      <c r="AM705" s="34"/>
      <c r="AN705" s="34"/>
      <c r="AO705" s="39"/>
      <c r="AP705" s="47"/>
      <c r="AQ705" s="47"/>
      <c r="AR705" s="47"/>
      <c r="AS705" s="47"/>
    </row>
    <row r="706" spans="1:45" ht="12" customHeight="1" x14ac:dyDescent="0.25">
      <c r="A706" s="33">
        <f t="shared" si="84"/>
        <v>705</v>
      </c>
      <c r="B706" s="34"/>
      <c r="C706" s="34" t="s">
        <v>776</v>
      </c>
      <c r="D706" s="35" t="s">
        <v>785</v>
      </c>
      <c r="E706" s="34" t="s">
        <v>58</v>
      </c>
      <c r="F706" s="34" t="s">
        <v>0</v>
      </c>
      <c r="G706" s="16" t="s">
        <v>99</v>
      </c>
      <c r="H706" s="34">
        <v>100</v>
      </c>
      <c r="I706" s="34" t="s">
        <v>54</v>
      </c>
      <c r="J706" s="34" t="s">
        <v>3</v>
      </c>
      <c r="K706" s="35" t="s">
        <v>4</v>
      </c>
      <c r="L706" s="36" t="e">
        <f>VLOOKUP(G706,#REF!,4,0)</f>
        <v>#REF!</v>
      </c>
      <c r="M706" s="37" t="e">
        <f>_xlfn.IFNA(VLOOKUP(G706,#REF!,2,0),"")</f>
        <v>#REF!</v>
      </c>
      <c r="N706" s="38" t="e">
        <f>_xlfn.IFNA(VLOOKUP(G706,#REF!,3,0),"")</f>
        <v>#REF!</v>
      </c>
      <c r="O706" s="39">
        <v>0.5</v>
      </c>
      <c r="P706" s="79">
        <v>6.6698076923076917</v>
      </c>
      <c r="Q706" s="39" t="s">
        <v>10</v>
      </c>
      <c r="R706" s="34">
        <v>5.4</v>
      </c>
      <c r="S706" s="38"/>
      <c r="T706" s="40">
        <v>0.8928571428571429</v>
      </c>
      <c r="U706" s="41">
        <f t="shared" si="85"/>
        <v>36.909818681318683</v>
      </c>
      <c r="V706" s="42">
        <f t="shared" si="86"/>
        <v>0.36909818681318685</v>
      </c>
      <c r="W706" s="43">
        <f t="shared" si="87"/>
        <v>5.5089281613908483E-2</v>
      </c>
      <c r="X706" s="38"/>
      <c r="Y706" s="38"/>
      <c r="Z706" s="44"/>
      <c r="AA706" s="45">
        <v>46179</v>
      </c>
      <c r="AB706" s="45">
        <v>46205</v>
      </c>
      <c r="AC706" s="45"/>
      <c r="AD706" s="44"/>
      <c r="AE706" s="44"/>
      <c r="AF706" s="45"/>
      <c r="AG706" s="76">
        <f t="shared" ref="AG706:AG737" si="88">AF706-AA706</f>
        <v>-46179</v>
      </c>
      <c r="AH706" s="45"/>
      <c r="AI706" s="39"/>
      <c r="AJ706" s="39"/>
      <c r="AK706" s="39"/>
      <c r="AL706" s="35"/>
      <c r="AM706" s="34"/>
      <c r="AN706" s="34"/>
      <c r="AO706" s="39"/>
      <c r="AP706" s="47"/>
      <c r="AQ706" s="47"/>
      <c r="AR706" s="47"/>
      <c r="AS706" s="47"/>
    </row>
    <row r="707" spans="1:45" ht="12" customHeight="1" x14ac:dyDescent="0.25">
      <c r="A707" s="33">
        <f t="shared" si="84"/>
        <v>706</v>
      </c>
      <c r="B707" s="34"/>
      <c r="C707" s="34" t="s">
        <v>776</v>
      </c>
      <c r="D707" s="35" t="s">
        <v>785</v>
      </c>
      <c r="E707" s="34" t="s">
        <v>58</v>
      </c>
      <c r="F707" s="34" t="s">
        <v>0</v>
      </c>
      <c r="G707" s="16" t="s">
        <v>100</v>
      </c>
      <c r="H707" s="34">
        <v>100</v>
      </c>
      <c r="I707" s="34" t="s">
        <v>54</v>
      </c>
      <c r="J707" s="34" t="s">
        <v>3</v>
      </c>
      <c r="K707" s="35" t="s">
        <v>4</v>
      </c>
      <c r="L707" s="36" t="e">
        <f>VLOOKUP(G707,#REF!,4,0)</f>
        <v>#REF!</v>
      </c>
      <c r="M707" s="37" t="e">
        <f>_xlfn.IFNA(VLOOKUP(G707,#REF!,2,0),"")</f>
        <v>#REF!</v>
      </c>
      <c r="N707" s="38" t="e">
        <f>_xlfn.IFNA(VLOOKUP(G707,#REF!,3,0),"")</f>
        <v>#REF!</v>
      </c>
      <c r="O707" s="39">
        <v>0.5</v>
      </c>
      <c r="P707" s="79">
        <v>6.6698076923076917</v>
      </c>
      <c r="Q707" s="39" t="s">
        <v>10</v>
      </c>
      <c r="R707" s="34">
        <v>5.4</v>
      </c>
      <c r="S707" s="38"/>
      <c r="T707" s="40">
        <v>0.8928571428571429</v>
      </c>
      <c r="U707" s="41">
        <f t="shared" si="85"/>
        <v>36.909818681318683</v>
      </c>
      <c r="V707" s="42">
        <f t="shared" si="86"/>
        <v>0.36909818681318685</v>
      </c>
      <c r="W707" s="43">
        <f t="shared" si="87"/>
        <v>5.5089281613908483E-2</v>
      </c>
      <c r="X707" s="38"/>
      <c r="Y707" s="38"/>
      <c r="Z707" s="44"/>
      <c r="AA707" s="45">
        <v>46179</v>
      </c>
      <c r="AB707" s="45">
        <v>46205</v>
      </c>
      <c r="AC707" s="45"/>
      <c r="AD707" s="44"/>
      <c r="AE707" s="44"/>
      <c r="AF707" s="45"/>
      <c r="AG707" s="76">
        <f t="shared" si="88"/>
        <v>-46179</v>
      </c>
      <c r="AH707" s="45"/>
      <c r="AI707" s="39"/>
      <c r="AJ707" s="39"/>
      <c r="AK707" s="39"/>
      <c r="AL707" s="35"/>
      <c r="AM707" s="34"/>
      <c r="AN707" s="34"/>
      <c r="AO707" s="39"/>
      <c r="AP707" s="47"/>
      <c r="AQ707" s="47"/>
      <c r="AR707" s="47"/>
      <c r="AS707" s="47"/>
    </row>
    <row r="708" spans="1:45" ht="12" customHeight="1" x14ac:dyDescent="0.25">
      <c r="A708" s="33">
        <f t="shared" si="84"/>
        <v>707</v>
      </c>
      <c r="B708" s="34"/>
      <c r="C708" s="34" t="s">
        <v>786</v>
      </c>
      <c r="D708" s="35" t="s">
        <v>787</v>
      </c>
      <c r="E708" s="34" t="s">
        <v>194</v>
      </c>
      <c r="F708" s="34" t="s">
        <v>195</v>
      </c>
      <c r="G708" s="16" t="s">
        <v>64</v>
      </c>
      <c r="H708" s="34">
        <v>280</v>
      </c>
      <c r="I708" s="34" t="s">
        <v>66</v>
      </c>
      <c r="J708" s="34" t="s">
        <v>234</v>
      </c>
      <c r="K708" s="35" t="s">
        <v>259</v>
      </c>
      <c r="L708" s="36" t="e">
        <f>VLOOKUP(G708,#REF!,4,0)</f>
        <v>#REF!</v>
      </c>
      <c r="M708" s="37" t="e">
        <f>_xlfn.IFNA(VLOOKUP(G708,#REF!,2,0),"")</f>
        <v>#REF!</v>
      </c>
      <c r="N708" s="38" t="e">
        <f>_xlfn.IFNA(VLOOKUP(G708,#REF!,3,0),"")</f>
        <v>#REF!</v>
      </c>
      <c r="O708" s="39">
        <v>7</v>
      </c>
      <c r="P708" s="79">
        <v>103.16</v>
      </c>
      <c r="Q708" s="39" t="s">
        <v>10</v>
      </c>
      <c r="R708" s="34">
        <v>7.7</v>
      </c>
      <c r="S708" s="38">
        <v>250</v>
      </c>
      <c r="T708" s="40">
        <v>92.10526315789474</v>
      </c>
      <c r="U708" s="41">
        <f t="shared" si="85"/>
        <v>886.43726315789468</v>
      </c>
      <c r="V708" s="42">
        <f t="shared" si="86"/>
        <v>3.1658473684210526</v>
      </c>
      <c r="W708" s="43">
        <f t="shared" si="87"/>
        <v>0.47251453260015708</v>
      </c>
      <c r="X708" s="38"/>
      <c r="Y708" s="38"/>
      <c r="Z708" s="44"/>
      <c r="AA708" s="45">
        <v>46177</v>
      </c>
      <c r="AB708" s="45">
        <v>46211</v>
      </c>
      <c r="AC708" s="45"/>
      <c r="AD708" s="44"/>
      <c r="AE708" s="44"/>
      <c r="AF708" s="45"/>
      <c r="AG708" s="76">
        <f t="shared" si="88"/>
        <v>-46177</v>
      </c>
      <c r="AH708" s="45"/>
      <c r="AI708" s="39"/>
      <c r="AJ708" s="39"/>
      <c r="AK708" s="39"/>
      <c r="AL708" s="35"/>
      <c r="AM708" s="34"/>
      <c r="AN708" s="34"/>
      <c r="AO708" s="39"/>
      <c r="AP708" s="47"/>
      <c r="AQ708" s="47"/>
      <c r="AR708" s="47"/>
      <c r="AS708" s="47"/>
    </row>
    <row r="709" spans="1:45" ht="12" customHeight="1" x14ac:dyDescent="0.25">
      <c r="A709" s="33">
        <f t="shared" si="84"/>
        <v>708</v>
      </c>
      <c r="B709" s="34"/>
      <c r="C709" s="34" t="s">
        <v>786</v>
      </c>
      <c r="D709" s="35" t="s">
        <v>787</v>
      </c>
      <c r="E709" s="34" t="s">
        <v>194</v>
      </c>
      <c r="F709" s="34" t="s">
        <v>195</v>
      </c>
      <c r="G709" s="16" t="s">
        <v>98</v>
      </c>
      <c r="H709" s="34">
        <v>40</v>
      </c>
      <c r="I709" s="34" t="s">
        <v>66</v>
      </c>
      <c r="J709" s="34" t="s">
        <v>234</v>
      </c>
      <c r="K709" s="35" t="s">
        <v>259</v>
      </c>
      <c r="L709" s="36" t="e">
        <f>VLOOKUP(G709,#REF!,4,0)</f>
        <v>#REF!</v>
      </c>
      <c r="M709" s="37" t="e">
        <f>_xlfn.IFNA(VLOOKUP(G709,#REF!,2,0),"")</f>
        <v>#REF!</v>
      </c>
      <c r="N709" s="38" t="e">
        <f>_xlfn.IFNA(VLOOKUP(G709,#REF!,3,0),"")</f>
        <v>#REF!</v>
      </c>
      <c r="O709" s="39">
        <v>1</v>
      </c>
      <c r="P709" s="79">
        <v>14.737142857142857</v>
      </c>
      <c r="Q709" s="39" t="s">
        <v>10</v>
      </c>
      <c r="R709" s="34">
        <v>7.7</v>
      </c>
      <c r="S709" s="48">
        <v>250</v>
      </c>
      <c r="T709" s="40">
        <v>13.157894736842104</v>
      </c>
      <c r="U709" s="41">
        <f t="shared" si="85"/>
        <v>126.63389473684211</v>
      </c>
      <c r="V709" s="42">
        <f t="shared" si="86"/>
        <v>3.1658473684210526</v>
      </c>
      <c r="W709" s="43">
        <f t="shared" si="87"/>
        <v>0.47251453260015708</v>
      </c>
      <c r="X709" s="38"/>
      <c r="Y709" s="38"/>
      <c r="Z709" s="44"/>
      <c r="AA709" s="45">
        <v>46177</v>
      </c>
      <c r="AB709" s="45">
        <v>46211</v>
      </c>
      <c r="AC709" s="45"/>
      <c r="AD709" s="44"/>
      <c r="AE709" s="44"/>
      <c r="AF709" s="45"/>
      <c r="AG709" s="76">
        <f t="shared" si="88"/>
        <v>-46177</v>
      </c>
      <c r="AH709" s="45"/>
      <c r="AI709" s="39"/>
      <c r="AJ709" s="39"/>
      <c r="AK709" s="39"/>
      <c r="AL709" s="35"/>
      <c r="AM709" s="34"/>
      <c r="AN709" s="34"/>
      <c r="AO709" s="39"/>
      <c r="AP709" s="47"/>
      <c r="AQ709" s="47"/>
      <c r="AR709" s="47"/>
      <c r="AS709" s="47"/>
    </row>
    <row r="710" spans="1:45" ht="12" customHeight="1" x14ac:dyDescent="0.25">
      <c r="A710" s="33">
        <f t="shared" si="84"/>
        <v>709</v>
      </c>
      <c r="B710" s="34"/>
      <c r="C710" s="34" t="s">
        <v>786</v>
      </c>
      <c r="D710" s="35" t="s">
        <v>787</v>
      </c>
      <c r="E710" s="34" t="s">
        <v>194</v>
      </c>
      <c r="F710" s="34" t="s">
        <v>195</v>
      </c>
      <c r="G710" s="16" t="s">
        <v>65</v>
      </c>
      <c r="H710" s="34">
        <v>240</v>
      </c>
      <c r="I710" s="34" t="s">
        <v>66</v>
      </c>
      <c r="J710" s="34" t="s">
        <v>234</v>
      </c>
      <c r="K710" s="35" t="s">
        <v>259</v>
      </c>
      <c r="L710" s="36" t="e">
        <f>VLOOKUP(G710,#REF!,4,0)</f>
        <v>#REF!</v>
      </c>
      <c r="M710" s="37" t="e">
        <f>_xlfn.IFNA(VLOOKUP(G710,#REF!,2,0),"")</f>
        <v>#REF!</v>
      </c>
      <c r="N710" s="38" t="e">
        <f>_xlfn.IFNA(VLOOKUP(G710,#REF!,3,0),"")</f>
        <v>#REF!</v>
      </c>
      <c r="O710" s="39">
        <v>6</v>
      </c>
      <c r="P710" s="79">
        <v>88.42285714285714</v>
      </c>
      <c r="Q710" s="39" t="s">
        <v>10</v>
      </c>
      <c r="R710" s="34">
        <v>7.7</v>
      </c>
      <c r="S710" s="38"/>
      <c r="T710" s="40">
        <v>78.94736842105263</v>
      </c>
      <c r="U710" s="41">
        <f t="shared" si="85"/>
        <v>759.8033684210526</v>
      </c>
      <c r="V710" s="42">
        <f t="shared" si="86"/>
        <v>3.1658473684210526</v>
      </c>
      <c r="W710" s="43">
        <f t="shared" si="87"/>
        <v>0.47251453260015708</v>
      </c>
      <c r="X710" s="38"/>
      <c r="Y710" s="38"/>
      <c r="Z710" s="44"/>
      <c r="AA710" s="45">
        <v>46177</v>
      </c>
      <c r="AB710" s="45">
        <v>46211</v>
      </c>
      <c r="AC710" s="45"/>
      <c r="AD710" s="44"/>
      <c r="AE710" s="44"/>
      <c r="AF710" s="45"/>
      <c r="AG710" s="76">
        <f t="shared" si="88"/>
        <v>-46177</v>
      </c>
      <c r="AH710" s="45"/>
      <c r="AI710" s="39"/>
      <c r="AJ710" s="39"/>
      <c r="AK710" s="39"/>
      <c r="AL710" s="35"/>
      <c r="AM710" s="34"/>
      <c r="AN710" s="34"/>
      <c r="AO710" s="39"/>
      <c r="AP710" s="47"/>
      <c r="AQ710" s="47"/>
      <c r="AR710" s="47"/>
      <c r="AS710" s="47"/>
    </row>
    <row r="711" spans="1:45" ht="12" customHeight="1" x14ac:dyDescent="0.25">
      <c r="A711" s="33">
        <f t="shared" si="84"/>
        <v>710</v>
      </c>
      <c r="B711" s="34"/>
      <c r="C711" s="34" t="s">
        <v>203</v>
      </c>
      <c r="D711" s="35" t="s">
        <v>788</v>
      </c>
      <c r="E711" s="34" t="s">
        <v>273</v>
      </c>
      <c r="F711" s="34" t="s">
        <v>178</v>
      </c>
      <c r="G711" s="16" t="s">
        <v>158</v>
      </c>
      <c r="H711" s="34">
        <v>150</v>
      </c>
      <c r="I711" s="34" t="s">
        <v>809</v>
      </c>
      <c r="J711" s="34" t="s">
        <v>235</v>
      </c>
      <c r="K711" s="35" t="s">
        <v>789</v>
      </c>
      <c r="L711" s="36" t="e">
        <f>VLOOKUP(G711,#REF!,4,0)</f>
        <v>#REF!</v>
      </c>
      <c r="M711" s="37" t="e">
        <f>_xlfn.IFNA(VLOOKUP(G711,#REF!,2,0),"")</f>
        <v>#REF!</v>
      </c>
      <c r="N711" s="38" t="e">
        <f>_xlfn.IFNA(VLOOKUP(G711,#REF!,3,0),"")</f>
        <v>#REF!</v>
      </c>
      <c r="O711" s="39">
        <v>5</v>
      </c>
      <c r="P711" s="79">
        <v>75.9375</v>
      </c>
      <c r="Q711" s="39" t="s">
        <v>10</v>
      </c>
      <c r="R711" s="34">
        <v>8</v>
      </c>
      <c r="S711" s="38">
        <v>350</v>
      </c>
      <c r="T711" s="40">
        <v>109.375</v>
      </c>
      <c r="U711" s="41">
        <f t="shared" si="85"/>
        <v>716.875</v>
      </c>
      <c r="V711" s="42">
        <f t="shared" si="86"/>
        <v>4.7791666666666668</v>
      </c>
      <c r="W711" s="43">
        <f t="shared" si="87"/>
        <v>0.7133084577114428</v>
      </c>
      <c r="X711" s="38"/>
      <c r="Y711" s="38"/>
      <c r="Z711" s="44"/>
      <c r="AA711" s="45">
        <v>46178</v>
      </c>
      <c r="AB711" s="45">
        <v>46204</v>
      </c>
      <c r="AC711" s="45"/>
      <c r="AD711" s="44"/>
      <c r="AE711" s="44"/>
      <c r="AF711" s="45"/>
      <c r="AG711" s="76">
        <f t="shared" si="88"/>
        <v>-46178</v>
      </c>
      <c r="AH711" s="45"/>
      <c r="AI711" s="39"/>
      <c r="AJ711" s="39"/>
      <c r="AK711" s="39"/>
      <c r="AL711" s="35"/>
      <c r="AM711" s="34"/>
      <c r="AN711" s="34"/>
      <c r="AO711" s="39"/>
      <c r="AP711" s="47"/>
      <c r="AQ711" s="47"/>
      <c r="AR711" s="47"/>
      <c r="AS711" s="47"/>
    </row>
    <row r="712" spans="1:45" ht="12" customHeight="1" x14ac:dyDescent="0.25">
      <c r="A712" s="33">
        <f t="shared" si="84"/>
        <v>711</v>
      </c>
      <c r="B712" s="34"/>
      <c r="C712" s="34" t="s">
        <v>203</v>
      </c>
      <c r="D712" s="35" t="s">
        <v>788</v>
      </c>
      <c r="E712" s="34" t="s">
        <v>273</v>
      </c>
      <c r="F712" s="34" t="s">
        <v>178</v>
      </c>
      <c r="G712" s="16" t="s">
        <v>159</v>
      </c>
      <c r="H712" s="34">
        <v>90</v>
      </c>
      <c r="I712" s="34" t="s">
        <v>809</v>
      </c>
      <c r="J712" s="34" t="s">
        <v>235</v>
      </c>
      <c r="K712" s="35" t="s">
        <v>789</v>
      </c>
      <c r="L712" s="36" t="e">
        <f>VLOOKUP(G712,#REF!,4,0)</f>
        <v>#REF!</v>
      </c>
      <c r="M712" s="37" t="e">
        <f>_xlfn.IFNA(VLOOKUP(G712,#REF!,2,0),"")</f>
        <v>#REF!</v>
      </c>
      <c r="N712" s="38" t="e">
        <f>_xlfn.IFNA(VLOOKUP(G712,#REF!,3,0),"")</f>
        <v>#REF!</v>
      </c>
      <c r="O712" s="39">
        <v>3</v>
      </c>
      <c r="P712" s="79">
        <v>45.5625</v>
      </c>
      <c r="Q712" s="39" t="s">
        <v>10</v>
      </c>
      <c r="R712" s="34">
        <v>8</v>
      </c>
      <c r="S712" s="48">
        <v>350</v>
      </c>
      <c r="T712" s="40">
        <v>65.625</v>
      </c>
      <c r="U712" s="41">
        <f t="shared" si="85"/>
        <v>430.125</v>
      </c>
      <c r="V712" s="42">
        <f t="shared" si="86"/>
        <v>4.7791666666666668</v>
      </c>
      <c r="W712" s="43">
        <f t="shared" si="87"/>
        <v>0.7133084577114428</v>
      </c>
      <c r="X712" s="38"/>
      <c r="Y712" s="38"/>
      <c r="Z712" s="44"/>
      <c r="AA712" s="45">
        <v>46178</v>
      </c>
      <c r="AB712" s="45">
        <v>46204</v>
      </c>
      <c r="AC712" s="45"/>
      <c r="AD712" s="44"/>
      <c r="AE712" s="44"/>
      <c r="AF712" s="45"/>
      <c r="AG712" s="76">
        <f t="shared" si="88"/>
        <v>-46178</v>
      </c>
      <c r="AH712" s="45"/>
      <c r="AI712" s="39"/>
      <c r="AJ712" s="39"/>
      <c r="AK712" s="39"/>
      <c r="AL712" s="35"/>
      <c r="AM712" s="34"/>
      <c r="AN712" s="34"/>
      <c r="AO712" s="39"/>
      <c r="AP712" s="47"/>
      <c r="AQ712" s="47"/>
      <c r="AR712" s="47"/>
      <c r="AS712" s="47"/>
    </row>
    <row r="713" spans="1:45" ht="12" customHeight="1" x14ac:dyDescent="0.25">
      <c r="A713" s="33">
        <f t="shared" si="84"/>
        <v>712</v>
      </c>
      <c r="B713" s="34"/>
      <c r="C713" s="34" t="s">
        <v>203</v>
      </c>
      <c r="D713" s="35" t="s">
        <v>788</v>
      </c>
      <c r="E713" s="34" t="s">
        <v>273</v>
      </c>
      <c r="F713" s="34" t="s">
        <v>178</v>
      </c>
      <c r="G713" s="16" t="s">
        <v>251</v>
      </c>
      <c r="H713" s="34">
        <v>120</v>
      </c>
      <c r="I713" s="34" t="s">
        <v>809</v>
      </c>
      <c r="J713" s="34" t="s">
        <v>235</v>
      </c>
      <c r="K713" s="35" t="s">
        <v>789</v>
      </c>
      <c r="L713" s="36" t="e">
        <f>VLOOKUP(G713,#REF!,4,0)</f>
        <v>#REF!</v>
      </c>
      <c r="M713" s="37" t="e">
        <f>_xlfn.IFNA(VLOOKUP(G713,#REF!,2,0),"")</f>
        <v>#REF!</v>
      </c>
      <c r="N713" s="38" t="e">
        <f>_xlfn.IFNA(VLOOKUP(G713,#REF!,3,0),"")</f>
        <v>#REF!</v>
      </c>
      <c r="O713" s="39">
        <v>4</v>
      </c>
      <c r="P713" s="79">
        <v>60.75</v>
      </c>
      <c r="Q713" s="39" t="s">
        <v>10</v>
      </c>
      <c r="R713" s="34">
        <v>8</v>
      </c>
      <c r="S713" s="38"/>
      <c r="T713" s="40">
        <v>87.5</v>
      </c>
      <c r="U713" s="41">
        <f t="shared" si="85"/>
        <v>573.5</v>
      </c>
      <c r="V713" s="42">
        <f t="shared" si="86"/>
        <v>4.7791666666666668</v>
      </c>
      <c r="W713" s="43">
        <f t="shared" si="87"/>
        <v>0.7133084577114428</v>
      </c>
      <c r="X713" s="38"/>
      <c r="Y713" s="38"/>
      <c r="Z713" s="44"/>
      <c r="AA713" s="45">
        <v>46178</v>
      </c>
      <c r="AB713" s="45">
        <v>46204</v>
      </c>
      <c r="AC713" s="45"/>
      <c r="AD713" s="44"/>
      <c r="AE713" s="44"/>
      <c r="AF713" s="45"/>
      <c r="AG713" s="76">
        <f t="shared" si="88"/>
        <v>-46178</v>
      </c>
      <c r="AH713" s="45"/>
      <c r="AI713" s="39"/>
      <c r="AJ713" s="39"/>
      <c r="AK713" s="39"/>
      <c r="AL713" s="35"/>
      <c r="AM713" s="34"/>
      <c r="AN713" s="34"/>
      <c r="AO713" s="39"/>
      <c r="AP713" s="47"/>
      <c r="AQ713" s="47"/>
      <c r="AR713" s="47"/>
      <c r="AS713" s="47"/>
    </row>
    <row r="714" spans="1:45" ht="12" customHeight="1" x14ac:dyDescent="0.25">
      <c r="A714" s="33">
        <f t="shared" si="84"/>
        <v>713</v>
      </c>
      <c r="B714" s="34"/>
      <c r="C714" s="34" t="s">
        <v>203</v>
      </c>
      <c r="D714" s="35" t="s">
        <v>788</v>
      </c>
      <c r="E714" s="34" t="s">
        <v>273</v>
      </c>
      <c r="F714" s="34" t="s">
        <v>178</v>
      </c>
      <c r="G714" s="16" t="s">
        <v>252</v>
      </c>
      <c r="H714" s="34">
        <v>90</v>
      </c>
      <c r="I714" s="34" t="s">
        <v>809</v>
      </c>
      <c r="J714" s="34" t="s">
        <v>235</v>
      </c>
      <c r="K714" s="35" t="s">
        <v>789</v>
      </c>
      <c r="L714" s="36" t="e">
        <f>VLOOKUP(G714,#REF!,4,0)</f>
        <v>#REF!</v>
      </c>
      <c r="M714" s="37" t="e">
        <f>_xlfn.IFNA(VLOOKUP(G714,#REF!,2,0),"")</f>
        <v>#REF!</v>
      </c>
      <c r="N714" s="38" t="e">
        <f>_xlfn.IFNA(VLOOKUP(G714,#REF!,3,0),"")</f>
        <v>#REF!</v>
      </c>
      <c r="O714" s="39">
        <v>3</v>
      </c>
      <c r="P714" s="79">
        <v>45.5625</v>
      </c>
      <c r="Q714" s="39" t="s">
        <v>10</v>
      </c>
      <c r="R714" s="34">
        <v>8</v>
      </c>
      <c r="S714" s="38"/>
      <c r="T714" s="40">
        <v>65.625</v>
      </c>
      <c r="U714" s="41">
        <f t="shared" si="85"/>
        <v>430.125</v>
      </c>
      <c r="V714" s="42">
        <f t="shared" si="86"/>
        <v>4.7791666666666668</v>
      </c>
      <c r="W714" s="43">
        <f t="shared" si="87"/>
        <v>0.7133084577114428</v>
      </c>
      <c r="X714" s="38"/>
      <c r="Y714" s="38"/>
      <c r="Z714" s="44"/>
      <c r="AA714" s="45">
        <v>46178</v>
      </c>
      <c r="AB714" s="45">
        <v>46204</v>
      </c>
      <c r="AC714" s="45"/>
      <c r="AD714" s="44"/>
      <c r="AE714" s="44"/>
      <c r="AF714" s="45"/>
      <c r="AG714" s="76">
        <f t="shared" si="88"/>
        <v>-46178</v>
      </c>
      <c r="AH714" s="45"/>
      <c r="AI714" s="39"/>
      <c r="AJ714" s="39"/>
      <c r="AK714" s="39"/>
      <c r="AL714" s="35"/>
      <c r="AM714" s="34"/>
      <c r="AN714" s="34"/>
      <c r="AO714" s="39"/>
      <c r="AP714" s="47"/>
      <c r="AQ714" s="47"/>
      <c r="AR714" s="47"/>
      <c r="AS714" s="47"/>
    </row>
    <row r="715" spans="1:45" ht="12" customHeight="1" x14ac:dyDescent="0.25">
      <c r="A715" s="33">
        <f t="shared" si="84"/>
        <v>714</v>
      </c>
      <c r="B715" s="34"/>
      <c r="C715" s="34" t="s">
        <v>203</v>
      </c>
      <c r="D715" s="35" t="s">
        <v>788</v>
      </c>
      <c r="E715" s="34" t="s">
        <v>273</v>
      </c>
      <c r="F715" s="34" t="s">
        <v>178</v>
      </c>
      <c r="G715" s="16" t="s">
        <v>251</v>
      </c>
      <c r="H715" s="34">
        <v>27</v>
      </c>
      <c r="I715" s="34" t="s">
        <v>809</v>
      </c>
      <c r="J715" s="34" t="s">
        <v>235</v>
      </c>
      <c r="K715" s="35" t="s">
        <v>789</v>
      </c>
      <c r="L715" s="36" t="e">
        <f>VLOOKUP(G715,#REF!,4,0)</f>
        <v>#REF!</v>
      </c>
      <c r="M715" s="37" t="e">
        <f>_xlfn.IFNA(VLOOKUP(G715,#REF!,2,0),"")</f>
        <v>#REF!</v>
      </c>
      <c r="N715" s="38" t="e">
        <f>_xlfn.IFNA(VLOOKUP(G715,#REF!,3,0),"")</f>
        <v>#REF!</v>
      </c>
      <c r="O715" s="39">
        <v>0.5</v>
      </c>
      <c r="P715" s="79">
        <v>7.59375</v>
      </c>
      <c r="Q715" s="39" t="s">
        <v>10</v>
      </c>
      <c r="R715" s="34">
        <v>8</v>
      </c>
      <c r="S715" s="38"/>
      <c r="T715" s="40">
        <v>10.9375</v>
      </c>
      <c r="U715" s="41">
        <f t="shared" si="85"/>
        <v>71.6875</v>
      </c>
      <c r="V715" s="42">
        <f t="shared" si="86"/>
        <v>2.6550925925925926</v>
      </c>
      <c r="W715" s="43">
        <f t="shared" si="87"/>
        <v>0.39628247650635706</v>
      </c>
      <c r="X715" s="38"/>
      <c r="Y715" s="38"/>
      <c r="Z715" s="44"/>
      <c r="AA715" s="45">
        <v>46178</v>
      </c>
      <c r="AB715" s="45">
        <v>46204</v>
      </c>
      <c r="AC715" s="45"/>
      <c r="AD715" s="44"/>
      <c r="AE715" s="44"/>
      <c r="AF715" s="45"/>
      <c r="AG715" s="76">
        <f t="shared" si="88"/>
        <v>-46178</v>
      </c>
      <c r="AH715" s="45"/>
      <c r="AI715" s="39"/>
      <c r="AJ715" s="39"/>
      <c r="AK715" s="39"/>
      <c r="AL715" s="35"/>
      <c r="AM715" s="34"/>
      <c r="AN715" s="34"/>
      <c r="AO715" s="39"/>
      <c r="AP715" s="47"/>
      <c r="AQ715" s="47"/>
      <c r="AR715" s="47"/>
      <c r="AS715" s="47"/>
    </row>
    <row r="716" spans="1:45" ht="12" customHeight="1" x14ac:dyDescent="0.25">
      <c r="A716" s="33">
        <f t="shared" si="84"/>
        <v>715</v>
      </c>
      <c r="B716" s="34"/>
      <c r="C716" s="34" t="s">
        <v>203</v>
      </c>
      <c r="D716" s="35" t="s">
        <v>788</v>
      </c>
      <c r="E716" s="34" t="s">
        <v>273</v>
      </c>
      <c r="F716" s="34" t="s">
        <v>178</v>
      </c>
      <c r="G716" s="16" t="s">
        <v>99</v>
      </c>
      <c r="H716" s="34">
        <v>15</v>
      </c>
      <c r="I716" s="34" t="s">
        <v>809</v>
      </c>
      <c r="J716" s="34" t="s">
        <v>235</v>
      </c>
      <c r="K716" s="35" t="s">
        <v>789</v>
      </c>
      <c r="L716" s="36" t="e">
        <f>VLOOKUP(G716,#REF!,4,0)</f>
        <v>#REF!</v>
      </c>
      <c r="M716" s="37" t="e">
        <f>_xlfn.IFNA(VLOOKUP(G716,#REF!,2,0),"")</f>
        <v>#REF!</v>
      </c>
      <c r="N716" s="38" t="e">
        <f>_xlfn.IFNA(VLOOKUP(G716,#REF!,3,0),"")</f>
        <v>#REF!</v>
      </c>
      <c r="O716" s="39">
        <v>0.5</v>
      </c>
      <c r="P716" s="79">
        <v>7.59375</v>
      </c>
      <c r="Q716" s="39" t="s">
        <v>10</v>
      </c>
      <c r="R716" s="34">
        <v>8</v>
      </c>
      <c r="S716" s="38"/>
      <c r="T716" s="40">
        <v>10.9375</v>
      </c>
      <c r="U716" s="41">
        <f t="shared" si="85"/>
        <v>71.6875</v>
      </c>
      <c r="V716" s="42">
        <f t="shared" si="86"/>
        <v>4.7791666666666668</v>
      </c>
      <c r="W716" s="43">
        <f t="shared" si="87"/>
        <v>0.7133084577114428</v>
      </c>
      <c r="X716" s="38"/>
      <c r="Y716" s="38"/>
      <c r="Z716" s="44"/>
      <c r="AA716" s="45">
        <v>46178</v>
      </c>
      <c r="AB716" s="45">
        <v>46204</v>
      </c>
      <c r="AC716" s="45"/>
      <c r="AD716" s="44"/>
      <c r="AE716" s="44"/>
      <c r="AF716" s="45"/>
      <c r="AG716" s="76">
        <f t="shared" si="88"/>
        <v>-46178</v>
      </c>
      <c r="AH716" s="45"/>
      <c r="AI716" s="39"/>
      <c r="AJ716" s="39"/>
      <c r="AK716" s="39"/>
      <c r="AL716" s="35"/>
      <c r="AM716" s="34"/>
      <c r="AN716" s="34"/>
      <c r="AO716" s="39"/>
      <c r="AP716" s="47"/>
      <c r="AQ716" s="47"/>
      <c r="AR716" s="47"/>
      <c r="AS716" s="47"/>
    </row>
    <row r="717" spans="1:45" ht="12" customHeight="1" x14ac:dyDescent="0.25">
      <c r="A717" s="33">
        <f t="shared" si="84"/>
        <v>716</v>
      </c>
      <c r="B717" s="34"/>
      <c r="C717" s="34" t="s">
        <v>776</v>
      </c>
      <c r="D717" s="35" t="s">
        <v>790</v>
      </c>
      <c r="E717" s="34" t="s">
        <v>172</v>
      </c>
      <c r="F717" s="34" t="s">
        <v>0</v>
      </c>
      <c r="G717" s="16" t="s">
        <v>115</v>
      </c>
      <c r="H717" s="34">
        <v>96</v>
      </c>
      <c r="I717" s="34" t="s">
        <v>54</v>
      </c>
      <c r="J717" s="34" t="s">
        <v>3</v>
      </c>
      <c r="K717" s="35" t="s">
        <v>22</v>
      </c>
      <c r="L717" s="36" t="e">
        <f>VLOOKUP(G717,#REF!,4,0)</f>
        <v>#REF!</v>
      </c>
      <c r="M717" s="37" t="e">
        <f>_xlfn.IFNA(VLOOKUP(G717,#REF!,2,0),"")</f>
        <v>#REF!</v>
      </c>
      <c r="N717" s="38" t="e">
        <f>_xlfn.IFNA(VLOOKUP(G717,#REF!,3,0),"")</f>
        <v>#REF!</v>
      </c>
      <c r="O717" s="39">
        <v>6</v>
      </c>
      <c r="P717" s="79">
        <v>90</v>
      </c>
      <c r="Q717" s="39" t="s">
        <v>10</v>
      </c>
      <c r="R717" s="34">
        <v>5.4</v>
      </c>
      <c r="S717" s="38"/>
      <c r="T717" s="40">
        <v>10.714285714285714</v>
      </c>
      <c r="U717" s="41">
        <f t="shared" si="85"/>
        <v>496.71428571428578</v>
      </c>
      <c r="V717" s="42">
        <f t="shared" si="86"/>
        <v>5.1741071428571432</v>
      </c>
      <c r="W717" s="43">
        <f t="shared" si="87"/>
        <v>0.7722547974413646</v>
      </c>
      <c r="X717" s="38"/>
      <c r="Y717" s="38"/>
      <c r="Z717" s="44"/>
      <c r="AA717" s="45">
        <v>46178</v>
      </c>
      <c r="AB717" s="45">
        <v>46205</v>
      </c>
      <c r="AC717" s="45"/>
      <c r="AD717" s="44"/>
      <c r="AE717" s="44"/>
      <c r="AF717" s="45"/>
      <c r="AG717" s="76">
        <f t="shared" si="88"/>
        <v>-46178</v>
      </c>
      <c r="AH717" s="45"/>
      <c r="AI717" s="39"/>
      <c r="AJ717" s="39"/>
      <c r="AK717" s="39"/>
      <c r="AL717" s="35"/>
      <c r="AM717" s="34"/>
      <c r="AN717" s="34"/>
      <c r="AO717" s="39"/>
      <c r="AP717" s="47"/>
      <c r="AQ717" s="47"/>
      <c r="AR717" s="47"/>
      <c r="AS717" s="47"/>
    </row>
    <row r="718" spans="1:45" ht="12" customHeight="1" x14ac:dyDescent="0.25">
      <c r="A718" s="33">
        <f t="shared" si="84"/>
        <v>717</v>
      </c>
      <c r="B718" s="34"/>
      <c r="C718" s="34" t="s">
        <v>791</v>
      </c>
      <c r="D718" s="35" t="s">
        <v>792</v>
      </c>
      <c r="E718" s="34" t="s">
        <v>470</v>
      </c>
      <c r="F718" s="34" t="s">
        <v>0</v>
      </c>
      <c r="G718" s="16" t="s">
        <v>290</v>
      </c>
      <c r="H718" s="34">
        <v>240</v>
      </c>
      <c r="I718" s="34" t="s">
        <v>54</v>
      </c>
      <c r="J718" s="34" t="s">
        <v>3</v>
      </c>
      <c r="K718" s="35" t="s">
        <v>15</v>
      </c>
      <c r="L718" s="36" t="e">
        <f>VLOOKUP(G718,#REF!,4,0)</f>
        <v>#REF!</v>
      </c>
      <c r="M718" s="37" t="e">
        <f>_xlfn.IFNA(VLOOKUP(G718,#REF!,2,0),"")</f>
        <v>#REF!</v>
      </c>
      <c r="N718" s="38" t="e">
        <f>_xlfn.IFNA(VLOOKUP(G718,#REF!,3,0),"")</f>
        <v>#REF!</v>
      </c>
      <c r="O718" s="39">
        <v>15</v>
      </c>
      <c r="P718" s="79">
        <v>202</v>
      </c>
      <c r="Q718" s="39" t="s">
        <v>10</v>
      </c>
      <c r="R718" s="34">
        <v>4.5</v>
      </c>
      <c r="S718" s="38">
        <v>200</v>
      </c>
      <c r="T718" s="40">
        <v>71.428571428571431</v>
      </c>
      <c r="U718" s="41">
        <f t="shared" si="85"/>
        <v>980.42857142857144</v>
      </c>
      <c r="V718" s="42">
        <f t="shared" si="86"/>
        <v>4.085119047619048</v>
      </c>
      <c r="W718" s="43">
        <f t="shared" si="87"/>
        <v>0.6097192608386639</v>
      </c>
      <c r="X718" s="38"/>
      <c r="Y718" s="38"/>
      <c r="Z718" s="44"/>
      <c r="AA718" s="45">
        <v>46178</v>
      </c>
      <c r="AB718" s="45">
        <v>46202</v>
      </c>
      <c r="AC718" s="45"/>
      <c r="AD718" s="44"/>
      <c r="AE718" s="44"/>
      <c r="AF718" s="45"/>
      <c r="AG718" s="76">
        <f t="shared" si="88"/>
        <v>-46178</v>
      </c>
      <c r="AH718" s="45"/>
      <c r="AI718" s="39"/>
      <c r="AJ718" s="39"/>
      <c r="AK718" s="39"/>
      <c r="AL718" s="35"/>
      <c r="AM718" s="34"/>
      <c r="AN718" s="34"/>
      <c r="AO718" s="39"/>
      <c r="AP718" s="47"/>
      <c r="AQ718" s="47"/>
      <c r="AR718" s="47"/>
      <c r="AS718" s="47"/>
    </row>
    <row r="719" spans="1:45" ht="12" customHeight="1" x14ac:dyDescent="0.25">
      <c r="A719" s="33">
        <f t="shared" si="84"/>
        <v>718</v>
      </c>
      <c r="B719" s="34"/>
      <c r="C719" s="34" t="s">
        <v>786</v>
      </c>
      <c r="D719" s="35" t="s">
        <v>793</v>
      </c>
      <c r="E719" s="34" t="s">
        <v>194</v>
      </c>
      <c r="F719" s="34" t="s">
        <v>195</v>
      </c>
      <c r="G719" s="16" t="s">
        <v>632</v>
      </c>
      <c r="H719" s="34">
        <v>32</v>
      </c>
      <c r="I719" s="34" t="s">
        <v>66</v>
      </c>
      <c r="J719" s="34" t="s">
        <v>234</v>
      </c>
      <c r="K719" s="35" t="s">
        <v>259</v>
      </c>
      <c r="L719" s="36" t="e">
        <f>VLOOKUP(G719,#REF!,4,0)</f>
        <v>#REF!</v>
      </c>
      <c r="M719" s="37" t="e">
        <f>_xlfn.IFNA(VLOOKUP(G719,#REF!,2,0),"")</f>
        <v>#REF!</v>
      </c>
      <c r="N719" s="38" t="e">
        <f>_xlfn.IFNA(VLOOKUP(G719,#REF!,3,0),"")</f>
        <v>#REF!</v>
      </c>
      <c r="O719" s="39">
        <v>1</v>
      </c>
      <c r="P719" s="79">
        <v>14.736000000000001</v>
      </c>
      <c r="Q719" s="39" t="s">
        <v>10</v>
      </c>
      <c r="R719" s="34">
        <v>7.7</v>
      </c>
      <c r="S719" s="38">
        <v>250</v>
      </c>
      <c r="T719" s="40">
        <v>13.157894736842104</v>
      </c>
      <c r="U719" s="41">
        <f t="shared" si="85"/>
        <v>126.62509473684212</v>
      </c>
      <c r="V719" s="42">
        <f t="shared" si="86"/>
        <v>3.9570342105263161</v>
      </c>
      <c r="W719" s="43">
        <f t="shared" si="87"/>
        <v>0.59060212097407705</v>
      </c>
      <c r="X719" s="38"/>
      <c r="Y719" s="38"/>
      <c r="Z719" s="44"/>
      <c r="AA719" s="45">
        <v>46177</v>
      </c>
      <c r="AB719" s="45">
        <v>46211</v>
      </c>
      <c r="AC719" s="45"/>
      <c r="AD719" s="44"/>
      <c r="AE719" s="44"/>
      <c r="AF719" s="45"/>
      <c r="AG719" s="76">
        <f t="shared" si="88"/>
        <v>-46177</v>
      </c>
      <c r="AH719" s="45"/>
      <c r="AI719" s="39"/>
      <c r="AJ719" s="39"/>
      <c r="AK719" s="39"/>
      <c r="AL719" s="35"/>
      <c r="AM719" s="34"/>
      <c r="AN719" s="34"/>
      <c r="AO719" s="39"/>
      <c r="AP719" s="47"/>
      <c r="AQ719" s="47"/>
      <c r="AR719" s="47"/>
      <c r="AS719" s="47"/>
    </row>
    <row r="720" spans="1:45" ht="12" customHeight="1" x14ac:dyDescent="0.25">
      <c r="A720" s="33">
        <f t="shared" si="84"/>
        <v>719</v>
      </c>
      <c r="B720" s="34"/>
      <c r="C720" s="34" t="s">
        <v>786</v>
      </c>
      <c r="D720" s="35" t="s">
        <v>793</v>
      </c>
      <c r="E720" s="34" t="s">
        <v>194</v>
      </c>
      <c r="F720" s="34" t="s">
        <v>195</v>
      </c>
      <c r="G720" s="16" t="s">
        <v>633</v>
      </c>
      <c r="H720" s="34">
        <v>128</v>
      </c>
      <c r="I720" s="34" t="s">
        <v>66</v>
      </c>
      <c r="J720" s="34" t="s">
        <v>234</v>
      </c>
      <c r="K720" s="35" t="s">
        <v>259</v>
      </c>
      <c r="L720" s="36" t="e">
        <f>VLOOKUP(G720,#REF!,4,0)</f>
        <v>#REF!</v>
      </c>
      <c r="M720" s="37" t="e">
        <f>_xlfn.IFNA(VLOOKUP(G720,#REF!,2,0),"")</f>
        <v>#REF!</v>
      </c>
      <c r="N720" s="38" t="e">
        <f>_xlfn.IFNA(VLOOKUP(G720,#REF!,3,0),"")</f>
        <v>#REF!</v>
      </c>
      <c r="O720" s="39">
        <v>4</v>
      </c>
      <c r="P720" s="79">
        <v>58.944000000000003</v>
      </c>
      <c r="Q720" s="39" t="s">
        <v>10</v>
      </c>
      <c r="R720" s="34">
        <v>7.7</v>
      </c>
      <c r="S720" s="48">
        <v>250</v>
      </c>
      <c r="T720" s="40">
        <v>52.631578947368418</v>
      </c>
      <c r="U720" s="41">
        <f t="shared" si="85"/>
        <v>506.50037894736846</v>
      </c>
      <c r="V720" s="42">
        <f t="shared" si="86"/>
        <v>3.9570342105263161</v>
      </c>
      <c r="W720" s="43">
        <f t="shared" si="87"/>
        <v>0.59060212097407705</v>
      </c>
      <c r="X720" s="38"/>
      <c r="Y720" s="38"/>
      <c r="Z720" s="44"/>
      <c r="AA720" s="45">
        <v>46177</v>
      </c>
      <c r="AB720" s="45">
        <v>46211</v>
      </c>
      <c r="AC720" s="45"/>
      <c r="AD720" s="44"/>
      <c r="AE720" s="44"/>
      <c r="AF720" s="45"/>
      <c r="AG720" s="76">
        <f t="shared" si="88"/>
        <v>-46177</v>
      </c>
      <c r="AH720" s="45"/>
      <c r="AI720" s="39"/>
      <c r="AJ720" s="39"/>
      <c r="AK720" s="39"/>
      <c r="AL720" s="35"/>
      <c r="AM720" s="34"/>
      <c r="AN720" s="34"/>
      <c r="AO720" s="39"/>
      <c r="AP720" s="47"/>
      <c r="AQ720" s="47"/>
      <c r="AR720" s="47"/>
      <c r="AS720" s="47"/>
    </row>
    <row r="721" spans="1:45" ht="12" customHeight="1" x14ac:dyDescent="0.25">
      <c r="A721" s="33">
        <f t="shared" si="84"/>
        <v>720</v>
      </c>
      <c r="B721" s="34"/>
      <c r="C721" s="34" t="s">
        <v>207</v>
      </c>
      <c r="D721" s="35" t="s">
        <v>794</v>
      </c>
      <c r="E721" s="34" t="s">
        <v>71</v>
      </c>
      <c r="F721" s="34" t="s">
        <v>72</v>
      </c>
      <c r="G721" s="16" t="s">
        <v>280</v>
      </c>
      <c r="H721" s="34">
        <v>144</v>
      </c>
      <c r="I721" s="34" t="s">
        <v>66</v>
      </c>
      <c r="J721" s="34" t="s">
        <v>255</v>
      </c>
      <c r="K721" s="35" t="s">
        <v>73</v>
      </c>
      <c r="L721" s="36" t="e">
        <f>VLOOKUP(G721,#REF!,4,0)</f>
        <v>#REF!</v>
      </c>
      <c r="M721" s="37" t="e">
        <f>_xlfn.IFNA(VLOOKUP(G721,#REF!,2,0),"")</f>
        <v>#REF!</v>
      </c>
      <c r="N721" s="38" t="e">
        <f>_xlfn.IFNA(VLOOKUP(G721,#REF!,3,0),"")</f>
        <v>#REF!</v>
      </c>
      <c r="O721" s="39">
        <v>12</v>
      </c>
      <c r="P721" s="79">
        <v>1</v>
      </c>
      <c r="Q721" s="39" t="s">
        <v>420</v>
      </c>
      <c r="R721" s="34">
        <v>790</v>
      </c>
      <c r="S721" s="38"/>
      <c r="T721" s="40">
        <v>220</v>
      </c>
      <c r="U721" s="41">
        <f t="shared" si="85"/>
        <v>1010</v>
      </c>
      <c r="V721" s="42">
        <f t="shared" si="86"/>
        <v>7.0138888888888893</v>
      </c>
      <c r="W721" s="43">
        <f t="shared" si="87"/>
        <v>1.0468490878938641</v>
      </c>
      <c r="X721" s="38"/>
      <c r="Y721" s="38"/>
      <c r="Z721" s="44"/>
      <c r="AA721" s="45">
        <v>46177</v>
      </c>
      <c r="AB721" s="45">
        <v>46215</v>
      </c>
      <c r="AC721" s="45"/>
      <c r="AD721" s="44"/>
      <c r="AE721" s="44"/>
      <c r="AF721" s="45"/>
      <c r="AG721" s="76">
        <f t="shared" si="88"/>
        <v>-46177</v>
      </c>
      <c r="AH721" s="45"/>
      <c r="AI721" s="39"/>
      <c r="AJ721" s="39"/>
      <c r="AK721" s="39"/>
      <c r="AL721" s="35"/>
      <c r="AM721" s="34"/>
      <c r="AN721" s="34"/>
      <c r="AO721" s="39"/>
      <c r="AP721" s="47"/>
      <c r="AQ721" s="47"/>
      <c r="AR721" s="47"/>
      <c r="AS721" s="47"/>
    </row>
    <row r="722" spans="1:45" ht="12" customHeight="1" x14ac:dyDescent="0.25">
      <c r="A722" s="33">
        <f t="shared" si="84"/>
        <v>721</v>
      </c>
      <c r="B722" s="34"/>
      <c r="C722" s="34" t="s">
        <v>795</v>
      </c>
      <c r="D722" s="35" t="s">
        <v>796</v>
      </c>
      <c r="E722" s="34" t="s">
        <v>172</v>
      </c>
      <c r="F722" s="34" t="s">
        <v>0</v>
      </c>
      <c r="G722" s="16" t="s">
        <v>213</v>
      </c>
      <c r="H722" s="34">
        <v>324</v>
      </c>
      <c r="I722" s="34" t="s">
        <v>62</v>
      </c>
      <c r="J722" s="34" t="s">
        <v>3</v>
      </c>
      <c r="K722" s="35" t="s">
        <v>9</v>
      </c>
      <c r="L722" s="36" t="e">
        <f>VLOOKUP(G722,#REF!,4,0)</f>
        <v>#REF!</v>
      </c>
      <c r="M722" s="37" t="e">
        <f>_xlfn.IFNA(VLOOKUP(G722,#REF!,2,0),"")</f>
        <v>#REF!</v>
      </c>
      <c r="N722" s="38" t="e">
        <f>_xlfn.IFNA(VLOOKUP(G722,#REF!,3,0),"")</f>
        <v>#REF!</v>
      </c>
      <c r="O722" s="39">
        <v>27</v>
      </c>
      <c r="P722" s="79">
        <v>396</v>
      </c>
      <c r="Q722" s="39" t="s">
        <v>10</v>
      </c>
      <c r="R722" s="34">
        <v>5.3</v>
      </c>
      <c r="S722" s="38">
        <v>200</v>
      </c>
      <c r="T722" s="40">
        <v>100</v>
      </c>
      <c r="U722" s="41">
        <f t="shared" si="85"/>
        <v>2198.7999999999997</v>
      </c>
      <c r="V722" s="42">
        <f t="shared" si="86"/>
        <v>6.7864197530864185</v>
      </c>
      <c r="W722" s="43">
        <f t="shared" si="87"/>
        <v>1.0128984706099131</v>
      </c>
      <c r="X722" s="38"/>
      <c r="Y722" s="38"/>
      <c r="Z722" s="44"/>
      <c r="AA722" s="45">
        <v>46178</v>
      </c>
      <c r="AB722" s="45">
        <v>46209</v>
      </c>
      <c r="AC722" s="45"/>
      <c r="AD722" s="44"/>
      <c r="AE722" s="44"/>
      <c r="AF722" s="45"/>
      <c r="AG722" s="76">
        <f t="shared" si="88"/>
        <v>-46178</v>
      </c>
      <c r="AH722" s="45"/>
      <c r="AI722" s="39"/>
      <c r="AJ722" s="39"/>
      <c r="AK722" s="39"/>
      <c r="AL722" s="35"/>
      <c r="AM722" s="34"/>
      <c r="AN722" s="34"/>
      <c r="AO722" s="39"/>
      <c r="AP722" s="47"/>
      <c r="AQ722" s="47"/>
      <c r="AR722" s="47"/>
      <c r="AS722" s="47"/>
    </row>
    <row r="723" spans="1:45" ht="12" customHeight="1" x14ac:dyDescent="0.25">
      <c r="A723" s="33">
        <f t="shared" si="84"/>
        <v>722</v>
      </c>
      <c r="B723" s="34"/>
      <c r="C723" s="34" t="s">
        <v>795</v>
      </c>
      <c r="D723" s="35" t="s">
        <v>796</v>
      </c>
      <c r="E723" s="34" t="s">
        <v>172</v>
      </c>
      <c r="F723" s="34" t="s">
        <v>0</v>
      </c>
      <c r="G723" s="16" t="s">
        <v>214</v>
      </c>
      <c r="H723" s="34">
        <v>324</v>
      </c>
      <c r="I723" s="34" t="s">
        <v>62</v>
      </c>
      <c r="J723" s="34" t="s">
        <v>3</v>
      </c>
      <c r="K723" s="35" t="s">
        <v>9</v>
      </c>
      <c r="L723" s="36" t="e">
        <f>VLOOKUP(G723,#REF!,4,0)</f>
        <v>#REF!</v>
      </c>
      <c r="M723" s="37" t="e">
        <f>_xlfn.IFNA(VLOOKUP(G723,#REF!,2,0),"")</f>
        <v>#REF!</v>
      </c>
      <c r="N723" s="38" t="e">
        <f>_xlfn.IFNA(VLOOKUP(G723,#REF!,3,0),"")</f>
        <v>#REF!</v>
      </c>
      <c r="O723" s="39">
        <v>27</v>
      </c>
      <c r="P723" s="79">
        <v>396</v>
      </c>
      <c r="Q723" s="39" t="s">
        <v>10</v>
      </c>
      <c r="R723" s="34">
        <v>5.3</v>
      </c>
      <c r="S723" s="48">
        <v>200</v>
      </c>
      <c r="T723" s="40">
        <v>100</v>
      </c>
      <c r="U723" s="41">
        <f t="shared" si="85"/>
        <v>2198.7999999999997</v>
      </c>
      <c r="V723" s="42">
        <f t="shared" si="86"/>
        <v>6.7864197530864185</v>
      </c>
      <c r="W723" s="43">
        <f t="shared" si="87"/>
        <v>1.0128984706099131</v>
      </c>
      <c r="X723" s="38"/>
      <c r="Y723" s="38"/>
      <c r="Z723" s="44"/>
      <c r="AA723" s="45">
        <v>46178</v>
      </c>
      <c r="AB723" s="45">
        <v>46209</v>
      </c>
      <c r="AC723" s="45"/>
      <c r="AD723" s="44"/>
      <c r="AE723" s="44"/>
      <c r="AF723" s="45"/>
      <c r="AG723" s="76">
        <f t="shared" si="88"/>
        <v>-46178</v>
      </c>
      <c r="AH723" s="45"/>
      <c r="AI723" s="39"/>
      <c r="AJ723" s="39"/>
      <c r="AK723" s="39"/>
      <c r="AL723" s="35"/>
      <c r="AM723" s="34"/>
      <c r="AN723" s="34"/>
      <c r="AO723" s="39"/>
      <c r="AP723" s="47"/>
      <c r="AQ723" s="47"/>
      <c r="AR723" s="47"/>
      <c r="AS723" s="47"/>
    </row>
    <row r="724" spans="1:45" ht="12" customHeight="1" x14ac:dyDescent="0.25">
      <c r="A724" s="33">
        <f t="shared" si="84"/>
        <v>723</v>
      </c>
      <c r="B724" s="34"/>
      <c r="C724" s="34" t="s">
        <v>797</v>
      </c>
      <c r="D724" s="35" t="s">
        <v>798</v>
      </c>
      <c r="E724" s="34" t="s">
        <v>172</v>
      </c>
      <c r="F724" s="34" t="s">
        <v>0</v>
      </c>
      <c r="G724" s="16" t="s">
        <v>257</v>
      </c>
      <c r="H724" s="34">
        <v>120</v>
      </c>
      <c r="I724" s="34" t="s">
        <v>66</v>
      </c>
      <c r="J724" s="34" t="s">
        <v>3</v>
      </c>
      <c r="K724" s="35" t="s">
        <v>9</v>
      </c>
      <c r="L724" s="36" t="e">
        <f>VLOOKUP(G724,#REF!,4,0)</f>
        <v>#REF!</v>
      </c>
      <c r="M724" s="37" t="e">
        <f>_xlfn.IFNA(VLOOKUP(G724,#REF!,2,0),"")</f>
        <v>#REF!</v>
      </c>
      <c r="N724" s="38" t="e">
        <f>_xlfn.IFNA(VLOOKUP(G724,#REF!,3,0),"")</f>
        <v>#REF!</v>
      </c>
      <c r="O724" s="39">
        <v>10</v>
      </c>
      <c r="P724" s="79">
        <v>175</v>
      </c>
      <c r="Q724" s="39" t="s">
        <v>10</v>
      </c>
      <c r="R724" s="34">
        <v>5.8</v>
      </c>
      <c r="S724" s="38">
        <v>200</v>
      </c>
      <c r="T724" s="40">
        <v>29.850746268656717</v>
      </c>
      <c r="U724" s="41">
        <f t="shared" si="85"/>
        <v>1044.8507462686566</v>
      </c>
      <c r="V724" s="42">
        <f t="shared" si="86"/>
        <v>8.7070895522388057</v>
      </c>
      <c r="W724" s="43">
        <f t="shared" si="87"/>
        <v>1.2995656048117621</v>
      </c>
      <c r="X724" s="38"/>
      <c r="Y724" s="38"/>
      <c r="Z724" s="44"/>
      <c r="AA724" s="45">
        <v>46177</v>
      </c>
      <c r="AB724" s="45">
        <v>46200</v>
      </c>
      <c r="AC724" s="45"/>
      <c r="AD724" s="44"/>
      <c r="AE724" s="44"/>
      <c r="AF724" s="45"/>
      <c r="AG724" s="76">
        <f t="shared" si="88"/>
        <v>-46177</v>
      </c>
      <c r="AH724" s="45"/>
      <c r="AI724" s="39"/>
      <c r="AJ724" s="39"/>
      <c r="AK724" s="39"/>
      <c r="AL724" s="35"/>
      <c r="AM724" s="34"/>
      <c r="AN724" s="34"/>
      <c r="AO724" s="39"/>
      <c r="AP724" s="47"/>
      <c r="AQ724" s="47"/>
      <c r="AR724" s="47"/>
      <c r="AS724" s="47"/>
    </row>
    <row r="725" spans="1:45" ht="12" customHeight="1" x14ac:dyDescent="0.25">
      <c r="A725" s="33">
        <f t="shared" si="84"/>
        <v>724</v>
      </c>
      <c r="B725" s="34"/>
      <c r="C725" s="34" t="s">
        <v>797</v>
      </c>
      <c r="D725" s="35" t="s">
        <v>798</v>
      </c>
      <c r="E725" s="34" t="s">
        <v>172</v>
      </c>
      <c r="F725" s="34" t="s">
        <v>0</v>
      </c>
      <c r="G725" s="16" t="s">
        <v>258</v>
      </c>
      <c r="H725" s="34">
        <v>120</v>
      </c>
      <c r="I725" s="34" t="s">
        <v>66</v>
      </c>
      <c r="J725" s="34" t="s">
        <v>3</v>
      </c>
      <c r="K725" s="35" t="s">
        <v>9</v>
      </c>
      <c r="L725" s="36" t="e">
        <f>VLOOKUP(G725,#REF!,4,0)</f>
        <v>#REF!</v>
      </c>
      <c r="M725" s="37" t="e">
        <f>_xlfn.IFNA(VLOOKUP(G725,#REF!,2,0),"")</f>
        <v>#REF!</v>
      </c>
      <c r="N725" s="38" t="e">
        <f>_xlfn.IFNA(VLOOKUP(G725,#REF!,3,0),"")</f>
        <v>#REF!</v>
      </c>
      <c r="O725" s="39">
        <v>10</v>
      </c>
      <c r="P725" s="79">
        <v>175</v>
      </c>
      <c r="Q725" s="39" t="s">
        <v>10</v>
      </c>
      <c r="R725" s="34">
        <v>5.8</v>
      </c>
      <c r="S725" s="48">
        <v>200</v>
      </c>
      <c r="T725" s="40">
        <v>29.850746268656717</v>
      </c>
      <c r="U725" s="41">
        <f t="shared" si="85"/>
        <v>1044.8507462686566</v>
      </c>
      <c r="V725" s="42">
        <f t="shared" si="86"/>
        <v>8.7070895522388057</v>
      </c>
      <c r="W725" s="43">
        <f t="shared" si="87"/>
        <v>1.2995656048117621</v>
      </c>
      <c r="X725" s="38"/>
      <c r="Y725" s="38"/>
      <c r="Z725" s="44"/>
      <c r="AA725" s="45">
        <v>46177</v>
      </c>
      <c r="AB725" s="45">
        <v>46200</v>
      </c>
      <c r="AC725" s="45"/>
      <c r="AD725" s="44"/>
      <c r="AE725" s="44"/>
      <c r="AF725" s="45"/>
      <c r="AG725" s="76">
        <f t="shared" si="88"/>
        <v>-46177</v>
      </c>
      <c r="AH725" s="45"/>
      <c r="AI725" s="39"/>
      <c r="AJ725" s="39"/>
      <c r="AK725" s="39"/>
      <c r="AL725" s="35"/>
      <c r="AM725" s="34"/>
      <c r="AN725" s="34"/>
      <c r="AO725" s="39"/>
      <c r="AP725" s="47"/>
      <c r="AQ725" s="47"/>
      <c r="AR725" s="47"/>
      <c r="AS725" s="47"/>
    </row>
    <row r="726" spans="1:45" ht="12" customHeight="1" x14ac:dyDescent="0.25">
      <c r="A726" s="33">
        <f t="shared" si="84"/>
        <v>725</v>
      </c>
      <c r="B726" s="34"/>
      <c r="C726" s="34" t="s">
        <v>780</v>
      </c>
      <c r="D726" s="35" t="s">
        <v>799</v>
      </c>
      <c r="E726" s="34" t="s">
        <v>782</v>
      </c>
      <c r="F726" s="34" t="s">
        <v>52</v>
      </c>
      <c r="G726" s="16" t="s">
        <v>57</v>
      </c>
      <c r="H726" s="34">
        <v>84</v>
      </c>
      <c r="I726" s="34" t="s">
        <v>66</v>
      </c>
      <c r="J726" s="34" t="s">
        <v>55</v>
      </c>
      <c r="K726" s="35" t="s">
        <v>56</v>
      </c>
      <c r="L726" s="36" t="e">
        <f>VLOOKUP(G726,#REF!,4,0)</f>
        <v>#REF!</v>
      </c>
      <c r="M726" s="37" t="e">
        <f>_xlfn.IFNA(VLOOKUP(G726,#REF!,2,0),"")</f>
        <v>#REF!</v>
      </c>
      <c r="N726" s="38" t="e">
        <f>_xlfn.IFNA(VLOOKUP(G726,#REF!,3,0),"")</f>
        <v>#REF!</v>
      </c>
      <c r="O726" s="39">
        <v>7</v>
      </c>
      <c r="P726" s="79">
        <v>102</v>
      </c>
      <c r="Q726" s="39" t="s">
        <v>10</v>
      </c>
      <c r="R726" s="34">
        <v>7.3</v>
      </c>
      <c r="S726" s="38">
        <v>250</v>
      </c>
      <c r="T726" s="40">
        <v>116.66666666666667</v>
      </c>
      <c r="U726" s="41">
        <f t="shared" si="85"/>
        <v>861.26666666666665</v>
      </c>
      <c r="V726" s="42">
        <f t="shared" si="86"/>
        <v>10.253174603174603</v>
      </c>
      <c r="W726" s="43">
        <f t="shared" si="87"/>
        <v>1.5303245676380004</v>
      </c>
      <c r="X726" s="38"/>
      <c r="Y726" s="38"/>
      <c r="Z726" s="44"/>
      <c r="AA726" s="45">
        <v>46177</v>
      </c>
      <c r="AB726" s="45"/>
      <c r="AC726" s="45"/>
      <c r="AD726" s="44"/>
      <c r="AE726" s="44"/>
      <c r="AF726" s="45"/>
      <c r="AG726" s="76">
        <f t="shared" si="88"/>
        <v>-46177</v>
      </c>
      <c r="AH726" s="45"/>
      <c r="AI726" s="39"/>
      <c r="AJ726" s="39"/>
      <c r="AK726" s="39"/>
      <c r="AL726" s="35"/>
      <c r="AM726" s="34"/>
      <c r="AN726" s="34"/>
      <c r="AO726" s="39"/>
      <c r="AP726" s="47"/>
      <c r="AQ726" s="47"/>
      <c r="AR726" s="47"/>
      <c r="AS726" s="47"/>
    </row>
    <row r="727" spans="1:45" ht="12" customHeight="1" x14ac:dyDescent="0.25">
      <c r="A727" s="33">
        <f t="shared" si="84"/>
        <v>726</v>
      </c>
      <c r="B727" s="34"/>
      <c r="C727" s="34" t="s">
        <v>797</v>
      </c>
      <c r="D727" s="35" t="s">
        <v>800</v>
      </c>
      <c r="E727" s="34" t="s">
        <v>58</v>
      </c>
      <c r="F727" s="34" t="s">
        <v>0</v>
      </c>
      <c r="G727" s="16" t="s">
        <v>240</v>
      </c>
      <c r="H727" s="34">
        <v>204</v>
      </c>
      <c r="I727" s="34" t="s">
        <v>66</v>
      </c>
      <c r="J727" s="34" t="s">
        <v>3</v>
      </c>
      <c r="K727" s="35" t="s">
        <v>22</v>
      </c>
      <c r="L727" s="36" t="e">
        <f>VLOOKUP(G727,#REF!,4,0)</f>
        <v>#REF!</v>
      </c>
      <c r="M727" s="37" t="e">
        <f>_xlfn.IFNA(VLOOKUP(G727,#REF!,2,0),"")</f>
        <v>#REF!</v>
      </c>
      <c r="N727" s="38" t="e">
        <f>_xlfn.IFNA(VLOOKUP(G727,#REF!,3,0),"")</f>
        <v>#REF!</v>
      </c>
      <c r="O727" s="39">
        <v>17</v>
      </c>
      <c r="P727" s="79">
        <v>295.87234042553195</v>
      </c>
      <c r="Q727" s="39" t="s">
        <v>10</v>
      </c>
      <c r="R727" s="34">
        <v>5.4</v>
      </c>
      <c r="S727" s="38">
        <v>200</v>
      </c>
      <c r="T727" s="40">
        <v>50.746268656716417</v>
      </c>
      <c r="U727" s="41">
        <f t="shared" si="85"/>
        <v>1648.4569069545892</v>
      </c>
      <c r="V727" s="42">
        <f t="shared" si="86"/>
        <v>8.080671112522495</v>
      </c>
      <c r="W727" s="43">
        <f t="shared" si="87"/>
        <v>1.2060703153018648</v>
      </c>
      <c r="X727" s="38"/>
      <c r="Y727" s="38"/>
      <c r="Z727" s="44"/>
      <c r="AA727" s="45">
        <v>46177</v>
      </c>
      <c r="AB727" s="45">
        <v>46200</v>
      </c>
      <c r="AC727" s="45"/>
      <c r="AD727" s="44"/>
      <c r="AE727" s="44"/>
      <c r="AF727" s="45"/>
      <c r="AG727" s="76">
        <f t="shared" si="88"/>
        <v>-46177</v>
      </c>
      <c r="AH727" s="45"/>
      <c r="AI727" s="39"/>
      <c r="AJ727" s="39"/>
      <c r="AK727" s="39"/>
      <c r="AL727" s="35"/>
      <c r="AM727" s="34"/>
      <c r="AN727" s="34"/>
      <c r="AO727" s="39"/>
      <c r="AP727" s="47"/>
      <c r="AQ727" s="47"/>
      <c r="AR727" s="47"/>
      <c r="AS727" s="47"/>
    </row>
    <row r="728" spans="1:45" ht="12" customHeight="1" x14ac:dyDescent="0.25">
      <c r="A728" s="33">
        <f t="shared" si="84"/>
        <v>727</v>
      </c>
      <c r="B728" s="34"/>
      <c r="C728" s="34" t="s">
        <v>797</v>
      </c>
      <c r="D728" s="35" t="s">
        <v>800</v>
      </c>
      <c r="E728" s="34" t="s">
        <v>58</v>
      </c>
      <c r="F728" s="34" t="s">
        <v>0</v>
      </c>
      <c r="G728" s="16" t="s">
        <v>241</v>
      </c>
      <c r="H728" s="34">
        <v>360</v>
      </c>
      <c r="I728" s="34" t="s">
        <v>66</v>
      </c>
      <c r="J728" s="34" t="s">
        <v>3</v>
      </c>
      <c r="K728" s="35" t="s">
        <v>22</v>
      </c>
      <c r="L728" s="36" t="e">
        <f>VLOOKUP(G728,#REF!,4,0)</f>
        <v>#REF!</v>
      </c>
      <c r="M728" s="37" t="e">
        <f>_xlfn.IFNA(VLOOKUP(G728,#REF!,2,0),"")</f>
        <v>#REF!</v>
      </c>
      <c r="N728" s="38" t="e">
        <f>_xlfn.IFNA(VLOOKUP(G728,#REF!,3,0),"")</f>
        <v>#REF!</v>
      </c>
      <c r="O728" s="39">
        <v>30</v>
      </c>
      <c r="P728" s="79">
        <v>522.12765957446811</v>
      </c>
      <c r="Q728" s="39" t="s">
        <v>10</v>
      </c>
      <c r="R728" s="34">
        <v>5.4</v>
      </c>
      <c r="S728" s="48">
        <v>200</v>
      </c>
      <c r="T728" s="40">
        <v>89.552238805970148</v>
      </c>
      <c r="U728" s="41">
        <f t="shared" si="85"/>
        <v>2909.0416005080983</v>
      </c>
      <c r="V728" s="42">
        <f t="shared" si="86"/>
        <v>8.080671112522495</v>
      </c>
      <c r="W728" s="43">
        <f t="shared" si="87"/>
        <v>1.2060703153018648</v>
      </c>
      <c r="X728" s="38"/>
      <c r="Y728" s="38"/>
      <c r="Z728" s="44"/>
      <c r="AA728" s="45">
        <v>46177</v>
      </c>
      <c r="AB728" s="45">
        <v>46200</v>
      </c>
      <c r="AC728" s="45"/>
      <c r="AD728" s="44"/>
      <c r="AE728" s="44"/>
      <c r="AF728" s="45"/>
      <c r="AG728" s="76">
        <f t="shared" si="88"/>
        <v>-46177</v>
      </c>
      <c r="AH728" s="45"/>
      <c r="AI728" s="39"/>
      <c r="AJ728" s="39"/>
      <c r="AK728" s="39"/>
      <c r="AL728" s="35"/>
      <c r="AM728" s="34"/>
      <c r="AN728" s="34"/>
      <c r="AO728" s="39"/>
      <c r="AP728" s="47"/>
      <c r="AQ728" s="47"/>
      <c r="AR728" s="47"/>
      <c r="AS728" s="47"/>
    </row>
    <row r="729" spans="1:45" ht="12" customHeight="1" x14ac:dyDescent="0.25">
      <c r="A729" s="33">
        <f t="shared" si="84"/>
        <v>728</v>
      </c>
      <c r="B729" s="34"/>
      <c r="C729" s="34" t="s">
        <v>801</v>
      </c>
      <c r="D729" s="35" t="s">
        <v>802</v>
      </c>
      <c r="E729" s="34" t="s">
        <v>58</v>
      </c>
      <c r="F729" s="34" t="s">
        <v>0</v>
      </c>
      <c r="G729" s="16" t="s">
        <v>53</v>
      </c>
      <c r="H729" s="34">
        <v>120</v>
      </c>
      <c r="I729" s="34" t="s">
        <v>62</v>
      </c>
      <c r="J729" s="34" t="s">
        <v>3</v>
      </c>
      <c r="K729" s="35" t="s">
        <v>5</v>
      </c>
      <c r="L729" s="36" t="e">
        <f>VLOOKUP(G729,#REF!,4,0)</f>
        <v>#REF!</v>
      </c>
      <c r="M729" s="37" t="e">
        <f>_xlfn.IFNA(VLOOKUP(G729,#REF!,2,0),"")</f>
        <v>#REF!</v>
      </c>
      <c r="N729" s="38" t="e">
        <f>_xlfn.IFNA(VLOOKUP(G729,#REF!,3,0),"")</f>
        <v>#REF!</v>
      </c>
      <c r="O729" s="39">
        <v>10</v>
      </c>
      <c r="P729" s="79">
        <v>143.66666666666669</v>
      </c>
      <c r="Q729" s="39" t="s">
        <v>10</v>
      </c>
      <c r="R729" s="34">
        <v>5.5</v>
      </c>
      <c r="S729" s="38">
        <v>200</v>
      </c>
      <c r="T729" s="40">
        <v>33.333333333333336</v>
      </c>
      <c r="U729" s="41">
        <f t="shared" si="85"/>
        <v>823.50000000000011</v>
      </c>
      <c r="V729" s="42">
        <f t="shared" si="86"/>
        <v>6.8625000000000007</v>
      </c>
      <c r="W729" s="43">
        <f t="shared" si="87"/>
        <v>1.0242537313432836</v>
      </c>
      <c r="X729" s="38"/>
      <c r="Y729" s="38"/>
      <c r="Z729" s="44"/>
      <c r="AA729" s="45">
        <v>46178</v>
      </c>
      <c r="AB729" s="45">
        <v>46201</v>
      </c>
      <c r="AC729" s="45"/>
      <c r="AD729" s="44"/>
      <c r="AE729" s="44"/>
      <c r="AF729" s="45"/>
      <c r="AG729" s="76">
        <f t="shared" si="88"/>
        <v>-46178</v>
      </c>
      <c r="AH729" s="45"/>
      <c r="AI729" s="39"/>
      <c r="AJ729" s="39"/>
      <c r="AK729" s="39"/>
      <c r="AL729" s="35"/>
      <c r="AM729" s="34"/>
      <c r="AN729" s="34"/>
      <c r="AO729" s="39"/>
      <c r="AP729" s="47"/>
      <c r="AQ729" s="47"/>
      <c r="AR729" s="47"/>
      <c r="AS729" s="47"/>
    </row>
    <row r="730" spans="1:45" ht="12" customHeight="1" x14ac:dyDescent="0.25">
      <c r="A730" s="33">
        <f t="shared" si="84"/>
        <v>729</v>
      </c>
      <c r="B730" s="34"/>
      <c r="C730" s="34" t="s">
        <v>801</v>
      </c>
      <c r="D730" s="35" t="s">
        <v>802</v>
      </c>
      <c r="E730" s="34" t="s">
        <v>58</v>
      </c>
      <c r="F730" s="34" t="s">
        <v>0</v>
      </c>
      <c r="G730" s="16" t="s">
        <v>57</v>
      </c>
      <c r="H730" s="34">
        <v>600</v>
      </c>
      <c r="I730" s="34" t="s">
        <v>62</v>
      </c>
      <c r="J730" s="34" t="s">
        <v>3</v>
      </c>
      <c r="K730" s="35" t="s">
        <v>5</v>
      </c>
      <c r="L730" s="36" t="e">
        <f>VLOOKUP(G730,#REF!,4,0)</f>
        <v>#REF!</v>
      </c>
      <c r="M730" s="37" t="e">
        <f>_xlfn.IFNA(VLOOKUP(G730,#REF!,2,0),"")</f>
        <v>#REF!</v>
      </c>
      <c r="N730" s="38" t="e">
        <f>_xlfn.IFNA(VLOOKUP(G730,#REF!,3,0),"")</f>
        <v>#REF!</v>
      </c>
      <c r="O730" s="39">
        <v>50</v>
      </c>
      <c r="P730" s="79">
        <v>718.33333333333337</v>
      </c>
      <c r="Q730" s="39" t="s">
        <v>10</v>
      </c>
      <c r="R730" s="34">
        <v>5.5</v>
      </c>
      <c r="S730" s="48">
        <v>200</v>
      </c>
      <c r="T730" s="40">
        <v>166.66666666666666</v>
      </c>
      <c r="U730" s="41">
        <f t="shared" si="85"/>
        <v>4117.5</v>
      </c>
      <c r="V730" s="42">
        <f t="shared" si="86"/>
        <v>6.8624999999999998</v>
      </c>
      <c r="W730" s="43">
        <f t="shared" si="87"/>
        <v>1.0242537313432836</v>
      </c>
      <c r="X730" s="38"/>
      <c r="Y730" s="38"/>
      <c r="Z730" s="44"/>
      <c r="AA730" s="45">
        <v>46178</v>
      </c>
      <c r="AB730" s="45">
        <v>46201</v>
      </c>
      <c r="AC730" s="45"/>
      <c r="AD730" s="44"/>
      <c r="AE730" s="44"/>
      <c r="AF730" s="45"/>
      <c r="AG730" s="76">
        <f t="shared" si="88"/>
        <v>-46178</v>
      </c>
      <c r="AH730" s="45"/>
      <c r="AI730" s="39"/>
      <c r="AJ730" s="39"/>
      <c r="AK730" s="39"/>
      <c r="AL730" s="35"/>
      <c r="AM730" s="34"/>
      <c r="AN730" s="34"/>
      <c r="AO730" s="39"/>
      <c r="AP730" s="47"/>
      <c r="AQ730" s="47"/>
      <c r="AR730" s="47"/>
      <c r="AS730" s="47"/>
    </row>
    <row r="731" spans="1:45" ht="12" customHeight="1" x14ac:dyDescent="0.25">
      <c r="A731" s="33">
        <f t="shared" si="84"/>
        <v>730</v>
      </c>
      <c r="B731" s="34"/>
      <c r="C731" s="34" t="s">
        <v>791</v>
      </c>
      <c r="D731" s="35" t="s">
        <v>803</v>
      </c>
      <c r="E731" s="34" t="s">
        <v>470</v>
      </c>
      <c r="F731" s="34" t="s">
        <v>0</v>
      </c>
      <c r="G731" s="16" t="s">
        <v>238</v>
      </c>
      <c r="H731" s="34">
        <v>128</v>
      </c>
      <c r="I731" s="34" t="s">
        <v>54</v>
      </c>
      <c r="J731" s="34" t="s">
        <v>3</v>
      </c>
      <c r="K731" s="35" t="s">
        <v>15</v>
      </c>
      <c r="L731" s="36" t="e">
        <f>VLOOKUP(G731,#REF!,4,0)</f>
        <v>#REF!</v>
      </c>
      <c r="M731" s="37" t="e">
        <f>_xlfn.IFNA(VLOOKUP(G731,#REF!,2,0),"")</f>
        <v>#REF!</v>
      </c>
      <c r="N731" s="38" t="e">
        <f>_xlfn.IFNA(VLOOKUP(G731,#REF!,3,0),"")</f>
        <v>#REF!</v>
      </c>
      <c r="O731" s="39">
        <v>4</v>
      </c>
      <c r="P731" s="79">
        <v>61.629090909090905</v>
      </c>
      <c r="Q731" s="39" t="s">
        <v>10</v>
      </c>
      <c r="R731" s="34">
        <v>5.8</v>
      </c>
      <c r="S731" s="38">
        <v>200</v>
      </c>
      <c r="T731" s="40">
        <v>19.047619047619047</v>
      </c>
      <c r="U731" s="41">
        <f t="shared" si="85"/>
        <v>376.49634632034628</v>
      </c>
      <c r="V731" s="42">
        <f t="shared" si="86"/>
        <v>2.9413777056277053</v>
      </c>
      <c r="W731" s="43">
        <f t="shared" si="87"/>
        <v>0.43901159785488136</v>
      </c>
      <c r="X731" s="38"/>
      <c r="Y731" s="38"/>
      <c r="Z731" s="44"/>
      <c r="AA731" s="45">
        <v>46178</v>
      </c>
      <c r="AB731" s="45">
        <v>46202</v>
      </c>
      <c r="AC731" s="45"/>
      <c r="AD731" s="44"/>
      <c r="AE731" s="44"/>
      <c r="AF731" s="45"/>
      <c r="AG731" s="76">
        <f t="shared" si="88"/>
        <v>-46178</v>
      </c>
      <c r="AH731" s="45"/>
      <c r="AI731" s="39"/>
      <c r="AJ731" s="39"/>
      <c r="AK731" s="39"/>
      <c r="AL731" s="35"/>
      <c r="AM731" s="34"/>
      <c r="AN731" s="34"/>
      <c r="AO731" s="39"/>
      <c r="AP731" s="47"/>
      <c r="AQ731" s="47"/>
      <c r="AR731" s="47"/>
      <c r="AS731" s="47"/>
    </row>
    <row r="732" spans="1:45" ht="12" customHeight="1" x14ac:dyDescent="0.25">
      <c r="A732" s="33">
        <f t="shared" si="84"/>
        <v>731</v>
      </c>
      <c r="B732" s="34"/>
      <c r="C732" s="34" t="s">
        <v>791</v>
      </c>
      <c r="D732" s="35" t="s">
        <v>803</v>
      </c>
      <c r="E732" s="34" t="s">
        <v>470</v>
      </c>
      <c r="F732" s="34" t="s">
        <v>0</v>
      </c>
      <c r="G732" s="16" t="s">
        <v>239</v>
      </c>
      <c r="H732" s="34">
        <v>224</v>
      </c>
      <c r="I732" s="34" t="s">
        <v>54</v>
      </c>
      <c r="J732" s="34" t="s">
        <v>3</v>
      </c>
      <c r="K732" s="35" t="s">
        <v>15</v>
      </c>
      <c r="L732" s="36" t="e">
        <f>VLOOKUP(G732,#REF!,4,0)</f>
        <v>#REF!</v>
      </c>
      <c r="M732" s="37" t="e">
        <f>_xlfn.IFNA(VLOOKUP(G732,#REF!,2,0),"")</f>
        <v>#REF!</v>
      </c>
      <c r="N732" s="38" t="e">
        <f>_xlfn.IFNA(VLOOKUP(G732,#REF!,3,0),"")</f>
        <v>#REF!</v>
      </c>
      <c r="O732" s="39">
        <v>7</v>
      </c>
      <c r="P732" s="79">
        <v>107.85090909090908</v>
      </c>
      <c r="Q732" s="39" t="s">
        <v>10</v>
      </c>
      <c r="R732" s="34">
        <v>5.8</v>
      </c>
      <c r="S732" s="48">
        <v>200</v>
      </c>
      <c r="T732" s="40">
        <v>33.333333333333336</v>
      </c>
      <c r="U732" s="41">
        <f t="shared" si="85"/>
        <v>658.868606060606</v>
      </c>
      <c r="V732" s="42">
        <f t="shared" si="86"/>
        <v>2.9413777056277053</v>
      </c>
      <c r="W732" s="43">
        <f t="shared" si="87"/>
        <v>0.43901159785488136</v>
      </c>
      <c r="X732" s="38"/>
      <c r="Y732" s="38"/>
      <c r="Z732" s="44"/>
      <c r="AA732" s="45">
        <v>46178</v>
      </c>
      <c r="AB732" s="45">
        <v>46202</v>
      </c>
      <c r="AC732" s="45"/>
      <c r="AD732" s="44"/>
      <c r="AE732" s="44"/>
      <c r="AF732" s="45"/>
      <c r="AG732" s="76">
        <f t="shared" si="88"/>
        <v>-46178</v>
      </c>
      <c r="AH732" s="45"/>
      <c r="AI732" s="39"/>
      <c r="AJ732" s="39"/>
      <c r="AK732" s="39"/>
      <c r="AL732" s="35"/>
      <c r="AM732" s="34"/>
      <c r="AN732" s="34"/>
      <c r="AO732" s="39"/>
      <c r="AP732" s="47"/>
      <c r="AQ732" s="47"/>
      <c r="AR732" s="47"/>
      <c r="AS732" s="47"/>
    </row>
    <row r="733" spans="1:45" ht="12" customHeight="1" x14ac:dyDescent="0.25">
      <c r="A733" s="33">
        <f t="shared" si="84"/>
        <v>732</v>
      </c>
      <c r="B733" s="34"/>
      <c r="C733" s="34" t="s">
        <v>791</v>
      </c>
      <c r="D733" s="35" t="s">
        <v>804</v>
      </c>
      <c r="E733" s="34" t="s">
        <v>470</v>
      </c>
      <c r="F733" s="34" t="s">
        <v>0</v>
      </c>
      <c r="G733" s="16" t="s">
        <v>332</v>
      </c>
      <c r="H733" s="34">
        <v>224</v>
      </c>
      <c r="I733" s="34" t="s">
        <v>54</v>
      </c>
      <c r="J733" s="34" t="s">
        <v>3</v>
      </c>
      <c r="K733" s="35" t="s">
        <v>15</v>
      </c>
      <c r="L733" s="36" t="e">
        <f>VLOOKUP(G733,#REF!,4,0)</f>
        <v>#REF!</v>
      </c>
      <c r="M733" s="37" t="e">
        <f>_xlfn.IFNA(VLOOKUP(G733,#REF!,2,0),"")</f>
        <v>#REF!</v>
      </c>
      <c r="N733" s="38" t="e">
        <f>_xlfn.IFNA(VLOOKUP(G733,#REF!,3,0),"")</f>
        <v>#REF!</v>
      </c>
      <c r="O733" s="39">
        <v>7</v>
      </c>
      <c r="P733" s="79">
        <v>107.85250000000001</v>
      </c>
      <c r="Q733" s="39" t="s">
        <v>10</v>
      </c>
      <c r="R733" s="34">
        <v>5.8</v>
      </c>
      <c r="S733" s="38"/>
      <c r="T733" s="40">
        <v>33.333333333333336</v>
      </c>
      <c r="U733" s="41">
        <f t="shared" si="85"/>
        <v>658.87783333333334</v>
      </c>
      <c r="V733" s="42">
        <f t="shared" si="86"/>
        <v>2.9414188988095238</v>
      </c>
      <c r="W733" s="43">
        <f t="shared" si="87"/>
        <v>0.43901774609097372</v>
      </c>
      <c r="X733" s="38"/>
      <c r="Y733" s="38"/>
      <c r="Z733" s="44"/>
      <c r="AA733" s="45">
        <v>46178</v>
      </c>
      <c r="AB733" s="45">
        <v>46202</v>
      </c>
      <c r="AC733" s="45"/>
      <c r="AD733" s="44"/>
      <c r="AE733" s="44"/>
      <c r="AF733" s="45"/>
      <c r="AG733" s="76">
        <f t="shared" si="88"/>
        <v>-46178</v>
      </c>
      <c r="AH733" s="45"/>
      <c r="AI733" s="39"/>
      <c r="AJ733" s="39"/>
      <c r="AK733" s="39"/>
      <c r="AL733" s="35"/>
      <c r="AM733" s="34"/>
      <c r="AN733" s="34"/>
      <c r="AO733" s="39"/>
      <c r="AP733" s="47"/>
      <c r="AQ733" s="47"/>
      <c r="AR733" s="47"/>
      <c r="AS733" s="47"/>
    </row>
    <row r="734" spans="1:45" ht="12" customHeight="1" x14ac:dyDescent="0.25">
      <c r="A734" s="33">
        <f t="shared" si="84"/>
        <v>733</v>
      </c>
      <c r="B734" s="34"/>
      <c r="C734" s="34" t="s">
        <v>791</v>
      </c>
      <c r="D734" s="35" t="s">
        <v>804</v>
      </c>
      <c r="E734" s="34" t="s">
        <v>470</v>
      </c>
      <c r="F734" s="34" t="s">
        <v>0</v>
      </c>
      <c r="G734" s="16" t="s">
        <v>333</v>
      </c>
      <c r="H734" s="34">
        <v>288</v>
      </c>
      <c r="I734" s="34" t="s">
        <v>54</v>
      </c>
      <c r="J734" s="34" t="s">
        <v>3</v>
      </c>
      <c r="K734" s="35" t="s">
        <v>15</v>
      </c>
      <c r="L734" s="36" t="e">
        <f>VLOOKUP(G734,#REF!,4,0)</f>
        <v>#REF!</v>
      </c>
      <c r="M734" s="37" t="e">
        <f>_xlfn.IFNA(VLOOKUP(G734,#REF!,2,0),"")</f>
        <v>#REF!</v>
      </c>
      <c r="N734" s="38" t="e">
        <f>_xlfn.IFNA(VLOOKUP(G734,#REF!,3,0),"")</f>
        <v>#REF!</v>
      </c>
      <c r="O734" s="39">
        <v>9</v>
      </c>
      <c r="P734" s="79">
        <v>138.66750000000002</v>
      </c>
      <c r="Q734" s="39" t="s">
        <v>10</v>
      </c>
      <c r="R734" s="34">
        <v>5.8</v>
      </c>
      <c r="S734" s="38"/>
      <c r="T734" s="40">
        <v>42.857142857142854</v>
      </c>
      <c r="U734" s="41">
        <f t="shared" si="85"/>
        <v>847.12864285714295</v>
      </c>
      <c r="V734" s="42">
        <f t="shared" si="86"/>
        <v>2.9414188988095242</v>
      </c>
      <c r="W734" s="43">
        <f t="shared" si="87"/>
        <v>0.43901774609097377</v>
      </c>
      <c r="X734" s="38"/>
      <c r="Y734" s="38"/>
      <c r="Z734" s="44"/>
      <c r="AA734" s="45">
        <v>46178</v>
      </c>
      <c r="AB734" s="45">
        <v>46202</v>
      </c>
      <c r="AC734" s="45"/>
      <c r="AD734" s="44"/>
      <c r="AE734" s="44"/>
      <c r="AF734" s="45"/>
      <c r="AG734" s="76">
        <f t="shared" si="88"/>
        <v>-46178</v>
      </c>
      <c r="AH734" s="45"/>
      <c r="AI734" s="39"/>
      <c r="AJ734" s="39"/>
      <c r="AK734" s="39"/>
      <c r="AL734" s="35"/>
      <c r="AM734" s="34"/>
      <c r="AN734" s="34"/>
      <c r="AO734" s="39"/>
      <c r="AP734" s="47"/>
      <c r="AQ734" s="47"/>
      <c r="AR734" s="47"/>
      <c r="AS734" s="47"/>
    </row>
    <row r="735" spans="1:45" ht="12" customHeight="1" x14ac:dyDescent="0.25">
      <c r="A735" s="33">
        <f t="shared" si="84"/>
        <v>734</v>
      </c>
      <c r="B735" s="34"/>
      <c r="C735" s="34" t="s">
        <v>805</v>
      </c>
      <c r="D735" s="35" t="s">
        <v>806</v>
      </c>
      <c r="E735" s="34" t="s">
        <v>470</v>
      </c>
      <c r="F735" s="34" t="s">
        <v>0</v>
      </c>
      <c r="G735" s="16" t="s">
        <v>333</v>
      </c>
      <c r="H735" s="34">
        <v>320</v>
      </c>
      <c r="I735" s="34" t="s">
        <v>66</v>
      </c>
      <c r="J735" s="34" t="s">
        <v>2</v>
      </c>
      <c r="K735" s="35" t="s">
        <v>15</v>
      </c>
      <c r="L735" s="36" t="e">
        <f>VLOOKUP(G735,#REF!,4,0)</f>
        <v>#REF!</v>
      </c>
      <c r="M735" s="37" t="e">
        <f>_xlfn.IFNA(VLOOKUP(G735,#REF!,2,0),"")</f>
        <v>#REF!</v>
      </c>
      <c r="N735" s="38" t="e">
        <f>_xlfn.IFNA(VLOOKUP(G735,#REF!,3,0),"")</f>
        <v>#REF!</v>
      </c>
      <c r="O735" s="39">
        <v>10</v>
      </c>
      <c r="P735" s="79">
        <v>208</v>
      </c>
      <c r="Q735" s="39" t="s">
        <v>10</v>
      </c>
      <c r="R735" s="34">
        <v>10.3</v>
      </c>
      <c r="S735" s="38">
        <v>200</v>
      </c>
      <c r="T735" s="40">
        <v>200</v>
      </c>
      <c r="U735" s="41">
        <f t="shared" si="85"/>
        <v>2342.4</v>
      </c>
      <c r="V735" s="42">
        <f t="shared" si="86"/>
        <v>7.32</v>
      </c>
      <c r="W735" s="43">
        <f t="shared" si="87"/>
        <v>1.0925373134328358</v>
      </c>
      <c r="X735" s="38"/>
      <c r="Y735" s="38"/>
      <c r="Z735" s="44"/>
      <c r="AA735" s="45">
        <v>46177</v>
      </c>
      <c r="AB735" s="45">
        <v>46194</v>
      </c>
      <c r="AC735" s="45"/>
      <c r="AD735" s="44"/>
      <c r="AE735" s="44"/>
      <c r="AF735" s="45"/>
      <c r="AG735" s="76">
        <f t="shared" si="88"/>
        <v>-46177</v>
      </c>
      <c r="AH735" s="45"/>
      <c r="AI735" s="39"/>
      <c r="AJ735" s="39"/>
      <c r="AK735" s="39"/>
      <c r="AL735" s="35"/>
      <c r="AM735" s="34"/>
      <c r="AN735" s="34"/>
      <c r="AO735" s="39"/>
      <c r="AP735" s="47"/>
      <c r="AQ735" s="47"/>
      <c r="AR735" s="47"/>
      <c r="AS735" s="47"/>
    </row>
    <row r="736" spans="1:45" ht="12" customHeight="1" x14ac:dyDescent="0.25">
      <c r="A736" s="33">
        <f t="shared" si="84"/>
        <v>735</v>
      </c>
      <c r="B736" s="34"/>
      <c r="C736" s="34" t="s">
        <v>807</v>
      </c>
      <c r="D736" s="35" t="s">
        <v>808</v>
      </c>
      <c r="E736" s="34" t="s">
        <v>230</v>
      </c>
      <c r="F736" s="34" t="s">
        <v>52</v>
      </c>
      <c r="G736" s="16" t="s">
        <v>236</v>
      </c>
      <c r="H736" s="34">
        <v>48</v>
      </c>
      <c r="I736" s="34" t="s">
        <v>54</v>
      </c>
      <c r="J736" s="34" t="s">
        <v>55</v>
      </c>
      <c r="K736" s="35" t="s">
        <v>563</v>
      </c>
      <c r="L736" s="36" t="e">
        <f>VLOOKUP(G736,#REF!,4,0)</f>
        <v>#REF!</v>
      </c>
      <c r="M736" s="37" t="e">
        <f>_xlfn.IFNA(VLOOKUP(G736,#REF!,2,0),"")</f>
        <v>#REF!</v>
      </c>
      <c r="N736" s="38" t="e">
        <f>_xlfn.IFNA(VLOOKUP(G736,#REF!,3,0),"")</f>
        <v>#REF!</v>
      </c>
      <c r="O736" s="39">
        <v>4</v>
      </c>
      <c r="P736" s="79">
        <v>54.5</v>
      </c>
      <c r="Q736" s="39" t="s">
        <v>10</v>
      </c>
      <c r="R736" s="34">
        <v>6.7</v>
      </c>
      <c r="S736" s="38">
        <v>200</v>
      </c>
      <c r="T736" s="40">
        <v>50</v>
      </c>
      <c r="U736" s="41">
        <f t="shared" si="85"/>
        <v>415.15000000000003</v>
      </c>
      <c r="V736" s="42">
        <f t="shared" si="86"/>
        <v>8.6489583333333346</v>
      </c>
      <c r="W736" s="43">
        <f t="shared" si="87"/>
        <v>1.2908893034825872</v>
      </c>
      <c r="X736" s="38"/>
      <c r="Y736" s="38"/>
      <c r="Z736" s="44"/>
      <c r="AA736" s="45">
        <v>46178</v>
      </c>
      <c r="AB736" s="45">
        <v>46215</v>
      </c>
      <c r="AC736" s="45"/>
      <c r="AD736" s="44"/>
      <c r="AE736" s="44"/>
      <c r="AF736" s="45"/>
      <c r="AG736" s="76">
        <f t="shared" si="88"/>
        <v>-46178</v>
      </c>
      <c r="AH736" s="45"/>
      <c r="AI736" s="39"/>
      <c r="AJ736" s="39"/>
      <c r="AK736" s="39"/>
      <c r="AL736" s="35"/>
      <c r="AM736" s="34"/>
      <c r="AN736" s="34"/>
      <c r="AO736" s="39"/>
      <c r="AP736" s="47"/>
      <c r="AQ736" s="47"/>
      <c r="AR736" s="47"/>
      <c r="AS736" s="47"/>
    </row>
    <row r="737" spans="1:45" ht="12" customHeight="1" x14ac:dyDescent="0.25">
      <c r="A737" s="33">
        <f t="shared" si="84"/>
        <v>736</v>
      </c>
      <c r="B737" s="34"/>
      <c r="C737" s="34" t="s">
        <v>807</v>
      </c>
      <c r="D737" s="35" t="s">
        <v>808</v>
      </c>
      <c r="E737" s="34" t="s">
        <v>230</v>
      </c>
      <c r="F737" s="34" t="s">
        <v>52</v>
      </c>
      <c r="G737" s="16" t="s">
        <v>86</v>
      </c>
      <c r="H737" s="34">
        <v>144</v>
      </c>
      <c r="I737" s="34" t="s">
        <v>54</v>
      </c>
      <c r="J737" s="34" t="s">
        <v>55</v>
      </c>
      <c r="K737" s="35" t="s">
        <v>563</v>
      </c>
      <c r="L737" s="36" t="e">
        <f>VLOOKUP(G737,#REF!,4,0)</f>
        <v>#REF!</v>
      </c>
      <c r="M737" s="37" t="e">
        <f>_xlfn.IFNA(VLOOKUP(G737,#REF!,2,0),"")</f>
        <v>#REF!</v>
      </c>
      <c r="N737" s="38" t="e">
        <f>_xlfn.IFNA(VLOOKUP(G737,#REF!,3,0),"")</f>
        <v>#REF!</v>
      </c>
      <c r="O737" s="39">
        <v>12</v>
      </c>
      <c r="P737" s="79">
        <v>163.5</v>
      </c>
      <c r="Q737" s="39" t="s">
        <v>10</v>
      </c>
      <c r="R737" s="34">
        <v>6.7</v>
      </c>
      <c r="S737" s="48">
        <v>200</v>
      </c>
      <c r="T737" s="40">
        <v>150</v>
      </c>
      <c r="U737" s="41">
        <f t="shared" si="85"/>
        <v>1245.45</v>
      </c>
      <c r="V737" s="42">
        <f t="shared" si="86"/>
        <v>8.6489583333333329</v>
      </c>
      <c r="W737" s="43">
        <f t="shared" si="87"/>
        <v>1.290889303482587</v>
      </c>
      <c r="X737" s="38"/>
      <c r="Y737" s="38"/>
      <c r="Z737" s="44"/>
      <c r="AA737" s="45">
        <v>46178</v>
      </c>
      <c r="AB737" s="45">
        <v>46215</v>
      </c>
      <c r="AC737" s="45"/>
      <c r="AD737" s="44"/>
      <c r="AE737" s="44"/>
      <c r="AF737" s="45"/>
      <c r="AG737" s="76">
        <f t="shared" si="88"/>
        <v>-46178</v>
      </c>
      <c r="AH737" s="45"/>
      <c r="AI737" s="39"/>
      <c r="AJ737" s="39"/>
      <c r="AK737" s="39"/>
      <c r="AL737" s="35"/>
      <c r="AM737" s="34"/>
      <c r="AN737" s="34"/>
      <c r="AO737" s="39"/>
      <c r="AP737" s="47"/>
      <c r="AQ737" s="47"/>
      <c r="AR737" s="47"/>
      <c r="AS737" s="47"/>
    </row>
    <row r="738" spans="1:45" ht="12" customHeight="1" x14ac:dyDescent="0.25">
      <c r="A738" s="33">
        <f t="shared" si="84"/>
        <v>737</v>
      </c>
      <c r="B738" s="34"/>
      <c r="C738" s="34" t="s">
        <v>812</v>
      </c>
      <c r="D738" s="35" t="s">
        <v>813</v>
      </c>
      <c r="E738" s="34" t="s">
        <v>61</v>
      </c>
      <c r="F738" s="34" t="s">
        <v>0</v>
      </c>
      <c r="G738" s="16" t="s">
        <v>242</v>
      </c>
      <c r="H738" s="34">
        <v>480</v>
      </c>
      <c r="I738" s="34" t="s">
        <v>54</v>
      </c>
      <c r="J738" s="34" t="s">
        <v>2</v>
      </c>
      <c r="K738" s="35" t="s">
        <v>9</v>
      </c>
      <c r="L738" s="36" t="e">
        <f>VLOOKUP(G738,#REF!,4,0)</f>
        <v>#REF!</v>
      </c>
      <c r="M738" s="37" t="e">
        <f>_xlfn.IFNA(VLOOKUP(G738,#REF!,2,0),"")</f>
        <v>#REF!</v>
      </c>
      <c r="N738" s="38" t="e">
        <f>_xlfn.IFNA(VLOOKUP(G738,#REF!,3,0),"")</f>
        <v>#REF!</v>
      </c>
      <c r="O738" s="39">
        <v>12</v>
      </c>
      <c r="P738" s="79">
        <v>160</v>
      </c>
      <c r="Q738" s="39" t="s">
        <v>10</v>
      </c>
      <c r="R738" s="34">
        <v>8.4</v>
      </c>
      <c r="S738" s="38">
        <v>200</v>
      </c>
      <c r="T738" s="40">
        <v>200</v>
      </c>
      <c r="U738" s="41">
        <f t="shared" ref="U738:U790" si="89">R738*P738+T738</f>
        <v>1544</v>
      </c>
      <c r="V738" s="42">
        <f t="shared" ref="V738:V790" si="90">U738/H738</f>
        <v>3.2166666666666668</v>
      </c>
      <c r="W738" s="43">
        <f t="shared" ref="W738:W790" si="91">V738/6.7</f>
        <v>0.48009950248756217</v>
      </c>
      <c r="X738" s="38"/>
      <c r="Y738" s="38"/>
      <c r="Z738" s="44"/>
      <c r="AA738" s="45">
        <v>46185</v>
      </c>
      <c r="AB738" s="45">
        <v>46201</v>
      </c>
      <c r="AC738" s="45"/>
      <c r="AD738" s="44"/>
      <c r="AE738" s="44"/>
      <c r="AF738" s="45"/>
      <c r="AG738" s="78"/>
      <c r="AH738" s="45"/>
      <c r="AI738" s="39"/>
      <c r="AJ738" s="39"/>
      <c r="AK738" s="39"/>
      <c r="AL738" s="35"/>
      <c r="AM738" s="34"/>
      <c r="AN738" s="34"/>
      <c r="AO738" s="39"/>
      <c r="AP738" s="47"/>
      <c r="AQ738" s="47"/>
      <c r="AR738" s="47"/>
      <c r="AS738" s="47"/>
    </row>
    <row r="739" spans="1:45" ht="12" customHeight="1" x14ac:dyDescent="0.25">
      <c r="A739" s="33">
        <f t="shared" si="84"/>
        <v>738</v>
      </c>
      <c r="B739" s="34" t="s">
        <v>842</v>
      </c>
      <c r="C739" s="34" t="s">
        <v>814</v>
      </c>
      <c r="D739" s="35" t="s">
        <v>856</v>
      </c>
      <c r="E739" s="34" t="s">
        <v>267</v>
      </c>
      <c r="F739" s="34" t="s">
        <v>74</v>
      </c>
      <c r="G739" s="16" t="s">
        <v>65</v>
      </c>
      <c r="H739" s="34">
        <v>80</v>
      </c>
      <c r="I739" s="34" t="s">
        <v>184</v>
      </c>
      <c r="J739" s="34" t="s">
        <v>430</v>
      </c>
      <c r="K739" s="35" t="s">
        <v>268</v>
      </c>
      <c r="L739" s="36" t="e">
        <f>VLOOKUP(G739,#REF!,4,0)</f>
        <v>#REF!</v>
      </c>
      <c r="M739" s="37" t="e">
        <f>_xlfn.IFNA(VLOOKUP(G739,#REF!,2,0),"")</f>
        <v>#REF!</v>
      </c>
      <c r="N739" s="38" t="e">
        <f>_xlfn.IFNA(VLOOKUP(G739,#REF!,3,0),"")</f>
        <v>#REF!</v>
      </c>
      <c r="O739" s="39">
        <v>2</v>
      </c>
      <c r="P739" s="79">
        <v>9.6363636363636374E-2</v>
      </c>
      <c r="Q739" s="39" t="s">
        <v>420</v>
      </c>
      <c r="R739" s="34">
        <v>2100</v>
      </c>
      <c r="S739" s="38">
        <f>400+37.59</f>
        <v>437.59000000000003</v>
      </c>
      <c r="T739" s="40">
        <v>79.561818181818182</v>
      </c>
      <c r="U739" s="41">
        <f t="shared" si="89"/>
        <v>281.92545454545456</v>
      </c>
      <c r="V739" s="42">
        <f t="shared" si="90"/>
        <v>3.524068181818182</v>
      </c>
      <c r="W739" s="43">
        <f t="shared" si="91"/>
        <v>0.52598032564450481</v>
      </c>
      <c r="X739" s="38"/>
      <c r="Y739" s="38"/>
      <c r="Z739" s="44"/>
      <c r="AA739" s="45">
        <v>46185</v>
      </c>
      <c r="AB739" s="45">
        <v>46214</v>
      </c>
      <c r="AC739" s="45"/>
      <c r="AD739" s="44"/>
      <c r="AE739" s="44"/>
      <c r="AF739" s="45"/>
      <c r="AG739" s="78"/>
      <c r="AH739" s="45"/>
      <c r="AI739" s="39"/>
      <c r="AJ739" s="39"/>
      <c r="AK739" s="39"/>
      <c r="AL739" s="35"/>
      <c r="AM739" s="34"/>
      <c r="AN739" s="34"/>
      <c r="AO739" s="39"/>
      <c r="AP739" s="47"/>
      <c r="AQ739" s="47"/>
      <c r="AR739" s="47"/>
      <c r="AS739" s="47"/>
    </row>
    <row r="740" spans="1:45" ht="12" customHeight="1" x14ac:dyDescent="0.25">
      <c r="A740" s="33">
        <f t="shared" si="84"/>
        <v>739</v>
      </c>
      <c r="B740" s="34"/>
      <c r="C740" s="34" t="s">
        <v>814</v>
      </c>
      <c r="D740" s="35" t="s">
        <v>815</v>
      </c>
      <c r="E740" s="34" t="s">
        <v>267</v>
      </c>
      <c r="F740" s="34" t="s">
        <v>74</v>
      </c>
      <c r="G740" s="16" t="s">
        <v>251</v>
      </c>
      <c r="H740" s="34">
        <v>90</v>
      </c>
      <c r="I740" s="34" t="s">
        <v>184</v>
      </c>
      <c r="J740" s="34" t="s">
        <v>430</v>
      </c>
      <c r="K740" s="35" t="s">
        <v>268</v>
      </c>
      <c r="L740" s="36" t="e">
        <f>VLOOKUP(G740,#REF!,4,0)</f>
        <v>#REF!</v>
      </c>
      <c r="M740" s="37" t="e">
        <f>_xlfn.IFNA(VLOOKUP(G740,#REF!,2,0),"")</f>
        <v>#REF!</v>
      </c>
      <c r="N740" s="38" t="e">
        <f>_xlfn.IFNA(VLOOKUP(G740,#REF!,3,0),"")</f>
        <v>#REF!</v>
      </c>
      <c r="O740" s="39">
        <v>3</v>
      </c>
      <c r="P740" s="79">
        <v>0.14454545454545456</v>
      </c>
      <c r="Q740" s="39" t="s">
        <v>420</v>
      </c>
      <c r="R740" s="34">
        <v>2100</v>
      </c>
      <c r="S740" s="48">
        <v>437.59</v>
      </c>
      <c r="T740" s="40">
        <v>119.34272727272726</v>
      </c>
      <c r="U740" s="41">
        <f t="shared" si="89"/>
        <v>422.88818181818181</v>
      </c>
      <c r="V740" s="42">
        <f t="shared" si="90"/>
        <v>4.6987575757575755</v>
      </c>
      <c r="W740" s="43">
        <f t="shared" si="91"/>
        <v>0.70130710085933956</v>
      </c>
      <c r="X740" s="38"/>
      <c r="Y740" s="38"/>
      <c r="Z740" s="44"/>
      <c r="AA740" s="45">
        <v>46185</v>
      </c>
      <c r="AB740" s="45">
        <v>46214</v>
      </c>
      <c r="AC740" s="45"/>
      <c r="AD740" s="44"/>
      <c r="AE740" s="44"/>
      <c r="AF740" s="45"/>
      <c r="AG740" s="78"/>
      <c r="AH740" s="45"/>
      <c r="AI740" s="39"/>
      <c r="AJ740" s="39"/>
      <c r="AK740" s="39"/>
      <c r="AL740" s="35"/>
      <c r="AM740" s="34"/>
      <c r="AN740" s="34"/>
      <c r="AO740" s="39"/>
      <c r="AP740" s="47"/>
      <c r="AQ740" s="47"/>
      <c r="AR740" s="47"/>
      <c r="AS740" s="47"/>
    </row>
    <row r="741" spans="1:45" ht="12" customHeight="1" x14ac:dyDescent="0.25">
      <c r="A741" s="33">
        <f t="shared" si="84"/>
        <v>740</v>
      </c>
      <c r="B741" s="34"/>
      <c r="C741" s="34" t="s">
        <v>814</v>
      </c>
      <c r="D741" s="35" t="s">
        <v>815</v>
      </c>
      <c r="E741" s="34" t="s">
        <v>267</v>
      </c>
      <c r="F741" s="34" t="s">
        <v>74</v>
      </c>
      <c r="G741" s="16" t="s">
        <v>64</v>
      </c>
      <c r="H741" s="34">
        <v>120</v>
      </c>
      <c r="I741" s="34" t="s">
        <v>184</v>
      </c>
      <c r="J741" s="34" t="s">
        <v>430</v>
      </c>
      <c r="K741" s="35" t="s">
        <v>268</v>
      </c>
      <c r="L741" s="36" t="e">
        <f>VLOOKUP(G741,#REF!,4,0)</f>
        <v>#REF!</v>
      </c>
      <c r="M741" s="37" t="e">
        <f>_xlfn.IFNA(VLOOKUP(G741,#REF!,2,0),"")</f>
        <v>#REF!</v>
      </c>
      <c r="N741" s="38" t="e">
        <f>_xlfn.IFNA(VLOOKUP(G741,#REF!,3,0),"")</f>
        <v>#REF!</v>
      </c>
      <c r="O741" s="39">
        <v>3</v>
      </c>
      <c r="P741" s="79">
        <v>0.14454545454545456</v>
      </c>
      <c r="Q741" s="39" t="s">
        <v>420</v>
      </c>
      <c r="R741" s="34">
        <v>2100</v>
      </c>
      <c r="S741" s="38"/>
      <c r="T741" s="40">
        <v>119.34272727272726</v>
      </c>
      <c r="U741" s="41">
        <f t="shared" si="89"/>
        <v>422.88818181818181</v>
      </c>
      <c r="V741" s="42">
        <f t="shared" si="90"/>
        <v>3.5240681818181816</v>
      </c>
      <c r="W741" s="43">
        <f t="shared" si="91"/>
        <v>0.5259803256445047</v>
      </c>
      <c r="X741" s="38"/>
      <c r="Y741" s="38"/>
      <c r="Z741" s="44"/>
      <c r="AA741" s="45">
        <v>46185</v>
      </c>
      <c r="AB741" s="45">
        <v>46214</v>
      </c>
      <c r="AC741" s="45"/>
      <c r="AD741" s="44"/>
      <c r="AE741" s="44"/>
      <c r="AF741" s="45"/>
      <c r="AG741" s="78"/>
      <c r="AH741" s="45"/>
      <c r="AI741" s="39"/>
      <c r="AJ741" s="39"/>
      <c r="AK741" s="39"/>
      <c r="AL741" s="35"/>
      <c r="AM741" s="34"/>
      <c r="AN741" s="34"/>
      <c r="AO741" s="39"/>
      <c r="AP741" s="47"/>
      <c r="AQ741" s="47"/>
      <c r="AR741" s="47"/>
      <c r="AS741" s="47"/>
    </row>
    <row r="742" spans="1:45" ht="12" customHeight="1" x14ac:dyDescent="0.25">
      <c r="A742" s="33">
        <f t="shared" si="84"/>
        <v>741</v>
      </c>
      <c r="B742" s="34"/>
      <c r="C742" s="34" t="s">
        <v>814</v>
      </c>
      <c r="D742" s="35" t="s">
        <v>815</v>
      </c>
      <c r="E742" s="34" t="s">
        <v>267</v>
      </c>
      <c r="F742" s="34" t="s">
        <v>74</v>
      </c>
      <c r="G742" s="16" t="s">
        <v>68</v>
      </c>
      <c r="H742" s="34">
        <v>90</v>
      </c>
      <c r="I742" s="34" t="s">
        <v>184</v>
      </c>
      <c r="J742" s="34" t="s">
        <v>430</v>
      </c>
      <c r="K742" s="35" t="s">
        <v>268</v>
      </c>
      <c r="L742" s="36" t="e">
        <f>VLOOKUP(G742,#REF!,4,0)</f>
        <v>#REF!</v>
      </c>
      <c r="M742" s="37" t="e">
        <f>_xlfn.IFNA(VLOOKUP(G742,#REF!,2,0),"")</f>
        <v>#REF!</v>
      </c>
      <c r="N742" s="38" t="e">
        <f>_xlfn.IFNA(VLOOKUP(G742,#REF!,3,0),"")</f>
        <v>#REF!</v>
      </c>
      <c r="O742" s="39">
        <v>3</v>
      </c>
      <c r="P742" s="79">
        <v>0.14454545454545456</v>
      </c>
      <c r="Q742" s="39" t="s">
        <v>420</v>
      </c>
      <c r="R742" s="34">
        <v>2100</v>
      </c>
      <c r="S742" s="38"/>
      <c r="T742" s="40">
        <v>119.34272727272726</v>
      </c>
      <c r="U742" s="41">
        <f t="shared" si="89"/>
        <v>422.88818181818181</v>
      </c>
      <c r="V742" s="42">
        <f t="shared" si="90"/>
        <v>4.6987575757575755</v>
      </c>
      <c r="W742" s="43">
        <f t="shared" si="91"/>
        <v>0.70130710085933956</v>
      </c>
      <c r="X742" s="38"/>
      <c r="Y742" s="38"/>
      <c r="Z742" s="44"/>
      <c r="AA742" s="45">
        <v>46185</v>
      </c>
      <c r="AB742" s="45">
        <v>46214</v>
      </c>
      <c r="AC742" s="45"/>
      <c r="AD742" s="44"/>
      <c r="AE742" s="44"/>
      <c r="AF742" s="45"/>
      <c r="AG742" s="78"/>
      <c r="AH742" s="45"/>
      <c r="AI742" s="39"/>
      <c r="AJ742" s="39"/>
      <c r="AK742" s="39"/>
      <c r="AL742" s="35"/>
      <c r="AM742" s="34"/>
      <c r="AN742" s="34"/>
      <c r="AO742" s="39"/>
      <c r="AP742" s="47"/>
      <c r="AQ742" s="47"/>
      <c r="AR742" s="47"/>
      <c r="AS742" s="47"/>
    </row>
    <row r="743" spans="1:45" ht="12" customHeight="1" x14ac:dyDescent="0.25">
      <c r="A743" s="33">
        <f t="shared" si="84"/>
        <v>742</v>
      </c>
      <c r="B743" s="34"/>
      <c r="C743" s="34" t="s">
        <v>816</v>
      </c>
      <c r="D743" s="35" t="s">
        <v>817</v>
      </c>
      <c r="E743" s="34" t="s">
        <v>397</v>
      </c>
      <c r="F743" s="34" t="s">
        <v>76</v>
      </c>
      <c r="G743" s="16" t="s">
        <v>64</v>
      </c>
      <c r="H743" s="34">
        <v>120</v>
      </c>
      <c r="I743" s="34" t="s">
        <v>184</v>
      </c>
      <c r="J743" s="34" t="s">
        <v>250</v>
      </c>
      <c r="K743" s="35" t="s">
        <v>818</v>
      </c>
      <c r="L743" s="36" t="e">
        <f>VLOOKUP(G743,#REF!,4,0)</f>
        <v>#REF!</v>
      </c>
      <c r="M743" s="37" t="e">
        <f>_xlfn.IFNA(VLOOKUP(G743,#REF!,2,0),"")</f>
        <v>#REF!</v>
      </c>
      <c r="N743" s="38" t="e">
        <f>_xlfn.IFNA(VLOOKUP(G743,#REF!,3,0),"")</f>
        <v>#REF!</v>
      </c>
      <c r="O743" s="39">
        <v>3</v>
      </c>
      <c r="P743" s="79">
        <v>0.14400000000000002</v>
      </c>
      <c r="Q743" s="39" t="s">
        <v>420</v>
      </c>
      <c r="R743" s="34">
        <v>1450</v>
      </c>
      <c r="S743" s="38">
        <f>400+51.25</f>
        <v>451.25</v>
      </c>
      <c r="T743" s="40">
        <v>90.25</v>
      </c>
      <c r="U743" s="41">
        <f t="shared" si="89"/>
        <v>299.05</v>
      </c>
      <c r="V743" s="42">
        <f t="shared" si="90"/>
        <v>2.4920833333333334</v>
      </c>
      <c r="W743" s="43">
        <f t="shared" si="91"/>
        <v>0.37195273631840797</v>
      </c>
      <c r="X743" s="38"/>
      <c r="Y743" s="38"/>
      <c r="Z743" s="44"/>
      <c r="AA743" s="45">
        <v>46185</v>
      </c>
      <c r="AB743" s="45"/>
      <c r="AC743" s="45"/>
      <c r="AD743" s="44"/>
      <c r="AE743" s="44"/>
      <c r="AF743" s="45"/>
      <c r="AG743" s="78"/>
      <c r="AH743" s="45"/>
      <c r="AI743" s="39"/>
      <c r="AJ743" s="39"/>
      <c r="AK743" s="39"/>
      <c r="AL743" s="35"/>
      <c r="AM743" s="34"/>
      <c r="AN743" s="34"/>
      <c r="AO743" s="39"/>
      <c r="AP743" s="47"/>
      <c r="AQ743" s="47"/>
      <c r="AR743" s="47"/>
      <c r="AS743" s="47"/>
    </row>
    <row r="744" spans="1:45" ht="12" customHeight="1" x14ac:dyDescent="0.25">
      <c r="A744" s="33">
        <f t="shared" si="84"/>
        <v>743</v>
      </c>
      <c r="B744" s="34"/>
      <c r="C744" s="34" t="s">
        <v>816</v>
      </c>
      <c r="D744" s="35" t="s">
        <v>817</v>
      </c>
      <c r="E744" s="34" t="s">
        <v>397</v>
      </c>
      <c r="F744" s="34" t="s">
        <v>76</v>
      </c>
      <c r="G744" s="16" t="s">
        <v>65</v>
      </c>
      <c r="H744" s="34">
        <v>80</v>
      </c>
      <c r="I744" s="34" t="s">
        <v>184</v>
      </c>
      <c r="J744" s="34" t="s">
        <v>250</v>
      </c>
      <c r="K744" s="35" t="s">
        <v>818</v>
      </c>
      <c r="L744" s="36" t="e">
        <f>VLOOKUP(G744,#REF!,4,0)</f>
        <v>#REF!</v>
      </c>
      <c r="M744" s="37" t="e">
        <f>_xlfn.IFNA(VLOOKUP(G744,#REF!,2,0),"")</f>
        <v>#REF!</v>
      </c>
      <c r="N744" s="38" t="e">
        <f>_xlfn.IFNA(VLOOKUP(G744,#REF!,3,0),"")</f>
        <v>#REF!</v>
      </c>
      <c r="O744" s="39">
        <v>2</v>
      </c>
      <c r="P744" s="79">
        <v>9.6000000000000002E-2</v>
      </c>
      <c r="Q744" s="39" t="s">
        <v>420</v>
      </c>
      <c r="R744" s="34">
        <v>1450</v>
      </c>
      <c r="S744" s="48">
        <v>451.25</v>
      </c>
      <c r="T744" s="40">
        <v>60.166666666666664</v>
      </c>
      <c r="U744" s="41">
        <f t="shared" si="89"/>
        <v>199.36666666666667</v>
      </c>
      <c r="V744" s="42">
        <f t="shared" si="90"/>
        <v>2.4920833333333334</v>
      </c>
      <c r="W744" s="43">
        <f t="shared" si="91"/>
        <v>0.37195273631840797</v>
      </c>
      <c r="X744" s="38"/>
      <c r="Y744" s="38"/>
      <c r="Z744" s="44"/>
      <c r="AA744" s="45">
        <v>46185</v>
      </c>
      <c r="AB744" s="45"/>
      <c r="AC744" s="45"/>
      <c r="AD744" s="44"/>
      <c r="AE744" s="44"/>
      <c r="AF744" s="45"/>
      <c r="AG744" s="78"/>
      <c r="AH744" s="45"/>
      <c r="AI744" s="39"/>
      <c r="AJ744" s="39"/>
      <c r="AK744" s="39"/>
      <c r="AL744" s="35"/>
      <c r="AM744" s="34"/>
      <c r="AN744" s="34"/>
      <c r="AO744" s="39"/>
      <c r="AP744" s="47"/>
      <c r="AQ744" s="47"/>
      <c r="AR744" s="47"/>
      <c r="AS744" s="47"/>
    </row>
    <row r="745" spans="1:45" ht="12" customHeight="1" x14ac:dyDescent="0.25">
      <c r="A745" s="33">
        <f t="shared" si="84"/>
        <v>744</v>
      </c>
      <c r="B745" s="34"/>
      <c r="C745" s="34" t="s">
        <v>816</v>
      </c>
      <c r="D745" s="35" t="s">
        <v>817</v>
      </c>
      <c r="E745" s="34" t="s">
        <v>397</v>
      </c>
      <c r="F745" s="34" t="s">
        <v>76</v>
      </c>
      <c r="G745" s="16" t="s">
        <v>68</v>
      </c>
      <c r="H745" s="34">
        <v>90</v>
      </c>
      <c r="I745" s="34" t="s">
        <v>184</v>
      </c>
      <c r="J745" s="34" t="s">
        <v>250</v>
      </c>
      <c r="K745" s="35" t="s">
        <v>818</v>
      </c>
      <c r="L745" s="36" t="e">
        <f>VLOOKUP(G745,#REF!,4,0)</f>
        <v>#REF!</v>
      </c>
      <c r="M745" s="37" t="e">
        <f>_xlfn.IFNA(VLOOKUP(G745,#REF!,2,0),"")</f>
        <v>#REF!</v>
      </c>
      <c r="N745" s="38" t="e">
        <f>_xlfn.IFNA(VLOOKUP(G745,#REF!,3,0),"")</f>
        <v>#REF!</v>
      </c>
      <c r="O745" s="39">
        <v>3</v>
      </c>
      <c r="P745" s="79">
        <v>0.14400000000000002</v>
      </c>
      <c r="Q745" s="39" t="s">
        <v>420</v>
      </c>
      <c r="R745" s="34">
        <v>1450</v>
      </c>
      <c r="S745" s="38"/>
      <c r="T745" s="40">
        <v>90.25</v>
      </c>
      <c r="U745" s="41">
        <f t="shared" si="89"/>
        <v>299.05</v>
      </c>
      <c r="V745" s="42">
        <f t="shared" si="90"/>
        <v>3.3227777777777781</v>
      </c>
      <c r="W745" s="43">
        <f t="shared" si="91"/>
        <v>0.49593698175787732</v>
      </c>
      <c r="X745" s="38"/>
      <c r="Y745" s="38"/>
      <c r="Z745" s="44"/>
      <c r="AA745" s="45">
        <v>46185</v>
      </c>
      <c r="AB745" s="45"/>
      <c r="AC745" s="45"/>
      <c r="AD745" s="44"/>
      <c r="AE745" s="44"/>
      <c r="AF745" s="45"/>
      <c r="AG745" s="78"/>
      <c r="AH745" s="45"/>
      <c r="AI745" s="39"/>
      <c r="AJ745" s="39"/>
      <c r="AK745" s="39"/>
      <c r="AL745" s="35"/>
      <c r="AM745" s="34"/>
      <c r="AN745" s="34"/>
      <c r="AO745" s="39"/>
      <c r="AP745" s="47"/>
      <c r="AQ745" s="47"/>
      <c r="AR745" s="47"/>
      <c r="AS745" s="47"/>
    </row>
    <row r="746" spans="1:45" ht="12" customHeight="1" x14ac:dyDescent="0.25">
      <c r="A746" s="33">
        <f t="shared" si="84"/>
        <v>745</v>
      </c>
      <c r="B746" s="34"/>
      <c r="C746" s="34" t="s">
        <v>816</v>
      </c>
      <c r="D746" s="35" t="s">
        <v>817</v>
      </c>
      <c r="E746" s="34" t="s">
        <v>397</v>
      </c>
      <c r="F746" s="34" t="s">
        <v>76</v>
      </c>
      <c r="G746" s="16" t="s">
        <v>252</v>
      </c>
      <c r="H746" s="34">
        <v>120</v>
      </c>
      <c r="I746" s="34" t="s">
        <v>184</v>
      </c>
      <c r="J746" s="34" t="s">
        <v>250</v>
      </c>
      <c r="K746" s="35" t="s">
        <v>818</v>
      </c>
      <c r="L746" s="36" t="e">
        <f>VLOOKUP(G746,#REF!,4,0)</f>
        <v>#REF!</v>
      </c>
      <c r="M746" s="37" t="e">
        <f>_xlfn.IFNA(VLOOKUP(G746,#REF!,2,0),"")</f>
        <v>#REF!</v>
      </c>
      <c r="N746" s="38" t="e">
        <f>_xlfn.IFNA(VLOOKUP(G746,#REF!,3,0),"")</f>
        <v>#REF!</v>
      </c>
      <c r="O746" s="39">
        <v>4</v>
      </c>
      <c r="P746" s="79">
        <v>0.192</v>
      </c>
      <c r="Q746" s="39" t="s">
        <v>420</v>
      </c>
      <c r="R746" s="34">
        <v>1450</v>
      </c>
      <c r="S746" s="38"/>
      <c r="T746" s="40">
        <v>120.33333333333333</v>
      </c>
      <c r="U746" s="41">
        <f t="shared" si="89"/>
        <v>398.73333333333335</v>
      </c>
      <c r="V746" s="42">
        <f t="shared" si="90"/>
        <v>3.3227777777777781</v>
      </c>
      <c r="W746" s="43">
        <f t="shared" si="91"/>
        <v>0.49593698175787732</v>
      </c>
      <c r="X746" s="38"/>
      <c r="Y746" s="38"/>
      <c r="Z746" s="44"/>
      <c r="AA746" s="45">
        <v>46185</v>
      </c>
      <c r="AB746" s="45"/>
      <c r="AC746" s="45"/>
      <c r="AD746" s="44"/>
      <c r="AE746" s="44"/>
      <c r="AF746" s="45"/>
      <c r="AG746" s="78"/>
      <c r="AH746" s="45"/>
      <c r="AI746" s="39"/>
      <c r="AJ746" s="39"/>
      <c r="AK746" s="39"/>
      <c r="AL746" s="35"/>
      <c r="AM746" s="34"/>
      <c r="AN746" s="34"/>
      <c r="AO746" s="39"/>
      <c r="AP746" s="47"/>
      <c r="AQ746" s="47"/>
      <c r="AR746" s="47"/>
      <c r="AS746" s="47"/>
    </row>
    <row r="747" spans="1:45" ht="12" customHeight="1" x14ac:dyDescent="0.25">
      <c r="A747" s="33">
        <f t="shared" si="84"/>
        <v>746</v>
      </c>
      <c r="B747" s="34"/>
      <c r="C747" s="34" t="s">
        <v>816</v>
      </c>
      <c r="D747" s="35" t="s">
        <v>817</v>
      </c>
      <c r="E747" s="34" t="s">
        <v>397</v>
      </c>
      <c r="F747" s="34" t="s">
        <v>76</v>
      </c>
      <c r="G747" s="16" t="s">
        <v>251</v>
      </c>
      <c r="H747" s="34">
        <v>90</v>
      </c>
      <c r="I747" s="34" t="s">
        <v>184</v>
      </c>
      <c r="J747" s="34" t="s">
        <v>250</v>
      </c>
      <c r="K747" s="35" t="s">
        <v>818</v>
      </c>
      <c r="L747" s="36" t="e">
        <f>VLOOKUP(G747,#REF!,4,0)</f>
        <v>#REF!</v>
      </c>
      <c r="M747" s="37" t="e">
        <f>_xlfn.IFNA(VLOOKUP(G747,#REF!,2,0),"")</f>
        <v>#REF!</v>
      </c>
      <c r="N747" s="38" t="e">
        <f>_xlfn.IFNA(VLOOKUP(G747,#REF!,3,0),"")</f>
        <v>#REF!</v>
      </c>
      <c r="O747" s="39">
        <v>3</v>
      </c>
      <c r="P747" s="79">
        <v>0.14400000000000002</v>
      </c>
      <c r="Q747" s="39" t="s">
        <v>420</v>
      </c>
      <c r="R747" s="34">
        <v>1450</v>
      </c>
      <c r="S747" s="38"/>
      <c r="T747" s="40">
        <v>90.25</v>
      </c>
      <c r="U747" s="41">
        <f t="shared" si="89"/>
        <v>299.05</v>
      </c>
      <c r="V747" s="42">
        <f t="shared" si="90"/>
        <v>3.3227777777777781</v>
      </c>
      <c r="W747" s="43">
        <f t="shared" si="91"/>
        <v>0.49593698175787732</v>
      </c>
      <c r="X747" s="38"/>
      <c r="Y747" s="38"/>
      <c r="Z747" s="44"/>
      <c r="AA747" s="45">
        <v>46185</v>
      </c>
      <c r="AB747" s="45"/>
      <c r="AC747" s="45"/>
      <c r="AD747" s="44"/>
      <c r="AE747" s="44"/>
      <c r="AF747" s="45"/>
      <c r="AG747" s="78"/>
      <c r="AH747" s="45"/>
      <c r="AI747" s="39"/>
      <c r="AJ747" s="39"/>
      <c r="AK747" s="39"/>
      <c r="AL747" s="35"/>
      <c r="AM747" s="34"/>
      <c r="AN747" s="34"/>
      <c r="AO747" s="39"/>
      <c r="AP747" s="47"/>
      <c r="AQ747" s="47"/>
      <c r="AR747" s="47"/>
      <c r="AS747" s="47"/>
    </row>
    <row r="748" spans="1:45" ht="12" customHeight="1" x14ac:dyDescent="0.25">
      <c r="A748" s="33">
        <f t="shared" si="84"/>
        <v>747</v>
      </c>
      <c r="B748" s="34"/>
      <c r="C748" s="34" t="s">
        <v>819</v>
      </c>
      <c r="D748" s="35" t="s">
        <v>820</v>
      </c>
      <c r="E748" s="34" t="s">
        <v>782</v>
      </c>
      <c r="F748" s="34" t="s">
        <v>52</v>
      </c>
      <c r="G748" s="16" t="s">
        <v>65</v>
      </c>
      <c r="H748" s="34">
        <v>160</v>
      </c>
      <c r="I748" s="34" t="s">
        <v>54</v>
      </c>
      <c r="J748" s="34" t="s">
        <v>55</v>
      </c>
      <c r="K748" s="35" t="s">
        <v>270</v>
      </c>
      <c r="L748" s="36" t="e">
        <f>VLOOKUP(G748,#REF!,4,0)</f>
        <v>#REF!</v>
      </c>
      <c r="M748" s="37" t="e">
        <f>_xlfn.IFNA(VLOOKUP(G748,#REF!,2,0),"")</f>
        <v>#REF!</v>
      </c>
      <c r="N748" s="38" t="e">
        <f>_xlfn.IFNA(VLOOKUP(G748,#REF!,3,0),"")</f>
        <v>#REF!</v>
      </c>
      <c r="O748" s="39">
        <v>4</v>
      </c>
      <c r="P748" s="79">
        <v>52</v>
      </c>
      <c r="Q748" s="39" t="s">
        <v>10</v>
      </c>
      <c r="R748" s="34">
        <v>7</v>
      </c>
      <c r="S748" s="38">
        <v>200</v>
      </c>
      <c r="T748" s="40">
        <v>114.28571428571429</v>
      </c>
      <c r="U748" s="41">
        <f t="shared" si="89"/>
        <v>478.28571428571428</v>
      </c>
      <c r="V748" s="42">
        <f t="shared" si="90"/>
        <v>2.9892857142857143</v>
      </c>
      <c r="W748" s="43">
        <f t="shared" si="91"/>
        <v>0.44616204690831557</v>
      </c>
      <c r="X748" s="38"/>
      <c r="Y748" s="38"/>
      <c r="Z748" s="44"/>
      <c r="AA748" s="45">
        <v>46185</v>
      </c>
      <c r="AB748" s="45">
        <v>46219</v>
      </c>
      <c r="AC748" s="45"/>
      <c r="AD748" s="44"/>
      <c r="AE748" s="44"/>
      <c r="AF748" s="45"/>
      <c r="AG748" s="78"/>
      <c r="AH748" s="45"/>
      <c r="AI748" s="39"/>
      <c r="AJ748" s="39"/>
      <c r="AK748" s="39"/>
      <c r="AL748" s="35"/>
      <c r="AM748" s="34"/>
      <c r="AN748" s="34"/>
      <c r="AO748" s="39"/>
      <c r="AP748" s="47"/>
      <c r="AQ748" s="47"/>
      <c r="AR748" s="47"/>
      <c r="AS748" s="47"/>
    </row>
    <row r="749" spans="1:45" ht="12" customHeight="1" x14ac:dyDescent="0.25">
      <c r="A749" s="33">
        <f t="shared" ref="A749:A811" si="92">ROW(A748)</f>
        <v>748</v>
      </c>
      <c r="B749" s="34"/>
      <c r="C749" s="34" t="s">
        <v>819</v>
      </c>
      <c r="D749" s="35" t="s">
        <v>820</v>
      </c>
      <c r="E749" s="34" t="s">
        <v>782</v>
      </c>
      <c r="F749" s="34" t="s">
        <v>52</v>
      </c>
      <c r="G749" s="16" t="s">
        <v>68</v>
      </c>
      <c r="H749" s="34">
        <v>60</v>
      </c>
      <c r="I749" s="34" t="s">
        <v>54</v>
      </c>
      <c r="J749" s="34" t="s">
        <v>55</v>
      </c>
      <c r="K749" s="35" t="s">
        <v>270</v>
      </c>
      <c r="L749" s="36" t="e">
        <f>VLOOKUP(G749,#REF!,4,0)</f>
        <v>#REF!</v>
      </c>
      <c r="M749" s="37" t="e">
        <f>_xlfn.IFNA(VLOOKUP(G749,#REF!,2,0),"")</f>
        <v>#REF!</v>
      </c>
      <c r="N749" s="38" t="e">
        <f>_xlfn.IFNA(VLOOKUP(G749,#REF!,3,0),"")</f>
        <v>#REF!</v>
      </c>
      <c r="O749" s="39">
        <v>2</v>
      </c>
      <c r="P749" s="79">
        <v>26</v>
      </c>
      <c r="Q749" s="39" t="s">
        <v>10</v>
      </c>
      <c r="R749" s="34">
        <v>7</v>
      </c>
      <c r="S749" s="48">
        <v>200</v>
      </c>
      <c r="T749" s="40">
        <v>57.142857142857146</v>
      </c>
      <c r="U749" s="41">
        <f t="shared" si="89"/>
        <v>239.14285714285714</v>
      </c>
      <c r="V749" s="42">
        <f t="shared" si="90"/>
        <v>3.9857142857142858</v>
      </c>
      <c r="W749" s="43">
        <f t="shared" si="91"/>
        <v>0.59488272921108742</v>
      </c>
      <c r="X749" s="38"/>
      <c r="Y749" s="38"/>
      <c r="Z749" s="44"/>
      <c r="AA749" s="45">
        <v>46185</v>
      </c>
      <c r="AB749" s="45">
        <v>46219</v>
      </c>
      <c r="AC749" s="45"/>
      <c r="AD749" s="44"/>
      <c r="AE749" s="44"/>
      <c r="AF749" s="45"/>
      <c r="AG749" s="78"/>
      <c r="AH749" s="45"/>
      <c r="AI749" s="39"/>
      <c r="AJ749" s="39"/>
      <c r="AK749" s="39"/>
      <c r="AL749" s="35"/>
      <c r="AM749" s="34"/>
      <c r="AN749" s="34"/>
      <c r="AO749" s="39"/>
      <c r="AP749" s="47"/>
      <c r="AQ749" s="47"/>
      <c r="AR749" s="47"/>
      <c r="AS749" s="47"/>
    </row>
    <row r="750" spans="1:45" ht="12" customHeight="1" x14ac:dyDescent="0.25">
      <c r="A750" s="33">
        <f t="shared" si="92"/>
        <v>749</v>
      </c>
      <c r="B750" s="34"/>
      <c r="C750" s="34" t="s">
        <v>819</v>
      </c>
      <c r="D750" s="35" t="s">
        <v>820</v>
      </c>
      <c r="E750" s="34" t="s">
        <v>782</v>
      </c>
      <c r="F750" s="34" t="s">
        <v>52</v>
      </c>
      <c r="G750" s="16" t="s">
        <v>69</v>
      </c>
      <c r="H750" s="34">
        <v>30</v>
      </c>
      <c r="I750" s="34" t="s">
        <v>54</v>
      </c>
      <c r="J750" s="34" t="s">
        <v>55</v>
      </c>
      <c r="K750" s="35" t="s">
        <v>270</v>
      </c>
      <c r="L750" s="36" t="e">
        <f>VLOOKUP(G750,#REF!,4,0)</f>
        <v>#REF!</v>
      </c>
      <c r="M750" s="37" t="e">
        <f>_xlfn.IFNA(VLOOKUP(G750,#REF!,2,0),"")</f>
        <v>#REF!</v>
      </c>
      <c r="N750" s="38" t="e">
        <f>_xlfn.IFNA(VLOOKUP(G750,#REF!,3,0),"")</f>
        <v>#REF!</v>
      </c>
      <c r="O750" s="39">
        <v>1</v>
      </c>
      <c r="P750" s="79">
        <v>13</v>
      </c>
      <c r="Q750" s="39" t="s">
        <v>10</v>
      </c>
      <c r="R750" s="34">
        <v>7</v>
      </c>
      <c r="S750" s="38"/>
      <c r="T750" s="40">
        <v>28.571428571428573</v>
      </c>
      <c r="U750" s="41">
        <f t="shared" si="89"/>
        <v>119.57142857142857</v>
      </c>
      <c r="V750" s="42">
        <f t="shared" si="90"/>
        <v>3.9857142857142858</v>
      </c>
      <c r="W750" s="43">
        <f t="shared" si="91"/>
        <v>0.59488272921108742</v>
      </c>
      <c r="X750" s="38"/>
      <c r="Y750" s="38"/>
      <c r="Z750" s="44"/>
      <c r="AA750" s="45">
        <v>46185</v>
      </c>
      <c r="AB750" s="45">
        <v>46219</v>
      </c>
      <c r="AC750" s="45"/>
      <c r="AD750" s="44"/>
      <c r="AE750" s="44"/>
      <c r="AF750" s="45"/>
      <c r="AG750" s="78"/>
      <c r="AH750" s="45"/>
      <c r="AI750" s="39"/>
      <c r="AJ750" s="39"/>
      <c r="AK750" s="39"/>
      <c r="AL750" s="35"/>
      <c r="AM750" s="34"/>
      <c r="AN750" s="34"/>
      <c r="AO750" s="39"/>
      <c r="AP750" s="47"/>
      <c r="AQ750" s="47"/>
      <c r="AR750" s="47"/>
      <c r="AS750" s="47"/>
    </row>
    <row r="751" spans="1:45" ht="12" customHeight="1" x14ac:dyDescent="0.25">
      <c r="A751" s="33">
        <f t="shared" si="92"/>
        <v>750</v>
      </c>
      <c r="B751" s="34"/>
      <c r="C751" s="34" t="s">
        <v>821</v>
      </c>
      <c r="D751" s="35" t="s">
        <v>822</v>
      </c>
      <c r="E751" s="34" t="s">
        <v>61</v>
      </c>
      <c r="F751" s="34" t="s">
        <v>0</v>
      </c>
      <c r="G751" s="16" t="s">
        <v>355</v>
      </c>
      <c r="H751" s="34">
        <v>30</v>
      </c>
      <c r="I751" s="34" t="s">
        <v>66</v>
      </c>
      <c r="J751" s="34" t="s">
        <v>3</v>
      </c>
      <c r="K751" s="35" t="s">
        <v>15</v>
      </c>
      <c r="L751" s="36" t="e">
        <f>VLOOKUP(G751,#REF!,4,0)</f>
        <v>#REF!</v>
      </c>
      <c r="M751" s="37" t="e">
        <f>_xlfn.IFNA(VLOOKUP(G751,#REF!,2,0),"")</f>
        <v>#REF!</v>
      </c>
      <c r="N751" s="38" t="e">
        <f>_xlfn.IFNA(VLOOKUP(G751,#REF!,3,0),"")</f>
        <v>#REF!</v>
      </c>
      <c r="O751" s="39">
        <v>1</v>
      </c>
      <c r="P751" s="79">
        <v>14.3125</v>
      </c>
      <c r="Q751" s="39" t="s">
        <v>10</v>
      </c>
      <c r="R751" s="34">
        <v>5.8</v>
      </c>
      <c r="S751" s="38">
        <v>200</v>
      </c>
      <c r="T751" s="40">
        <v>3.4482758620689653</v>
      </c>
      <c r="U751" s="41">
        <f t="shared" si="89"/>
        <v>86.460775862068971</v>
      </c>
      <c r="V751" s="42">
        <f t="shared" si="90"/>
        <v>2.8820258620689656</v>
      </c>
      <c r="W751" s="43">
        <f t="shared" si="91"/>
        <v>0.43015311374163667</v>
      </c>
      <c r="X751" s="38"/>
      <c r="Y751" s="38"/>
      <c r="Z751" s="44"/>
      <c r="AA751" s="45">
        <v>46186</v>
      </c>
      <c r="AB751" s="45">
        <v>46206</v>
      </c>
      <c r="AC751" s="45"/>
      <c r="AD751" s="44"/>
      <c r="AE751" s="44"/>
      <c r="AF751" s="45"/>
      <c r="AG751" s="78"/>
      <c r="AH751" s="45"/>
      <c r="AI751" s="39"/>
      <c r="AJ751" s="39"/>
      <c r="AK751" s="39"/>
      <c r="AL751" s="35"/>
      <c r="AM751" s="34"/>
      <c r="AN751" s="34"/>
      <c r="AO751" s="39"/>
      <c r="AP751" s="47"/>
      <c r="AQ751" s="47"/>
      <c r="AR751" s="47"/>
      <c r="AS751" s="47"/>
    </row>
    <row r="752" spans="1:45" ht="12" customHeight="1" x14ac:dyDescent="0.25">
      <c r="A752" s="33">
        <f t="shared" si="92"/>
        <v>751</v>
      </c>
      <c r="B752" s="34"/>
      <c r="C752" s="34" t="s">
        <v>821</v>
      </c>
      <c r="D752" s="35" t="s">
        <v>822</v>
      </c>
      <c r="E752" s="34" t="s">
        <v>61</v>
      </c>
      <c r="F752" s="34" t="s">
        <v>0</v>
      </c>
      <c r="G752" s="16" t="s">
        <v>223</v>
      </c>
      <c r="H752" s="34">
        <v>80</v>
      </c>
      <c r="I752" s="34" t="s">
        <v>66</v>
      </c>
      <c r="J752" s="34" t="s">
        <v>3</v>
      </c>
      <c r="K752" s="35" t="s">
        <v>15</v>
      </c>
      <c r="L752" s="36" t="e">
        <f>VLOOKUP(G752,#REF!,4,0)</f>
        <v>#REF!</v>
      </c>
      <c r="M752" s="37" t="e">
        <f>_xlfn.IFNA(VLOOKUP(G752,#REF!,2,0),"")</f>
        <v>#REF!</v>
      </c>
      <c r="N752" s="38" t="e">
        <f>_xlfn.IFNA(VLOOKUP(G752,#REF!,3,0),"")</f>
        <v>#REF!</v>
      </c>
      <c r="O752" s="39">
        <v>4</v>
      </c>
      <c r="P752" s="79">
        <v>57.25</v>
      </c>
      <c r="Q752" s="39" t="s">
        <v>10</v>
      </c>
      <c r="R752" s="34">
        <v>5.8</v>
      </c>
      <c r="S752" s="48">
        <v>200</v>
      </c>
      <c r="T752" s="40">
        <v>13.793103448275861</v>
      </c>
      <c r="U752" s="41">
        <f t="shared" si="89"/>
        <v>345.84310344827588</v>
      </c>
      <c r="V752" s="42">
        <f t="shared" si="90"/>
        <v>4.3230387931034482</v>
      </c>
      <c r="W752" s="43">
        <f t="shared" si="91"/>
        <v>0.64522967061245495</v>
      </c>
      <c r="X752" s="38"/>
      <c r="Y752" s="38"/>
      <c r="Z752" s="44"/>
      <c r="AA752" s="45">
        <v>46186</v>
      </c>
      <c r="AB752" s="45">
        <v>46206</v>
      </c>
      <c r="AC752" s="45"/>
      <c r="AD752" s="44"/>
      <c r="AE752" s="44"/>
      <c r="AF752" s="45"/>
      <c r="AG752" s="78"/>
      <c r="AH752" s="45"/>
      <c r="AI752" s="39"/>
      <c r="AJ752" s="39"/>
      <c r="AK752" s="39"/>
      <c r="AL752" s="35"/>
      <c r="AM752" s="34"/>
      <c r="AN752" s="34"/>
      <c r="AO752" s="39"/>
      <c r="AP752" s="47"/>
      <c r="AQ752" s="47"/>
      <c r="AR752" s="47"/>
      <c r="AS752" s="47"/>
    </row>
    <row r="753" spans="1:45" ht="12" customHeight="1" x14ac:dyDescent="0.25">
      <c r="A753" s="33">
        <f t="shared" si="92"/>
        <v>752</v>
      </c>
      <c r="B753" s="34"/>
      <c r="C753" s="34" t="s">
        <v>821</v>
      </c>
      <c r="D753" s="35" t="s">
        <v>822</v>
      </c>
      <c r="E753" s="34" t="s">
        <v>61</v>
      </c>
      <c r="F753" s="34" t="s">
        <v>0</v>
      </c>
      <c r="G753" s="16" t="s">
        <v>148</v>
      </c>
      <c r="H753" s="34">
        <v>600</v>
      </c>
      <c r="I753" s="34" t="s">
        <v>66</v>
      </c>
      <c r="J753" s="34" t="s">
        <v>3</v>
      </c>
      <c r="K753" s="35" t="s">
        <v>15</v>
      </c>
      <c r="L753" s="36" t="e">
        <f>VLOOKUP(G753,#REF!,4,0)</f>
        <v>#REF!</v>
      </c>
      <c r="M753" s="37" t="e">
        <f>_xlfn.IFNA(VLOOKUP(G753,#REF!,2,0),"")</f>
        <v>#REF!</v>
      </c>
      <c r="N753" s="38" t="e">
        <f>_xlfn.IFNA(VLOOKUP(G753,#REF!,3,0),"")</f>
        <v>#REF!</v>
      </c>
      <c r="O753" s="39">
        <v>20</v>
      </c>
      <c r="P753" s="79">
        <v>286.25</v>
      </c>
      <c r="Q753" s="39" t="s">
        <v>10</v>
      </c>
      <c r="R753" s="34">
        <v>5.8</v>
      </c>
      <c r="S753" s="38"/>
      <c r="T753" s="40">
        <v>68.965517241379317</v>
      </c>
      <c r="U753" s="41">
        <f t="shared" si="89"/>
        <v>1729.2155172413793</v>
      </c>
      <c r="V753" s="42">
        <f t="shared" si="90"/>
        <v>2.8820258620689656</v>
      </c>
      <c r="W753" s="43">
        <f t="shared" si="91"/>
        <v>0.43015311374163667</v>
      </c>
      <c r="X753" s="38"/>
      <c r="Y753" s="38"/>
      <c r="Z753" s="44"/>
      <c r="AA753" s="45">
        <v>46186</v>
      </c>
      <c r="AB753" s="45">
        <v>46206</v>
      </c>
      <c r="AC753" s="45"/>
      <c r="AD753" s="44"/>
      <c r="AE753" s="44"/>
      <c r="AF753" s="45"/>
      <c r="AG753" s="78"/>
      <c r="AH753" s="45"/>
      <c r="AI753" s="39"/>
      <c r="AJ753" s="39"/>
      <c r="AK753" s="39"/>
      <c r="AL753" s="35"/>
      <c r="AM753" s="34"/>
      <c r="AN753" s="34"/>
      <c r="AO753" s="39"/>
      <c r="AP753" s="47"/>
      <c r="AQ753" s="47"/>
      <c r="AR753" s="47"/>
      <c r="AS753" s="47"/>
    </row>
    <row r="754" spans="1:45" ht="12" customHeight="1" x14ac:dyDescent="0.25">
      <c r="A754" s="33">
        <f t="shared" si="92"/>
        <v>753</v>
      </c>
      <c r="B754" s="34"/>
      <c r="C754" s="34" t="s">
        <v>821</v>
      </c>
      <c r="D754" s="35" t="s">
        <v>822</v>
      </c>
      <c r="E754" s="34" t="s">
        <v>61</v>
      </c>
      <c r="F754" s="34" t="s">
        <v>0</v>
      </c>
      <c r="G754" s="16" t="s">
        <v>283</v>
      </c>
      <c r="H754" s="34">
        <v>210</v>
      </c>
      <c r="I754" s="34" t="s">
        <v>66</v>
      </c>
      <c r="J754" s="34" t="s">
        <v>3</v>
      </c>
      <c r="K754" s="35" t="s">
        <v>15</v>
      </c>
      <c r="L754" s="36" t="e">
        <f>VLOOKUP(G754,#REF!,4,0)</f>
        <v>#REF!</v>
      </c>
      <c r="M754" s="37" t="e">
        <f>_xlfn.IFNA(VLOOKUP(G754,#REF!,2,0),"")</f>
        <v>#REF!</v>
      </c>
      <c r="N754" s="38" t="e">
        <f>_xlfn.IFNA(VLOOKUP(G754,#REF!,3,0),"")</f>
        <v>#REF!</v>
      </c>
      <c r="O754" s="39">
        <v>7</v>
      </c>
      <c r="P754" s="79">
        <v>100.1875</v>
      </c>
      <c r="Q754" s="39" t="s">
        <v>10</v>
      </c>
      <c r="R754" s="34">
        <v>5.8</v>
      </c>
      <c r="S754" s="38"/>
      <c r="T754" s="40">
        <v>24.137931034482758</v>
      </c>
      <c r="U754" s="41">
        <f t="shared" si="89"/>
        <v>605.22543103448277</v>
      </c>
      <c r="V754" s="42">
        <f t="shared" si="90"/>
        <v>2.8820258620689656</v>
      </c>
      <c r="W754" s="43">
        <f t="shared" si="91"/>
        <v>0.43015311374163667</v>
      </c>
      <c r="X754" s="38"/>
      <c r="Y754" s="38"/>
      <c r="Z754" s="44"/>
      <c r="AA754" s="45">
        <v>46186</v>
      </c>
      <c r="AB754" s="45">
        <v>46206</v>
      </c>
      <c r="AC754" s="45"/>
      <c r="AD754" s="44"/>
      <c r="AE754" s="44"/>
      <c r="AF754" s="45"/>
      <c r="AG754" s="78"/>
      <c r="AH754" s="45"/>
      <c r="AI754" s="39"/>
      <c r="AJ754" s="39"/>
      <c r="AK754" s="39"/>
      <c r="AL754" s="35"/>
      <c r="AM754" s="34"/>
      <c r="AN754" s="34"/>
      <c r="AO754" s="39"/>
      <c r="AP754" s="47"/>
      <c r="AQ754" s="47"/>
      <c r="AR754" s="47"/>
      <c r="AS754" s="47"/>
    </row>
    <row r="755" spans="1:45" ht="12" customHeight="1" x14ac:dyDescent="0.25">
      <c r="A755" s="33">
        <f t="shared" si="92"/>
        <v>754</v>
      </c>
      <c r="B755" s="34"/>
      <c r="C755" s="34" t="s">
        <v>823</v>
      </c>
      <c r="D755" s="35" t="s">
        <v>824</v>
      </c>
      <c r="E755" s="34" t="s">
        <v>61</v>
      </c>
      <c r="F755" s="34" t="s">
        <v>0</v>
      </c>
      <c r="G755" s="16" t="s">
        <v>67</v>
      </c>
      <c r="H755" s="34">
        <v>80</v>
      </c>
      <c r="I755" s="34" t="s">
        <v>62</v>
      </c>
      <c r="J755" s="34" t="s">
        <v>3</v>
      </c>
      <c r="K755" s="35" t="s">
        <v>22</v>
      </c>
      <c r="L755" s="36" t="e">
        <f>VLOOKUP(G755,#REF!,4,0)</f>
        <v>#REF!</v>
      </c>
      <c r="M755" s="37" t="e">
        <f>_xlfn.IFNA(VLOOKUP(G755,#REF!,2,0),"")</f>
        <v>#REF!</v>
      </c>
      <c r="N755" s="38" t="e">
        <f>_xlfn.IFNA(VLOOKUP(G755,#REF!,3,0),"")</f>
        <v>#REF!</v>
      </c>
      <c r="O755" s="39">
        <v>5</v>
      </c>
      <c r="P755" s="79">
        <v>65.924999999999997</v>
      </c>
      <c r="Q755" s="39" t="s">
        <v>10</v>
      </c>
      <c r="R755" s="34">
        <v>5.3</v>
      </c>
      <c r="S755" s="38">
        <v>200</v>
      </c>
      <c r="T755" s="40">
        <v>14.925373134328359</v>
      </c>
      <c r="U755" s="41">
        <f t="shared" si="89"/>
        <v>364.32787313432834</v>
      </c>
      <c r="V755" s="42">
        <f t="shared" si="90"/>
        <v>4.5540984141791041</v>
      </c>
      <c r="W755" s="43">
        <f t="shared" si="91"/>
        <v>0.67971618122076183</v>
      </c>
      <c r="X755" s="38"/>
      <c r="Y755" s="38"/>
      <c r="Z755" s="44"/>
      <c r="AA755" s="45">
        <v>46185</v>
      </c>
      <c r="AB755" s="45"/>
      <c r="AC755" s="45"/>
      <c r="AD755" s="44"/>
      <c r="AE755" s="44"/>
      <c r="AF755" s="45"/>
      <c r="AG755" s="78"/>
      <c r="AH755" s="45"/>
      <c r="AI755" s="39"/>
      <c r="AJ755" s="39"/>
      <c r="AK755" s="39"/>
      <c r="AL755" s="35"/>
      <c r="AM755" s="34"/>
      <c r="AN755" s="34"/>
      <c r="AO755" s="39"/>
      <c r="AP755" s="47"/>
      <c r="AQ755" s="47"/>
      <c r="AR755" s="47"/>
      <c r="AS755" s="47"/>
    </row>
    <row r="756" spans="1:45" ht="12" customHeight="1" x14ac:dyDescent="0.25">
      <c r="A756" s="33">
        <f t="shared" si="92"/>
        <v>755</v>
      </c>
      <c r="B756" s="34"/>
      <c r="C756" s="34" t="s">
        <v>823</v>
      </c>
      <c r="D756" s="35" t="s">
        <v>824</v>
      </c>
      <c r="E756" s="34" t="s">
        <v>61</v>
      </c>
      <c r="F756" s="34" t="s">
        <v>0</v>
      </c>
      <c r="G756" s="16" t="s">
        <v>127</v>
      </c>
      <c r="H756" s="34">
        <v>32</v>
      </c>
      <c r="I756" s="34" t="s">
        <v>62</v>
      </c>
      <c r="J756" s="34" t="s">
        <v>3</v>
      </c>
      <c r="K756" s="35" t="s">
        <v>22</v>
      </c>
      <c r="L756" s="36" t="e">
        <f>VLOOKUP(G756,#REF!,4,0)</f>
        <v>#REF!</v>
      </c>
      <c r="M756" s="37" t="e">
        <f>_xlfn.IFNA(VLOOKUP(G756,#REF!,2,0),"")</f>
        <v>#REF!</v>
      </c>
      <c r="N756" s="38" t="e">
        <f>_xlfn.IFNA(VLOOKUP(G756,#REF!,3,0),"")</f>
        <v>#REF!</v>
      </c>
      <c r="O756" s="39">
        <v>2</v>
      </c>
      <c r="P756" s="79">
        <v>26.37</v>
      </c>
      <c r="Q756" s="39" t="s">
        <v>10</v>
      </c>
      <c r="R756" s="34">
        <v>5.3</v>
      </c>
      <c r="S756" s="48">
        <v>200</v>
      </c>
      <c r="T756" s="40">
        <v>5.9701492537313436</v>
      </c>
      <c r="U756" s="41">
        <f t="shared" si="89"/>
        <v>145.73114925373133</v>
      </c>
      <c r="V756" s="42">
        <f t="shared" si="90"/>
        <v>4.5540984141791041</v>
      </c>
      <c r="W756" s="43">
        <f t="shared" si="91"/>
        <v>0.67971618122076183</v>
      </c>
      <c r="X756" s="38"/>
      <c r="Y756" s="38"/>
      <c r="Z756" s="44"/>
      <c r="AA756" s="45">
        <v>46185</v>
      </c>
      <c r="AB756" s="45"/>
      <c r="AC756" s="45"/>
      <c r="AD756" s="44"/>
      <c r="AE756" s="44"/>
      <c r="AF756" s="45"/>
      <c r="AG756" s="78"/>
      <c r="AH756" s="45"/>
      <c r="AI756" s="39"/>
      <c r="AJ756" s="39"/>
      <c r="AK756" s="39"/>
      <c r="AL756" s="35"/>
      <c r="AM756" s="34"/>
      <c r="AN756" s="34"/>
      <c r="AO756" s="39"/>
      <c r="AP756" s="47"/>
      <c r="AQ756" s="47"/>
      <c r="AR756" s="47"/>
      <c r="AS756" s="47"/>
    </row>
    <row r="757" spans="1:45" ht="12" customHeight="1" x14ac:dyDescent="0.25">
      <c r="A757" s="33">
        <f t="shared" si="92"/>
        <v>756</v>
      </c>
      <c r="B757" s="34"/>
      <c r="C757" s="34" t="s">
        <v>823</v>
      </c>
      <c r="D757" s="35" t="s">
        <v>824</v>
      </c>
      <c r="E757" s="34" t="s">
        <v>61</v>
      </c>
      <c r="F757" s="34" t="s">
        <v>0</v>
      </c>
      <c r="G757" s="16" t="s">
        <v>242</v>
      </c>
      <c r="H757" s="34">
        <v>480</v>
      </c>
      <c r="I757" s="34" t="s">
        <v>62</v>
      </c>
      <c r="J757" s="34" t="s">
        <v>3</v>
      </c>
      <c r="K757" s="35" t="s">
        <v>22</v>
      </c>
      <c r="L757" s="36" t="e">
        <f>VLOOKUP(G757,#REF!,4,0)</f>
        <v>#REF!</v>
      </c>
      <c r="M757" s="37" t="e">
        <f>_xlfn.IFNA(VLOOKUP(G757,#REF!,2,0),"")</f>
        <v>#REF!</v>
      </c>
      <c r="N757" s="38" t="e">
        <f>_xlfn.IFNA(VLOOKUP(G757,#REF!,3,0),"")</f>
        <v>#REF!</v>
      </c>
      <c r="O757" s="39">
        <v>12</v>
      </c>
      <c r="P757" s="79">
        <v>158.22</v>
      </c>
      <c r="Q757" s="39" t="s">
        <v>10</v>
      </c>
      <c r="R757" s="34">
        <v>5.3</v>
      </c>
      <c r="S757" s="38"/>
      <c r="T757" s="40">
        <v>35.820895522388057</v>
      </c>
      <c r="U757" s="41">
        <f t="shared" si="89"/>
        <v>874.38689552238793</v>
      </c>
      <c r="V757" s="42">
        <f t="shared" si="90"/>
        <v>1.8216393656716414</v>
      </c>
      <c r="W757" s="43">
        <f t="shared" si="91"/>
        <v>0.27188647248830466</v>
      </c>
      <c r="X757" s="38"/>
      <c r="Y757" s="38"/>
      <c r="Z757" s="44"/>
      <c r="AA757" s="45">
        <v>46185</v>
      </c>
      <c r="AB757" s="45"/>
      <c r="AC757" s="45"/>
      <c r="AD757" s="44"/>
      <c r="AE757" s="44"/>
      <c r="AF757" s="45"/>
      <c r="AG757" s="78"/>
      <c r="AH757" s="45"/>
      <c r="AI757" s="39"/>
      <c r="AJ757" s="39"/>
      <c r="AK757" s="39"/>
      <c r="AL757" s="35"/>
      <c r="AM757" s="34"/>
      <c r="AN757" s="34"/>
      <c r="AO757" s="39"/>
      <c r="AP757" s="47"/>
      <c r="AQ757" s="47"/>
      <c r="AR757" s="47"/>
      <c r="AS757" s="47"/>
    </row>
    <row r="758" spans="1:45" ht="12" customHeight="1" x14ac:dyDescent="0.25">
      <c r="A758" s="33">
        <f t="shared" si="92"/>
        <v>757</v>
      </c>
      <c r="B758" s="34"/>
      <c r="C758" s="34" t="s">
        <v>823</v>
      </c>
      <c r="D758" s="35" t="s">
        <v>824</v>
      </c>
      <c r="E758" s="34" t="s">
        <v>61</v>
      </c>
      <c r="F758" s="34" t="s">
        <v>0</v>
      </c>
      <c r="G758" s="16" t="s">
        <v>243</v>
      </c>
      <c r="H758" s="34">
        <v>280</v>
      </c>
      <c r="I758" s="34" t="s">
        <v>62</v>
      </c>
      <c r="J758" s="34" t="s">
        <v>3</v>
      </c>
      <c r="K758" s="35" t="s">
        <v>22</v>
      </c>
      <c r="L758" s="36" t="e">
        <f>VLOOKUP(G758,#REF!,4,0)</f>
        <v>#REF!</v>
      </c>
      <c r="M758" s="37" t="e">
        <f>_xlfn.IFNA(VLOOKUP(G758,#REF!,2,0),"")</f>
        <v>#REF!</v>
      </c>
      <c r="N758" s="38" t="e">
        <f>_xlfn.IFNA(VLOOKUP(G758,#REF!,3,0),"")</f>
        <v>#REF!</v>
      </c>
      <c r="O758" s="39">
        <v>7</v>
      </c>
      <c r="P758" s="79">
        <v>92.295000000000002</v>
      </c>
      <c r="Q758" s="39" t="s">
        <v>10</v>
      </c>
      <c r="R758" s="34">
        <v>5.3</v>
      </c>
      <c r="S758" s="38"/>
      <c r="T758" s="40">
        <v>20.895522388059703</v>
      </c>
      <c r="U758" s="41">
        <f t="shared" si="89"/>
        <v>510.0590223880597</v>
      </c>
      <c r="V758" s="42">
        <f t="shared" si="90"/>
        <v>1.8216393656716419</v>
      </c>
      <c r="W758" s="43">
        <f t="shared" si="91"/>
        <v>0.27188647248830478</v>
      </c>
      <c r="X758" s="38"/>
      <c r="Y758" s="38"/>
      <c r="Z758" s="44"/>
      <c r="AA758" s="45">
        <v>46185</v>
      </c>
      <c r="AB758" s="45"/>
      <c r="AC758" s="45"/>
      <c r="AD758" s="44"/>
      <c r="AE758" s="44"/>
      <c r="AF758" s="45"/>
      <c r="AG758" s="78"/>
      <c r="AH758" s="45"/>
      <c r="AI758" s="39"/>
      <c r="AJ758" s="39"/>
      <c r="AK758" s="39"/>
      <c r="AL758" s="35"/>
      <c r="AM758" s="34"/>
      <c r="AN758" s="34"/>
      <c r="AO758" s="39"/>
      <c r="AP758" s="47"/>
      <c r="AQ758" s="47"/>
      <c r="AR758" s="47"/>
      <c r="AS758" s="47"/>
    </row>
    <row r="759" spans="1:45" ht="12" customHeight="1" x14ac:dyDescent="0.25">
      <c r="A759" s="33">
        <f t="shared" si="92"/>
        <v>758</v>
      </c>
      <c r="B759" s="34"/>
      <c r="C759" s="34" t="s">
        <v>823</v>
      </c>
      <c r="D759" s="35" t="s">
        <v>825</v>
      </c>
      <c r="E759" s="34" t="s">
        <v>172</v>
      </c>
      <c r="F759" s="34" t="s">
        <v>0</v>
      </c>
      <c r="G759" s="16" t="s">
        <v>164</v>
      </c>
      <c r="H759" s="34">
        <v>30</v>
      </c>
      <c r="I759" s="34" t="s">
        <v>62</v>
      </c>
      <c r="J759" s="34" t="s">
        <v>3</v>
      </c>
      <c r="K759" s="35" t="s">
        <v>22</v>
      </c>
      <c r="L759" s="36" t="e">
        <f>VLOOKUP(G759,#REF!,4,0)</f>
        <v>#REF!</v>
      </c>
      <c r="M759" s="37" t="e">
        <f>_xlfn.IFNA(VLOOKUP(G759,#REF!,2,0),"")</f>
        <v>#REF!</v>
      </c>
      <c r="N759" s="38" t="e">
        <f>_xlfn.IFNA(VLOOKUP(G759,#REF!,3,0),"")</f>
        <v>#REF!</v>
      </c>
      <c r="O759" s="39">
        <v>1</v>
      </c>
      <c r="P759" s="79">
        <v>13.19</v>
      </c>
      <c r="Q759" s="39" t="s">
        <v>10</v>
      </c>
      <c r="R759" s="34">
        <v>5.3</v>
      </c>
      <c r="S759" s="38"/>
      <c r="T759" s="40">
        <v>2.9850746268656718</v>
      </c>
      <c r="U759" s="41">
        <f t="shared" si="89"/>
        <v>72.892074626865664</v>
      </c>
      <c r="V759" s="42">
        <f t="shared" si="90"/>
        <v>2.4297358208955222</v>
      </c>
      <c r="W759" s="43">
        <f t="shared" si="91"/>
        <v>0.36264713744709287</v>
      </c>
      <c r="X759" s="38"/>
      <c r="Y759" s="38"/>
      <c r="Z759" s="44"/>
      <c r="AA759" s="45">
        <v>46185</v>
      </c>
      <c r="AB759" s="45"/>
      <c r="AC759" s="45"/>
      <c r="AD759" s="44"/>
      <c r="AE759" s="44"/>
      <c r="AF759" s="45"/>
      <c r="AG759" s="78"/>
      <c r="AH759" s="45"/>
      <c r="AI759" s="39"/>
      <c r="AJ759" s="39"/>
      <c r="AK759" s="39"/>
      <c r="AL759" s="35"/>
      <c r="AM759" s="34"/>
      <c r="AN759" s="34"/>
      <c r="AO759" s="39"/>
      <c r="AP759" s="47"/>
      <c r="AQ759" s="47"/>
      <c r="AR759" s="47"/>
      <c r="AS759" s="47"/>
    </row>
    <row r="760" spans="1:45" ht="12" customHeight="1" x14ac:dyDescent="0.25">
      <c r="A760" s="33">
        <f t="shared" si="92"/>
        <v>759</v>
      </c>
      <c r="B760" s="34"/>
      <c r="C760" s="34" t="s">
        <v>826</v>
      </c>
      <c r="D760" s="35" t="s">
        <v>827</v>
      </c>
      <c r="E760" s="34" t="s">
        <v>470</v>
      </c>
      <c r="F760" s="34" t="s">
        <v>0</v>
      </c>
      <c r="G760" s="16" t="s">
        <v>285</v>
      </c>
      <c r="H760" s="34">
        <v>510</v>
      </c>
      <c r="I760" s="34" t="s">
        <v>66</v>
      </c>
      <c r="J760" s="34" t="s">
        <v>3</v>
      </c>
      <c r="K760" s="35" t="s">
        <v>22</v>
      </c>
      <c r="L760" s="36" t="e">
        <f>VLOOKUP(G760,#REF!,4,0)</f>
        <v>#REF!</v>
      </c>
      <c r="M760" s="37" t="e">
        <f>_xlfn.IFNA(VLOOKUP(G760,#REF!,2,0),"")</f>
        <v>#REF!</v>
      </c>
      <c r="N760" s="38" t="e">
        <f>_xlfn.IFNA(VLOOKUP(G760,#REF!,3,0),"")</f>
        <v>#REF!</v>
      </c>
      <c r="O760" s="39">
        <v>17</v>
      </c>
      <c r="P760" s="79">
        <v>275.12883435582819</v>
      </c>
      <c r="Q760" s="39" t="s">
        <v>10</v>
      </c>
      <c r="R760" s="34">
        <v>5.5</v>
      </c>
      <c r="S760" s="38">
        <v>200</v>
      </c>
      <c r="T760" s="40">
        <v>16.037735849056602</v>
      </c>
      <c r="U760" s="41">
        <f t="shared" si="89"/>
        <v>1529.2463248061117</v>
      </c>
      <c r="V760" s="42">
        <f t="shared" si="90"/>
        <v>2.9985222055021796</v>
      </c>
      <c r="W760" s="43">
        <f t="shared" si="91"/>
        <v>0.44754062768689246</v>
      </c>
      <c r="X760" s="38"/>
      <c r="Y760" s="38"/>
      <c r="Z760" s="44"/>
      <c r="AA760" s="45">
        <v>46186</v>
      </c>
      <c r="AB760" s="45">
        <v>46176</v>
      </c>
      <c r="AC760" s="45"/>
      <c r="AD760" s="44"/>
      <c r="AE760" s="44"/>
      <c r="AF760" s="45"/>
      <c r="AG760" s="78"/>
      <c r="AH760" s="45"/>
      <c r="AI760" s="39"/>
      <c r="AJ760" s="39"/>
      <c r="AK760" s="39"/>
      <c r="AL760" s="35"/>
      <c r="AM760" s="34"/>
      <c r="AN760" s="34"/>
      <c r="AO760" s="39"/>
      <c r="AP760" s="47"/>
      <c r="AQ760" s="47"/>
      <c r="AR760" s="47"/>
      <c r="AS760" s="47"/>
    </row>
    <row r="761" spans="1:45" ht="12" customHeight="1" x14ac:dyDescent="0.25">
      <c r="A761" s="33">
        <f t="shared" si="92"/>
        <v>760</v>
      </c>
      <c r="B761" s="34"/>
      <c r="C761" s="34" t="s">
        <v>826</v>
      </c>
      <c r="D761" s="35" t="s">
        <v>827</v>
      </c>
      <c r="E761" s="34" t="s">
        <v>470</v>
      </c>
      <c r="F761" s="34" t="s">
        <v>0</v>
      </c>
      <c r="G761" s="16" t="s">
        <v>284</v>
      </c>
      <c r="H761" s="34">
        <v>300</v>
      </c>
      <c r="I761" s="34" t="s">
        <v>66</v>
      </c>
      <c r="J761" s="34" t="s">
        <v>3</v>
      </c>
      <c r="K761" s="35" t="s">
        <v>22</v>
      </c>
      <c r="L761" s="36" t="e">
        <f>VLOOKUP(G761,#REF!,4,0)</f>
        <v>#REF!</v>
      </c>
      <c r="M761" s="37" t="e">
        <f>_xlfn.IFNA(VLOOKUP(G761,#REF!,2,0),"")</f>
        <v>#REF!</v>
      </c>
      <c r="N761" s="38" t="e">
        <f>_xlfn.IFNA(VLOOKUP(G761,#REF!,3,0),"")</f>
        <v>#REF!</v>
      </c>
      <c r="O761" s="39">
        <v>10</v>
      </c>
      <c r="P761" s="79">
        <v>161.84049079754601</v>
      </c>
      <c r="Q761" s="39" t="s">
        <v>10</v>
      </c>
      <c r="R761" s="34">
        <v>5.5</v>
      </c>
      <c r="S761" s="48">
        <v>200</v>
      </c>
      <c r="T761" s="40">
        <v>9.433962264150944</v>
      </c>
      <c r="U761" s="41">
        <f t="shared" si="89"/>
        <v>899.55666165065406</v>
      </c>
      <c r="V761" s="42">
        <f t="shared" si="90"/>
        <v>2.9985222055021801</v>
      </c>
      <c r="W761" s="43">
        <f t="shared" si="91"/>
        <v>0.44754062768689251</v>
      </c>
      <c r="X761" s="38"/>
      <c r="Y761" s="38"/>
      <c r="Z761" s="44"/>
      <c r="AA761" s="45">
        <v>46186</v>
      </c>
      <c r="AB761" s="45">
        <v>46176</v>
      </c>
      <c r="AC761" s="45"/>
      <c r="AD761" s="44"/>
      <c r="AE761" s="44"/>
      <c r="AF761" s="45"/>
      <c r="AG761" s="78"/>
      <c r="AH761" s="45"/>
      <c r="AI761" s="39"/>
      <c r="AJ761" s="39"/>
      <c r="AK761" s="39"/>
      <c r="AL761" s="35"/>
      <c r="AM761" s="34"/>
      <c r="AN761" s="34"/>
      <c r="AO761" s="39"/>
      <c r="AP761" s="47"/>
      <c r="AQ761" s="47"/>
      <c r="AR761" s="47"/>
      <c r="AS761" s="47"/>
    </row>
    <row r="762" spans="1:45" ht="12" customHeight="1" x14ac:dyDescent="0.25">
      <c r="A762" s="33">
        <f t="shared" si="92"/>
        <v>761</v>
      </c>
      <c r="B762" s="34"/>
      <c r="C762" s="34" t="s">
        <v>826</v>
      </c>
      <c r="D762" s="35" t="s">
        <v>827</v>
      </c>
      <c r="E762" s="34" t="s">
        <v>470</v>
      </c>
      <c r="F762" s="34" t="s">
        <v>0</v>
      </c>
      <c r="G762" s="16" t="s">
        <v>272</v>
      </c>
      <c r="H762" s="34">
        <v>300</v>
      </c>
      <c r="I762" s="34" t="s">
        <v>66</v>
      </c>
      <c r="J762" s="34" t="s">
        <v>3</v>
      </c>
      <c r="K762" s="35" t="s">
        <v>22</v>
      </c>
      <c r="L762" s="36" t="e">
        <f>VLOOKUP(G762,#REF!,4,0)</f>
        <v>#REF!</v>
      </c>
      <c r="M762" s="37" t="e">
        <f>_xlfn.IFNA(VLOOKUP(G762,#REF!,2,0),"")</f>
        <v>#REF!</v>
      </c>
      <c r="N762" s="38" t="e">
        <f>_xlfn.IFNA(VLOOKUP(G762,#REF!,3,0),"")</f>
        <v>#REF!</v>
      </c>
      <c r="O762" s="39">
        <v>10</v>
      </c>
      <c r="P762" s="79">
        <v>161.84049079754601</v>
      </c>
      <c r="Q762" s="39" t="s">
        <v>10</v>
      </c>
      <c r="R762" s="34">
        <v>5.5</v>
      </c>
      <c r="S762" s="38"/>
      <c r="T762" s="40">
        <v>9.433962264150944</v>
      </c>
      <c r="U762" s="41">
        <f t="shared" si="89"/>
        <v>899.55666165065406</v>
      </c>
      <c r="V762" s="42">
        <f t="shared" si="90"/>
        <v>2.9985222055021801</v>
      </c>
      <c r="W762" s="43">
        <f t="shared" si="91"/>
        <v>0.44754062768689251</v>
      </c>
      <c r="X762" s="38"/>
      <c r="Y762" s="38"/>
      <c r="Z762" s="44"/>
      <c r="AA762" s="45">
        <v>46186</v>
      </c>
      <c r="AB762" s="45">
        <v>46176</v>
      </c>
      <c r="AC762" s="45"/>
      <c r="AD762" s="44"/>
      <c r="AE762" s="44"/>
      <c r="AF762" s="45"/>
      <c r="AG762" s="78"/>
      <c r="AH762" s="45"/>
      <c r="AI762" s="39"/>
      <c r="AJ762" s="39"/>
      <c r="AK762" s="39"/>
      <c r="AL762" s="35"/>
      <c r="AM762" s="34"/>
      <c r="AN762" s="34"/>
      <c r="AO762" s="39"/>
      <c r="AP762" s="47"/>
      <c r="AQ762" s="47"/>
      <c r="AR762" s="47"/>
      <c r="AS762" s="47"/>
    </row>
    <row r="763" spans="1:45" ht="12" customHeight="1" x14ac:dyDescent="0.25">
      <c r="A763" s="33">
        <f t="shared" si="92"/>
        <v>762</v>
      </c>
      <c r="B763" s="34"/>
      <c r="C763" s="34" t="s">
        <v>826</v>
      </c>
      <c r="D763" s="35" t="s">
        <v>827</v>
      </c>
      <c r="E763" s="34" t="s">
        <v>470</v>
      </c>
      <c r="F763" s="34" t="s">
        <v>0</v>
      </c>
      <c r="G763" s="16" t="s">
        <v>514</v>
      </c>
      <c r="H763" s="34">
        <v>2970</v>
      </c>
      <c r="I763" s="34" t="s">
        <v>66</v>
      </c>
      <c r="J763" s="34" t="s">
        <v>3</v>
      </c>
      <c r="K763" s="35" t="s">
        <v>22</v>
      </c>
      <c r="L763" s="36" t="e">
        <f>VLOOKUP(G763,#REF!,4,0)</f>
        <v>#REF!</v>
      </c>
      <c r="M763" s="37" t="e">
        <f>_xlfn.IFNA(VLOOKUP(G763,#REF!,2,0),"")</f>
        <v>#REF!</v>
      </c>
      <c r="N763" s="38" t="e">
        <f>_xlfn.IFNA(VLOOKUP(G763,#REF!,3,0),"")</f>
        <v>#REF!</v>
      </c>
      <c r="O763" s="39">
        <v>99</v>
      </c>
      <c r="P763" s="79">
        <v>1602.2208588957055</v>
      </c>
      <c r="Q763" s="39" t="s">
        <v>10</v>
      </c>
      <c r="R763" s="34">
        <v>5.5</v>
      </c>
      <c r="S763" s="38"/>
      <c r="T763" s="40">
        <v>93.396226415094333</v>
      </c>
      <c r="U763" s="41">
        <f t="shared" si="89"/>
        <v>8905.6109503414737</v>
      </c>
      <c r="V763" s="42">
        <f t="shared" si="90"/>
        <v>2.9985222055021796</v>
      </c>
      <c r="W763" s="43">
        <f t="shared" si="91"/>
        <v>0.44754062768689246</v>
      </c>
      <c r="X763" s="38"/>
      <c r="Y763" s="38"/>
      <c r="Z763" s="44"/>
      <c r="AA763" s="45">
        <v>46186</v>
      </c>
      <c r="AB763" s="45">
        <v>46176</v>
      </c>
      <c r="AC763" s="45"/>
      <c r="AD763" s="44"/>
      <c r="AE763" s="44"/>
      <c r="AF763" s="45"/>
      <c r="AG763" s="78"/>
      <c r="AH763" s="45"/>
      <c r="AI763" s="39"/>
      <c r="AJ763" s="39"/>
      <c r="AK763" s="39"/>
      <c r="AL763" s="35"/>
      <c r="AM763" s="34"/>
      <c r="AN763" s="34"/>
      <c r="AO763" s="39"/>
      <c r="AP763" s="47"/>
      <c r="AQ763" s="47"/>
      <c r="AR763" s="47"/>
      <c r="AS763" s="47"/>
    </row>
    <row r="764" spans="1:45" ht="12" customHeight="1" x14ac:dyDescent="0.25">
      <c r="A764" s="33">
        <f t="shared" si="92"/>
        <v>763</v>
      </c>
      <c r="B764" s="34"/>
      <c r="C764" s="34" t="s">
        <v>826</v>
      </c>
      <c r="D764" s="35" t="s">
        <v>827</v>
      </c>
      <c r="E764" s="34" t="s">
        <v>470</v>
      </c>
      <c r="F764" s="34" t="s">
        <v>0</v>
      </c>
      <c r="G764" s="16" t="s">
        <v>206</v>
      </c>
      <c r="H764" s="34">
        <v>100</v>
      </c>
      <c r="I764" s="34" t="s">
        <v>66</v>
      </c>
      <c r="J764" s="34" t="s">
        <v>3</v>
      </c>
      <c r="K764" s="35" t="s">
        <v>22</v>
      </c>
      <c r="L764" s="36" t="e">
        <f>VLOOKUP(G764,#REF!,4,0)</f>
        <v>#REF!</v>
      </c>
      <c r="M764" s="37" t="e">
        <f>_xlfn.IFNA(VLOOKUP(G764,#REF!,2,0),"")</f>
        <v>#REF!</v>
      </c>
      <c r="N764" s="38" t="e">
        <f>_xlfn.IFNA(VLOOKUP(G764,#REF!,3,0),"")</f>
        <v>#REF!</v>
      </c>
      <c r="O764" s="39">
        <v>5</v>
      </c>
      <c r="P764" s="79">
        <v>80.920245398773005</v>
      </c>
      <c r="Q764" s="39" t="s">
        <v>10</v>
      </c>
      <c r="R764" s="34">
        <v>5.5</v>
      </c>
      <c r="S764" s="38"/>
      <c r="T764" s="40">
        <v>4.716981132075472</v>
      </c>
      <c r="U764" s="41">
        <f t="shared" si="89"/>
        <v>449.77833082532703</v>
      </c>
      <c r="V764" s="42">
        <f t="shared" si="90"/>
        <v>4.4977833082532701</v>
      </c>
      <c r="W764" s="43">
        <f t="shared" si="91"/>
        <v>0.67131094153033877</v>
      </c>
      <c r="X764" s="38"/>
      <c r="Y764" s="38"/>
      <c r="Z764" s="44"/>
      <c r="AA764" s="45">
        <v>46186</v>
      </c>
      <c r="AB764" s="45">
        <v>46176</v>
      </c>
      <c r="AC764" s="45"/>
      <c r="AD764" s="44"/>
      <c r="AE764" s="44"/>
      <c r="AF764" s="45"/>
      <c r="AG764" s="78"/>
      <c r="AH764" s="45"/>
      <c r="AI764" s="39"/>
      <c r="AJ764" s="39"/>
      <c r="AK764" s="39"/>
      <c r="AL764" s="35"/>
      <c r="AM764" s="34"/>
      <c r="AN764" s="34"/>
      <c r="AO764" s="39"/>
      <c r="AP764" s="47"/>
      <c r="AQ764" s="47"/>
      <c r="AR764" s="47"/>
      <c r="AS764" s="47"/>
    </row>
    <row r="765" spans="1:45" ht="12" customHeight="1" x14ac:dyDescent="0.25">
      <c r="A765" s="33">
        <f t="shared" si="92"/>
        <v>764</v>
      </c>
      <c r="B765" s="34"/>
      <c r="C765" s="34" t="s">
        <v>826</v>
      </c>
      <c r="D765" s="35" t="s">
        <v>827</v>
      </c>
      <c r="E765" s="34" t="s">
        <v>470</v>
      </c>
      <c r="F765" s="34" t="s">
        <v>0</v>
      </c>
      <c r="G765" s="16" t="s">
        <v>228</v>
      </c>
      <c r="H765" s="34">
        <v>100</v>
      </c>
      <c r="I765" s="34" t="s">
        <v>66</v>
      </c>
      <c r="J765" s="34" t="s">
        <v>3</v>
      </c>
      <c r="K765" s="35" t="s">
        <v>22</v>
      </c>
      <c r="L765" s="36" t="e">
        <f>VLOOKUP(G765,#REF!,4,0)</f>
        <v>#REF!</v>
      </c>
      <c r="M765" s="37" t="e">
        <f>_xlfn.IFNA(VLOOKUP(G765,#REF!,2,0),"")</f>
        <v>#REF!</v>
      </c>
      <c r="N765" s="38" t="e">
        <f>_xlfn.IFNA(VLOOKUP(G765,#REF!,3,0),"")</f>
        <v>#REF!</v>
      </c>
      <c r="O765" s="39">
        <v>5</v>
      </c>
      <c r="P765" s="79">
        <v>80.920245398773005</v>
      </c>
      <c r="Q765" s="39" t="s">
        <v>10</v>
      </c>
      <c r="R765" s="34">
        <v>5.5</v>
      </c>
      <c r="S765" s="38"/>
      <c r="T765" s="40">
        <v>4.716981132075472</v>
      </c>
      <c r="U765" s="41">
        <f t="shared" si="89"/>
        <v>449.77833082532703</v>
      </c>
      <c r="V765" s="42">
        <f t="shared" si="90"/>
        <v>4.4977833082532701</v>
      </c>
      <c r="W765" s="43">
        <f t="shared" si="91"/>
        <v>0.67131094153033877</v>
      </c>
      <c r="X765" s="38"/>
      <c r="Y765" s="38"/>
      <c r="Z765" s="44"/>
      <c r="AA765" s="45">
        <v>46186</v>
      </c>
      <c r="AB765" s="45">
        <v>46176</v>
      </c>
      <c r="AC765" s="45"/>
      <c r="AD765" s="44"/>
      <c r="AE765" s="44"/>
      <c r="AF765" s="45"/>
      <c r="AG765" s="78"/>
      <c r="AH765" s="45"/>
      <c r="AI765" s="39"/>
      <c r="AJ765" s="39"/>
      <c r="AK765" s="39"/>
      <c r="AL765" s="35"/>
      <c r="AM765" s="34"/>
      <c r="AN765" s="34"/>
      <c r="AO765" s="39"/>
      <c r="AP765" s="47"/>
      <c r="AQ765" s="47"/>
      <c r="AR765" s="47"/>
      <c r="AS765" s="47"/>
    </row>
    <row r="766" spans="1:45" ht="12" customHeight="1" x14ac:dyDescent="0.25">
      <c r="A766" s="33">
        <f t="shared" si="92"/>
        <v>765</v>
      </c>
      <c r="B766" s="34"/>
      <c r="C766" s="34" t="s">
        <v>826</v>
      </c>
      <c r="D766" s="35" t="s">
        <v>827</v>
      </c>
      <c r="E766" s="34" t="s">
        <v>470</v>
      </c>
      <c r="F766" s="34" t="s">
        <v>0</v>
      </c>
      <c r="G766" s="16" t="s">
        <v>249</v>
      </c>
      <c r="H766" s="34">
        <v>150</v>
      </c>
      <c r="I766" s="34" t="s">
        <v>66</v>
      </c>
      <c r="J766" s="34" t="s">
        <v>3</v>
      </c>
      <c r="K766" s="35" t="s">
        <v>22</v>
      </c>
      <c r="L766" s="36" t="e">
        <f>VLOOKUP(G766,#REF!,4,0)</f>
        <v>#REF!</v>
      </c>
      <c r="M766" s="37" t="e">
        <f>_xlfn.IFNA(VLOOKUP(G766,#REF!,2,0),"")</f>
        <v>#REF!</v>
      </c>
      <c r="N766" s="38" t="e">
        <f>_xlfn.IFNA(VLOOKUP(G766,#REF!,3,0),"")</f>
        <v>#REF!</v>
      </c>
      <c r="O766" s="39">
        <v>5</v>
      </c>
      <c r="P766" s="79">
        <v>80.920245398773005</v>
      </c>
      <c r="Q766" s="39" t="s">
        <v>10</v>
      </c>
      <c r="R766" s="34">
        <v>5.5</v>
      </c>
      <c r="S766" s="38"/>
      <c r="T766" s="40">
        <v>4.716981132075472</v>
      </c>
      <c r="U766" s="41">
        <f t="shared" si="89"/>
        <v>449.77833082532703</v>
      </c>
      <c r="V766" s="42">
        <f t="shared" si="90"/>
        <v>2.9985222055021801</v>
      </c>
      <c r="W766" s="43">
        <f t="shared" si="91"/>
        <v>0.44754062768689251</v>
      </c>
      <c r="X766" s="38"/>
      <c r="Y766" s="38"/>
      <c r="Z766" s="44"/>
      <c r="AA766" s="45">
        <v>46186</v>
      </c>
      <c r="AB766" s="45">
        <v>46176</v>
      </c>
      <c r="AC766" s="45"/>
      <c r="AD766" s="44"/>
      <c r="AE766" s="44"/>
      <c r="AF766" s="45"/>
      <c r="AG766" s="78"/>
      <c r="AH766" s="45"/>
      <c r="AI766" s="39"/>
      <c r="AJ766" s="39"/>
      <c r="AK766" s="39"/>
      <c r="AL766" s="35"/>
      <c r="AM766" s="34"/>
      <c r="AN766" s="34"/>
      <c r="AO766" s="39"/>
      <c r="AP766" s="47"/>
      <c r="AQ766" s="47"/>
      <c r="AR766" s="47"/>
      <c r="AS766" s="47"/>
    </row>
    <row r="767" spans="1:45" ht="12" customHeight="1" x14ac:dyDescent="0.25">
      <c r="A767" s="33">
        <f t="shared" si="92"/>
        <v>766</v>
      </c>
      <c r="B767" s="34"/>
      <c r="C767" s="34" t="s">
        <v>826</v>
      </c>
      <c r="D767" s="35" t="s">
        <v>827</v>
      </c>
      <c r="E767" s="34" t="s">
        <v>470</v>
      </c>
      <c r="F767" s="34" t="s">
        <v>0</v>
      </c>
      <c r="G767" s="16" t="s">
        <v>486</v>
      </c>
      <c r="H767" s="34">
        <v>330</v>
      </c>
      <c r="I767" s="34" t="s">
        <v>66</v>
      </c>
      <c r="J767" s="34" t="s">
        <v>3</v>
      </c>
      <c r="K767" s="35" t="s">
        <v>22</v>
      </c>
      <c r="L767" s="36" t="e">
        <f>VLOOKUP(G767,#REF!,4,0)</f>
        <v>#REF!</v>
      </c>
      <c r="M767" s="37" t="e">
        <f>_xlfn.IFNA(VLOOKUP(G767,#REF!,2,0),"")</f>
        <v>#REF!</v>
      </c>
      <c r="N767" s="38" t="e">
        <f>_xlfn.IFNA(VLOOKUP(G767,#REF!,3,0),"")</f>
        <v>#REF!</v>
      </c>
      <c r="O767" s="39">
        <v>11</v>
      </c>
      <c r="P767" s="79">
        <v>178.02453987730061</v>
      </c>
      <c r="Q767" s="39" t="s">
        <v>10</v>
      </c>
      <c r="R767" s="34">
        <v>5.5</v>
      </c>
      <c r="S767" s="38"/>
      <c r="T767" s="40">
        <v>10.377358490566039</v>
      </c>
      <c r="U767" s="41">
        <f t="shared" si="89"/>
        <v>989.51232781571946</v>
      </c>
      <c r="V767" s="42">
        <f t="shared" si="90"/>
        <v>2.9985222055021801</v>
      </c>
      <c r="W767" s="43">
        <f t="shared" si="91"/>
        <v>0.44754062768689251</v>
      </c>
      <c r="X767" s="38"/>
      <c r="Y767" s="38"/>
      <c r="Z767" s="44"/>
      <c r="AA767" s="45">
        <v>46186</v>
      </c>
      <c r="AB767" s="45">
        <v>46176</v>
      </c>
      <c r="AC767" s="45"/>
      <c r="AD767" s="44"/>
      <c r="AE767" s="44"/>
      <c r="AF767" s="45"/>
      <c r="AG767" s="78"/>
      <c r="AH767" s="45"/>
      <c r="AI767" s="39"/>
      <c r="AJ767" s="39"/>
      <c r="AK767" s="39"/>
      <c r="AL767" s="35"/>
      <c r="AM767" s="34"/>
      <c r="AN767" s="34"/>
      <c r="AO767" s="39"/>
      <c r="AP767" s="47"/>
      <c r="AQ767" s="47"/>
      <c r="AR767" s="47"/>
      <c r="AS767" s="47"/>
    </row>
    <row r="768" spans="1:45" ht="12" customHeight="1" x14ac:dyDescent="0.25">
      <c r="A768" s="33">
        <f t="shared" si="92"/>
        <v>767</v>
      </c>
      <c r="B768" s="34"/>
      <c r="C768" s="34" t="s">
        <v>219</v>
      </c>
      <c r="D768" s="35" t="s">
        <v>827</v>
      </c>
      <c r="E768" s="34" t="s">
        <v>470</v>
      </c>
      <c r="F768" s="34" t="s">
        <v>0</v>
      </c>
      <c r="G768" s="16" t="s">
        <v>775</v>
      </c>
      <c r="H768" s="34">
        <v>30</v>
      </c>
      <c r="I768" s="34" t="s">
        <v>66</v>
      </c>
      <c r="J768" s="34" t="s">
        <v>3</v>
      </c>
      <c r="K768" s="35" t="s">
        <v>22</v>
      </c>
      <c r="L768" s="36" t="e">
        <f>VLOOKUP(G768,#REF!,4,0)</f>
        <v>#REF!</v>
      </c>
      <c r="M768" s="37" t="e">
        <f>_xlfn.IFNA(VLOOKUP(G768,#REF!,2,0),"")</f>
        <v>#REF!</v>
      </c>
      <c r="N768" s="38" t="e">
        <f>_xlfn.IFNA(VLOOKUP(G768,#REF!,3,0),"")</f>
        <v>#REF!</v>
      </c>
      <c r="O768" s="39">
        <v>1</v>
      </c>
      <c r="P768" s="79">
        <v>16.184049079754601</v>
      </c>
      <c r="Q768" s="39" t="s">
        <v>10</v>
      </c>
      <c r="R768" s="34">
        <v>5.5</v>
      </c>
      <c r="S768" s="38"/>
      <c r="T768" s="40"/>
      <c r="U768" s="41">
        <f t="shared" si="89"/>
        <v>89.012269938650306</v>
      </c>
      <c r="V768" s="42">
        <f t="shared" si="90"/>
        <v>2.9670756646216767</v>
      </c>
      <c r="W768" s="43">
        <f t="shared" si="91"/>
        <v>0.44284711412263833</v>
      </c>
      <c r="X768" s="38"/>
      <c r="Y768" s="38"/>
      <c r="Z768" s="44"/>
      <c r="AA768" s="45">
        <v>46186</v>
      </c>
      <c r="AB768" s="45">
        <v>46176</v>
      </c>
      <c r="AC768" s="45"/>
      <c r="AD768" s="44"/>
      <c r="AE768" s="44"/>
      <c r="AF768" s="45"/>
      <c r="AG768" s="78"/>
      <c r="AH768" s="45"/>
      <c r="AI768" s="39"/>
      <c r="AJ768" s="39"/>
      <c r="AK768" s="39"/>
      <c r="AL768" s="35"/>
      <c r="AM768" s="34"/>
      <c r="AN768" s="34"/>
      <c r="AO768" s="39"/>
      <c r="AP768" s="47"/>
      <c r="AQ768" s="47"/>
      <c r="AR768" s="47"/>
      <c r="AS768" s="47"/>
    </row>
    <row r="769" spans="1:45" ht="12" customHeight="1" x14ac:dyDescent="0.25">
      <c r="A769" s="33">
        <f t="shared" si="92"/>
        <v>768</v>
      </c>
      <c r="B769" s="34"/>
      <c r="C769" s="34" t="s">
        <v>823</v>
      </c>
      <c r="D769" s="35" t="s">
        <v>828</v>
      </c>
      <c r="E769" s="34" t="s">
        <v>58</v>
      </c>
      <c r="F769" s="34" t="s">
        <v>0</v>
      </c>
      <c r="G769" s="16" t="s">
        <v>64</v>
      </c>
      <c r="H769" s="34">
        <v>680</v>
      </c>
      <c r="I769" s="34" t="s">
        <v>62</v>
      </c>
      <c r="J769" s="34" t="s">
        <v>3</v>
      </c>
      <c r="K769" s="35" t="s">
        <v>15</v>
      </c>
      <c r="L769" s="36" t="e">
        <f>VLOOKUP(G769,#REF!,4,0)</f>
        <v>#REF!</v>
      </c>
      <c r="M769" s="37" t="e">
        <f>_xlfn.IFNA(VLOOKUP(G769,#REF!,2,0),"")</f>
        <v>#REF!</v>
      </c>
      <c r="N769" s="38" t="e">
        <f>_xlfn.IFNA(VLOOKUP(G769,#REF!,3,0),"")</f>
        <v>#REF!</v>
      </c>
      <c r="O769" s="39">
        <v>17</v>
      </c>
      <c r="P769" s="79">
        <v>226.95</v>
      </c>
      <c r="Q769" s="39" t="s">
        <v>10</v>
      </c>
      <c r="R769" s="34">
        <v>5.3</v>
      </c>
      <c r="S769" s="38">
        <v>200</v>
      </c>
      <c r="T769" s="40">
        <v>50.746268656716417</v>
      </c>
      <c r="U769" s="41">
        <f t="shared" si="89"/>
        <v>1253.5812686567162</v>
      </c>
      <c r="V769" s="42">
        <f t="shared" si="90"/>
        <v>1.8435018656716415</v>
      </c>
      <c r="W769" s="43">
        <f t="shared" si="91"/>
        <v>0.27514953218979726</v>
      </c>
      <c r="X769" s="38"/>
      <c r="Y769" s="38"/>
      <c r="Z769" s="44"/>
      <c r="AA769" s="45">
        <v>46185</v>
      </c>
      <c r="AB769" s="45"/>
      <c r="AC769" s="45"/>
      <c r="AD769" s="44"/>
      <c r="AE769" s="44"/>
      <c r="AF769" s="45"/>
      <c r="AG769" s="78"/>
      <c r="AH769" s="45"/>
      <c r="AI769" s="39"/>
      <c r="AJ769" s="39"/>
      <c r="AK769" s="39"/>
      <c r="AL769" s="35"/>
      <c r="AM769" s="34"/>
      <c r="AN769" s="34"/>
      <c r="AO769" s="39"/>
      <c r="AP769" s="47"/>
      <c r="AQ769" s="47"/>
      <c r="AR769" s="47"/>
      <c r="AS769" s="47"/>
    </row>
    <row r="770" spans="1:45" ht="12" customHeight="1" x14ac:dyDescent="0.25">
      <c r="A770" s="33">
        <f t="shared" si="92"/>
        <v>769</v>
      </c>
      <c r="B770" s="34"/>
      <c r="C770" s="34" t="s">
        <v>823</v>
      </c>
      <c r="D770" s="35" t="s">
        <v>828</v>
      </c>
      <c r="E770" s="34" t="s">
        <v>58</v>
      </c>
      <c r="F770" s="34" t="s">
        <v>0</v>
      </c>
      <c r="G770" s="16" t="s">
        <v>97</v>
      </c>
      <c r="H770" s="34">
        <v>200</v>
      </c>
      <c r="I770" s="34" t="s">
        <v>62</v>
      </c>
      <c r="J770" s="34" t="s">
        <v>3</v>
      </c>
      <c r="K770" s="35" t="s">
        <v>15</v>
      </c>
      <c r="L770" s="36" t="e">
        <f>VLOOKUP(G770,#REF!,4,0)</f>
        <v>#REF!</v>
      </c>
      <c r="M770" s="37" t="e">
        <f>_xlfn.IFNA(VLOOKUP(G770,#REF!,2,0),"")</f>
        <v>#REF!</v>
      </c>
      <c r="N770" s="38" t="e">
        <f>_xlfn.IFNA(VLOOKUP(G770,#REF!,3,0),"")</f>
        <v>#REF!</v>
      </c>
      <c r="O770" s="39">
        <v>5</v>
      </c>
      <c r="P770" s="79">
        <v>66.75</v>
      </c>
      <c r="Q770" s="39" t="s">
        <v>10</v>
      </c>
      <c r="R770" s="34">
        <v>5.3</v>
      </c>
      <c r="S770" s="48">
        <v>200</v>
      </c>
      <c r="T770" s="40">
        <v>14.925373134328359</v>
      </c>
      <c r="U770" s="41">
        <f t="shared" si="89"/>
        <v>368.70037313432834</v>
      </c>
      <c r="V770" s="42">
        <f t="shared" si="90"/>
        <v>1.8435018656716418</v>
      </c>
      <c r="W770" s="43">
        <f t="shared" si="91"/>
        <v>0.27514953218979726</v>
      </c>
      <c r="X770" s="38"/>
      <c r="Y770" s="38"/>
      <c r="Z770" s="44"/>
      <c r="AA770" s="45">
        <v>46185</v>
      </c>
      <c r="AB770" s="45"/>
      <c r="AC770" s="45"/>
      <c r="AD770" s="44"/>
      <c r="AE770" s="44"/>
      <c r="AF770" s="45"/>
      <c r="AG770" s="78"/>
      <c r="AH770" s="45"/>
      <c r="AI770" s="39"/>
      <c r="AJ770" s="39"/>
      <c r="AK770" s="39"/>
      <c r="AL770" s="35"/>
      <c r="AM770" s="34"/>
      <c r="AN770" s="34"/>
      <c r="AO770" s="39"/>
      <c r="AP770" s="47"/>
      <c r="AQ770" s="47"/>
      <c r="AR770" s="47"/>
      <c r="AS770" s="47"/>
    </row>
    <row r="771" spans="1:45" ht="12" customHeight="1" x14ac:dyDescent="0.25">
      <c r="A771" s="33">
        <f t="shared" si="92"/>
        <v>770</v>
      </c>
      <c r="B771" s="34"/>
      <c r="C771" s="34" t="s">
        <v>823</v>
      </c>
      <c r="D771" s="35" t="s">
        <v>828</v>
      </c>
      <c r="E771" s="34" t="s">
        <v>58</v>
      </c>
      <c r="F771" s="34" t="s">
        <v>0</v>
      </c>
      <c r="G771" s="16" t="s">
        <v>149</v>
      </c>
      <c r="H771" s="34">
        <v>440</v>
      </c>
      <c r="I771" s="34" t="s">
        <v>62</v>
      </c>
      <c r="J771" s="34" t="s">
        <v>3</v>
      </c>
      <c r="K771" s="35" t="s">
        <v>15</v>
      </c>
      <c r="L771" s="36" t="e">
        <f>VLOOKUP(G771,#REF!,4,0)</f>
        <v>#REF!</v>
      </c>
      <c r="M771" s="37" t="e">
        <f>_xlfn.IFNA(VLOOKUP(G771,#REF!,2,0),"")</f>
        <v>#REF!</v>
      </c>
      <c r="N771" s="38" t="e">
        <f>_xlfn.IFNA(VLOOKUP(G771,#REF!,3,0),"")</f>
        <v>#REF!</v>
      </c>
      <c r="O771" s="39">
        <v>11</v>
      </c>
      <c r="P771" s="79">
        <v>146.85</v>
      </c>
      <c r="Q771" s="39" t="s">
        <v>10</v>
      </c>
      <c r="R771" s="34">
        <v>5.3</v>
      </c>
      <c r="S771" s="38"/>
      <c r="T771" s="40">
        <v>32.835820895522389</v>
      </c>
      <c r="U771" s="41">
        <f t="shared" si="89"/>
        <v>811.14082089552232</v>
      </c>
      <c r="V771" s="42">
        <f t="shared" si="90"/>
        <v>1.8435018656716415</v>
      </c>
      <c r="W771" s="43">
        <f t="shared" si="91"/>
        <v>0.27514953218979726</v>
      </c>
      <c r="X771" s="38"/>
      <c r="Y771" s="38"/>
      <c r="Z771" s="44"/>
      <c r="AA771" s="45">
        <v>46185</v>
      </c>
      <c r="AB771" s="45"/>
      <c r="AC771" s="45"/>
      <c r="AD771" s="44"/>
      <c r="AE771" s="44"/>
      <c r="AF771" s="45"/>
      <c r="AG771" s="78"/>
      <c r="AH771" s="45"/>
      <c r="AI771" s="39"/>
      <c r="AJ771" s="39"/>
      <c r="AK771" s="39"/>
      <c r="AL771" s="35"/>
      <c r="AM771" s="34"/>
      <c r="AN771" s="34"/>
      <c r="AO771" s="39"/>
      <c r="AP771" s="47"/>
      <c r="AQ771" s="47"/>
      <c r="AR771" s="47"/>
      <c r="AS771" s="47"/>
    </row>
    <row r="772" spans="1:45" ht="12" customHeight="1" x14ac:dyDescent="0.25">
      <c r="A772" s="33">
        <f t="shared" si="92"/>
        <v>771</v>
      </c>
      <c r="B772" s="34"/>
      <c r="C772" s="34" t="s">
        <v>823</v>
      </c>
      <c r="D772" s="35" t="s">
        <v>828</v>
      </c>
      <c r="E772" s="34" t="s">
        <v>58</v>
      </c>
      <c r="F772" s="34" t="s">
        <v>0</v>
      </c>
      <c r="G772" s="16" t="s">
        <v>65</v>
      </c>
      <c r="H772" s="34">
        <v>200</v>
      </c>
      <c r="I772" s="34" t="s">
        <v>62</v>
      </c>
      <c r="J772" s="34" t="s">
        <v>3</v>
      </c>
      <c r="K772" s="35" t="s">
        <v>15</v>
      </c>
      <c r="L772" s="36" t="e">
        <f>VLOOKUP(G772,#REF!,4,0)</f>
        <v>#REF!</v>
      </c>
      <c r="M772" s="37" t="e">
        <f>_xlfn.IFNA(VLOOKUP(G772,#REF!,2,0),"")</f>
        <v>#REF!</v>
      </c>
      <c r="N772" s="38" t="e">
        <f>_xlfn.IFNA(VLOOKUP(G772,#REF!,3,0),"")</f>
        <v>#REF!</v>
      </c>
      <c r="O772" s="39">
        <v>5</v>
      </c>
      <c r="P772" s="79">
        <v>66.75</v>
      </c>
      <c r="Q772" s="39" t="s">
        <v>10</v>
      </c>
      <c r="R772" s="34">
        <v>5.3</v>
      </c>
      <c r="S772" s="38"/>
      <c r="T772" s="40">
        <v>14.925373134328359</v>
      </c>
      <c r="U772" s="41">
        <f t="shared" si="89"/>
        <v>368.70037313432834</v>
      </c>
      <c r="V772" s="42">
        <f t="shared" si="90"/>
        <v>1.8435018656716418</v>
      </c>
      <c r="W772" s="43">
        <f t="shared" si="91"/>
        <v>0.27514953218979726</v>
      </c>
      <c r="X772" s="38"/>
      <c r="Y772" s="38"/>
      <c r="Z772" s="44"/>
      <c r="AA772" s="45">
        <v>46185</v>
      </c>
      <c r="AB772" s="45"/>
      <c r="AC772" s="45"/>
      <c r="AD772" s="44"/>
      <c r="AE772" s="44"/>
      <c r="AF772" s="45"/>
      <c r="AG772" s="78"/>
      <c r="AH772" s="45"/>
      <c r="AI772" s="39"/>
      <c r="AJ772" s="39"/>
      <c r="AK772" s="39"/>
      <c r="AL772" s="35"/>
      <c r="AM772" s="34"/>
      <c r="AN772" s="34"/>
      <c r="AO772" s="39"/>
      <c r="AP772" s="47"/>
      <c r="AQ772" s="47"/>
      <c r="AR772" s="47"/>
      <c r="AS772" s="47"/>
    </row>
    <row r="773" spans="1:45" ht="12" customHeight="1" x14ac:dyDescent="0.25">
      <c r="A773" s="33">
        <f t="shared" si="92"/>
        <v>772</v>
      </c>
      <c r="B773" s="34"/>
      <c r="C773" s="34" t="s">
        <v>823</v>
      </c>
      <c r="D773" s="35" t="s">
        <v>828</v>
      </c>
      <c r="E773" s="34" t="s">
        <v>58</v>
      </c>
      <c r="F773" s="34" t="s">
        <v>0</v>
      </c>
      <c r="G773" s="16" t="s">
        <v>135</v>
      </c>
      <c r="H773" s="34">
        <v>80</v>
      </c>
      <c r="I773" s="34" t="s">
        <v>62</v>
      </c>
      <c r="J773" s="34" t="s">
        <v>3</v>
      </c>
      <c r="K773" s="35" t="s">
        <v>15</v>
      </c>
      <c r="L773" s="36" t="e">
        <f>VLOOKUP(G773,#REF!,4,0)</f>
        <v>#REF!</v>
      </c>
      <c r="M773" s="37" t="e">
        <f>_xlfn.IFNA(VLOOKUP(G773,#REF!,2,0),"")</f>
        <v>#REF!</v>
      </c>
      <c r="N773" s="38" t="e">
        <f>_xlfn.IFNA(VLOOKUP(G773,#REF!,3,0),"")</f>
        <v>#REF!</v>
      </c>
      <c r="O773" s="39">
        <v>2</v>
      </c>
      <c r="P773" s="79">
        <v>26.7</v>
      </c>
      <c r="Q773" s="39" t="s">
        <v>10</v>
      </c>
      <c r="R773" s="34">
        <v>5.3</v>
      </c>
      <c r="S773" s="38"/>
      <c r="T773" s="40">
        <v>5.9701492537313436</v>
      </c>
      <c r="U773" s="41">
        <f t="shared" si="89"/>
        <v>147.48014925373133</v>
      </c>
      <c r="V773" s="42">
        <f t="shared" si="90"/>
        <v>1.8435018656716415</v>
      </c>
      <c r="W773" s="43">
        <f t="shared" si="91"/>
        <v>0.27514953218979726</v>
      </c>
      <c r="X773" s="38"/>
      <c r="Y773" s="38"/>
      <c r="Z773" s="44"/>
      <c r="AA773" s="45">
        <v>46185</v>
      </c>
      <c r="AB773" s="45"/>
      <c r="AC773" s="45"/>
      <c r="AD773" s="44"/>
      <c r="AE773" s="44"/>
      <c r="AF773" s="45"/>
      <c r="AG773" s="78"/>
      <c r="AH773" s="45"/>
      <c r="AI773" s="39"/>
      <c r="AJ773" s="39"/>
      <c r="AK773" s="39"/>
      <c r="AL773" s="35"/>
      <c r="AM773" s="34"/>
      <c r="AN773" s="34"/>
      <c r="AO773" s="39"/>
      <c r="AP773" s="47"/>
      <c r="AQ773" s="47"/>
      <c r="AR773" s="47"/>
      <c r="AS773" s="47"/>
    </row>
    <row r="774" spans="1:45" ht="12" customHeight="1" x14ac:dyDescent="0.25">
      <c r="A774" s="33">
        <f t="shared" si="92"/>
        <v>773</v>
      </c>
      <c r="B774" s="34"/>
      <c r="C774" s="34" t="s">
        <v>826</v>
      </c>
      <c r="D774" s="35" t="s">
        <v>829</v>
      </c>
      <c r="E774" s="34" t="s">
        <v>470</v>
      </c>
      <c r="F774" s="34" t="s">
        <v>0</v>
      </c>
      <c r="G774" s="16" t="s">
        <v>677</v>
      </c>
      <c r="H774" s="34">
        <v>450</v>
      </c>
      <c r="I774" s="34" t="s">
        <v>66</v>
      </c>
      <c r="J774" s="34" t="s">
        <v>3</v>
      </c>
      <c r="K774" s="35" t="s">
        <v>22</v>
      </c>
      <c r="L774" s="36" t="e">
        <f>VLOOKUP(G774,#REF!,4,0)</f>
        <v>#REF!</v>
      </c>
      <c r="M774" s="37" t="e">
        <f>_xlfn.IFNA(VLOOKUP(G774,#REF!,2,0),"")</f>
        <v>#REF!</v>
      </c>
      <c r="N774" s="38" t="e">
        <f>_xlfn.IFNA(VLOOKUP(G774,#REF!,3,0),"")</f>
        <v>#REF!</v>
      </c>
      <c r="O774" s="39">
        <v>50</v>
      </c>
      <c r="P774" s="79">
        <v>852</v>
      </c>
      <c r="Q774" s="39" t="s">
        <v>10</v>
      </c>
      <c r="R774" s="34">
        <v>5.5</v>
      </c>
      <c r="S774" s="38">
        <v>200</v>
      </c>
      <c r="T774" s="40">
        <v>47.169811320754718</v>
      </c>
      <c r="U774" s="41">
        <f t="shared" si="89"/>
        <v>4733.1698113207549</v>
      </c>
      <c r="V774" s="42">
        <f t="shared" si="90"/>
        <v>10.518155136268344</v>
      </c>
      <c r="W774" s="43">
        <f t="shared" si="91"/>
        <v>1.5698739009355738</v>
      </c>
      <c r="X774" s="38"/>
      <c r="Y774" s="38"/>
      <c r="Z774" s="44"/>
      <c r="AA774" s="45">
        <v>46184</v>
      </c>
      <c r="AB774" s="45">
        <v>46206</v>
      </c>
      <c r="AC774" s="45"/>
      <c r="AD774" s="44"/>
      <c r="AE774" s="44"/>
      <c r="AF774" s="45"/>
      <c r="AG774" s="78"/>
      <c r="AH774" s="45"/>
      <c r="AI774" s="39"/>
      <c r="AJ774" s="39"/>
      <c r="AK774" s="39"/>
      <c r="AL774" s="35"/>
      <c r="AM774" s="34"/>
      <c r="AN774" s="34"/>
      <c r="AO774" s="39"/>
      <c r="AP774" s="47"/>
      <c r="AQ774" s="47"/>
      <c r="AR774" s="47"/>
      <c r="AS774" s="47"/>
    </row>
    <row r="775" spans="1:45" ht="12" customHeight="1" x14ac:dyDescent="0.25">
      <c r="A775" s="33">
        <f t="shared" si="92"/>
        <v>774</v>
      </c>
      <c r="B775" s="34"/>
      <c r="C775" s="34" t="s">
        <v>830</v>
      </c>
      <c r="D775" s="35" t="s">
        <v>831</v>
      </c>
      <c r="E775" s="34" t="s">
        <v>58</v>
      </c>
      <c r="F775" s="34" t="s">
        <v>0</v>
      </c>
      <c r="G775" s="16" t="s">
        <v>53</v>
      </c>
      <c r="H775" s="34">
        <v>300</v>
      </c>
      <c r="I775" s="34" t="s">
        <v>62</v>
      </c>
      <c r="J775" s="34" t="s">
        <v>3</v>
      </c>
      <c r="K775" s="35" t="s">
        <v>4</v>
      </c>
      <c r="L775" s="36" t="e">
        <f>VLOOKUP(G775,#REF!,4,0)</f>
        <v>#REF!</v>
      </c>
      <c r="M775" s="37" t="e">
        <f>_xlfn.IFNA(VLOOKUP(G775,#REF!,2,0),"")</f>
        <v>#REF!</v>
      </c>
      <c r="N775" s="38" t="e">
        <f>_xlfn.IFNA(VLOOKUP(G775,#REF!,3,0),"")</f>
        <v>#REF!</v>
      </c>
      <c r="O775" s="39">
        <v>25</v>
      </c>
      <c r="P775" s="79">
        <v>356.63265306122452</v>
      </c>
      <c r="Q775" s="39" t="s">
        <v>10</v>
      </c>
      <c r="R775" s="34">
        <v>5.5</v>
      </c>
      <c r="S775" s="38">
        <v>200</v>
      </c>
      <c r="T775" s="40">
        <v>102.04081632653062</v>
      </c>
      <c r="U775" s="41">
        <f t="shared" si="89"/>
        <v>2063.5204081632655</v>
      </c>
      <c r="V775" s="42">
        <f t="shared" si="90"/>
        <v>6.8784013605442187</v>
      </c>
      <c r="W775" s="43">
        <f t="shared" si="91"/>
        <v>1.0266270687379431</v>
      </c>
      <c r="X775" s="38"/>
      <c r="Y775" s="38"/>
      <c r="Z775" s="44"/>
      <c r="AA775" s="45">
        <v>46184</v>
      </c>
      <c r="AB775" s="45">
        <v>46210</v>
      </c>
      <c r="AC775" s="45"/>
      <c r="AD775" s="44"/>
      <c r="AE775" s="44"/>
      <c r="AF775" s="45"/>
      <c r="AG775" s="78"/>
      <c r="AH775" s="45"/>
      <c r="AI775" s="39"/>
      <c r="AJ775" s="39"/>
      <c r="AK775" s="39"/>
      <c r="AL775" s="35"/>
      <c r="AM775" s="34"/>
      <c r="AN775" s="34"/>
      <c r="AO775" s="39"/>
      <c r="AP775" s="47"/>
      <c r="AQ775" s="47"/>
      <c r="AR775" s="47"/>
      <c r="AS775" s="47"/>
    </row>
    <row r="776" spans="1:45" ht="12" customHeight="1" x14ac:dyDescent="0.25">
      <c r="A776" s="33">
        <f t="shared" si="92"/>
        <v>775</v>
      </c>
      <c r="B776" s="34"/>
      <c r="C776" s="34" t="s">
        <v>830</v>
      </c>
      <c r="D776" s="35" t="s">
        <v>831</v>
      </c>
      <c r="E776" s="34" t="s">
        <v>58</v>
      </c>
      <c r="F776" s="34" t="s">
        <v>0</v>
      </c>
      <c r="G776" s="16" t="s">
        <v>57</v>
      </c>
      <c r="H776" s="34">
        <v>288</v>
      </c>
      <c r="I776" s="34" t="s">
        <v>62</v>
      </c>
      <c r="J776" s="34" t="s">
        <v>3</v>
      </c>
      <c r="K776" s="35" t="s">
        <v>4</v>
      </c>
      <c r="L776" s="36" t="e">
        <f>VLOOKUP(G776,#REF!,4,0)</f>
        <v>#REF!</v>
      </c>
      <c r="M776" s="37" t="e">
        <f>_xlfn.IFNA(VLOOKUP(G776,#REF!,2,0),"")</f>
        <v>#REF!</v>
      </c>
      <c r="N776" s="38" t="e">
        <f>_xlfn.IFNA(VLOOKUP(G776,#REF!,3,0),"")</f>
        <v>#REF!</v>
      </c>
      <c r="O776" s="39">
        <v>24</v>
      </c>
      <c r="P776" s="79">
        <v>342.36734693877554</v>
      </c>
      <c r="Q776" s="39" t="s">
        <v>10</v>
      </c>
      <c r="R776" s="34">
        <v>5.5</v>
      </c>
      <c r="S776" s="48">
        <v>200</v>
      </c>
      <c r="T776" s="40">
        <v>97.959183673469383</v>
      </c>
      <c r="U776" s="41">
        <f t="shared" si="89"/>
        <v>1980.9795918367349</v>
      </c>
      <c r="V776" s="42">
        <f t="shared" si="90"/>
        <v>6.8784013605442187</v>
      </c>
      <c r="W776" s="43">
        <f t="shared" si="91"/>
        <v>1.0266270687379431</v>
      </c>
      <c r="X776" s="38"/>
      <c r="Y776" s="38"/>
      <c r="Z776" s="44"/>
      <c r="AA776" s="45">
        <v>46184</v>
      </c>
      <c r="AB776" s="45">
        <v>46210</v>
      </c>
      <c r="AC776" s="45"/>
      <c r="AD776" s="44"/>
      <c r="AE776" s="44"/>
      <c r="AF776" s="45"/>
      <c r="AG776" s="78"/>
      <c r="AH776" s="45"/>
      <c r="AI776" s="39"/>
      <c r="AJ776" s="39"/>
      <c r="AK776" s="39"/>
      <c r="AL776" s="35"/>
      <c r="AM776" s="34"/>
      <c r="AN776" s="34"/>
      <c r="AO776" s="39"/>
      <c r="AP776" s="47"/>
      <c r="AQ776" s="47"/>
      <c r="AR776" s="47"/>
      <c r="AS776" s="47"/>
    </row>
    <row r="777" spans="1:45" ht="12" customHeight="1" x14ac:dyDescent="0.25">
      <c r="A777" s="33">
        <f t="shared" si="92"/>
        <v>776</v>
      </c>
      <c r="B777" s="34"/>
      <c r="C777" s="34" t="s">
        <v>821</v>
      </c>
      <c r="D777" s="35" t="s">
        <v>832</v>
      </c>
      <c r="E777" s="34" t="s">
        <v>58</v>
      </c>
      <c r="F777" s="34" t="s">
        <v>0</v>
      </c>
      <c r="G777" s="16" t="s">
        <v>241</v>
      </c>
      <c r="H777" s="34">
        <v>192</v>
      </c>
      <c r="I777" s="34" t="s">
        <v>66</v>
      </c>
      <c r="J777" s="34" t="s">
        <v>3</v>
      </c>
      <c r="K777" s="35" t="s">
        <v>7</v>
      </c>
      <c r="L777" s="36" t="e">
        <f>VLOOKUP(G777,#REF!,4,0)</f>
        <v>#REF!</v>
      </c>
      <c r="M777" s="37" t="e">
        <f>_xlfn.IFNA(VLOOKUP(G777,#REF!,2,0),"")</f>
        <v>#REF!</v>
      </c>
      <c r="N777" s="38" t="e">
        <f>_xlfn.IFNA(VLOOKUP(G777,#REF!,3,0),"")</f>
        <v>#REF!</v>
      </c>
      <c r="O777" s="39">
        <v>16</v>
      </c>
      <c r="P777" s="79">
        <v>278.76923076923077</v>
      </c>
      <c r="Q777" s="39" t="s">
        <v>10</v>
      </c>
      <c r="R777" s="34">
        <v>5.5</v>
      </c>
      <c r="S777" s="38"/>
      <c r="T777" s="40">
        <v>55.172413793103445</v>
      </c>
      <c r="U777" s="41">
        <f t="shared" si="89"/>
        <v>1588.4031830238728</v>
      </c>
      <c r="V777" s="42">
        <f t="shared" si="90"/>
        <v>8.272933244916004</v>
      </c>
      <c r="W777" s="43">
        <f t="shared" si="91"/>
        <v>1.2347661559576124</v>
      </c>
      <c r="X777" s="38"/>
      <c r="Y777" s="38"/>
      <c r="Z777" s="44"/>
      <c r="AA777" s="45">
        <v>46184</v>
      </c>
      <c r="AB777" s="45">
        <v>46206</v>
      </c>
      <c r="AC777" s="45"/>
      <c r="AD777" s="44"/>
      <c r="AE777" s="44"/>
      <c r="AF777" s="45"/>
      <c r="AG777" s="78"/>
      <c r="AH777" s="45"/>
      <c r="AI777" s="39"/>
      <c r="AJ777" s="39"/>
      <c r="AK777" s="39"/>
      <c r="AL777" s="35"/>
      <c r="AM777" s="34"/>
      <c r="AN777" s="34"/>
      <c r="AO777" s="39"/>
      <c r="AP777" s="47"/>
      <c r="AQ777" s="47"/>
      <c r="AR777" s="47"/>
      <c r="AS777" s="47"/>
    </row>
    <row r="778" spans="1:45" ht="12" customHeight="1" x14ac:dyDescent="0.25">
      <c r="A778" s="33">
        <f t="shared" si="92"/>
        <v>777</v>
      </c>
      <c r="B778" s="34"/>
      <c r="C778" s="34" t="s">
        <v>821</v>
      </c>
      <c r="D778" s="35" t="s">
        <v>832</v>
      </c>
      <c r="E778" s="34" t="s">
        <v>58</v>
      </c>
      <c r="F778" s="34" t="s">
        <v>0</v>
      </c>
      <c r="G778" s="16" t="s">
        <v>240</v>
      </c>
      <c r="H778" s="34">
        <v>120</v>
      </c>
      <c r="I778" s="34" t="s">
        <v>66</v>
      </c>
      <c r="J778" s="34" t="s">
        <v>3</v>
      </c>
      <c r="K778" s="35" t="s">
        <v>7</v>
      </c>
      <c r="L778" s="36" t="e">
        <f>VLOOKUP(G778,#REF!,4,0)</f>
        <v>#REF!</v>
      </c>
      <c r="M778" s="37" t="e">
        <f>_xlfn.IFNA(VLOOKUP(G778,#REF!,2,0),"")</f>
        <v>#REF!</v>
      </c>
      <c r="N778" s="38" t="e">
        <f>_xlfn.IFNA(VLOOKUP(G778,#REF!,3,0),"")</f>
        <v>#REF!</v>
      </c>
      <c r="O778" s="39">
        <v>10</v>
      </c>
      <c r="P778" s="79">
        <v>174.23076923076923</v>
      </c>
      <c r="Q778" s="39" t="s">
        <v>10</v>
      </c>
      <c r="R778" s="34">
        <v>5.5</v>
      </c>
      <c r="S778" s="38"/>
      <c r="T778" s="40">
        <v>34.482758620689658</v>
      </c>
      <c r="U778" s="41">
        <f t="shared" si="89"/>
        <v>992.75198938992037</v>
      </c>
      <c r="V778" s="42">
        <f t="shared" si="90"/>
        <v>8.2729332449160022</v>
      </c>
      <c r="W778" s="43">
        <f t="shared" si="91"/>
        <v>1.2347661559576122</v>
      </c>
      <c r="X778" s="38"/>
      <c r="Y778" s="38"/>
      <c r="Z778" s="44"/>
      <c r="AA778" s="45">
        <v>46184</v>
      </c>
      <c r="AB778" s="45">
        <v>46206</v>
      </c>
      <c r="AC778" s="45"/>
      <c r="AD778" s="44"/>
      <c r="AE778" s="44"/>
      <c r="AF778" s="45"/>
      <c r="AG778" s="78"/>
      <c r="AH778" s="45"/>
      <c r="AI778" s="39"/>
      <c r="AJ778" s="39"/>
      <c r="AK778" s="39"/>
      <c r="AL778" s="35"/>
      <c r="AM778" s="34"/>
      <c r="AN778" s="34"/>
      <c r="AO778" s="39"/>
      <c r="AP778" s="47"/>
      <c r="AQ778" s="47"/>
      <c r="AR778" s="47"/>
      <c r="AS778" s="47"/>
    </row>
    <row r="779" spans="1:45" ht="12" customHeight="1" x14ac:dyDescent="0.25">
      <c r="A779" s="33">
        <f t="shared" si="92"/>
        <v>778</v>
      </c>
      <c r="B779" s="34"/>
      <c r="C779" s="34" t="s">
        <v>833</v>
      </c>
      <c r="D779" s="35" t="s">
        <v>834</v>
      </c>
      <c r="E779" s="34" t="s">
        <v>470</v>
      </c>
      <c r="F779" s="34" t="s">
        <v>0</v>
      </c>
      <c r="G779" s="16" t="s">
        <v>238</v>
      </c>
      <c r="H779" s="34">
        <v>128</v>
      </c>
      <c r="I779" s="34" t="s">
        <v>62</v>
      </c>
      <c r="J779" s="34" t="s">
        <v>3</v>
      </c>
      <c r="K779" s="35" t="s">
        <v>11</v>
      </c>
      <c r="L779" s="36" t="e">
        <f>VLOOKUP(G779,#REF!,4,0)</f>
        <v>#REF!</v>
      </c>
      <c r="M779" s="37" t="e">
        <f>_xlfn.IFNA(VLOOKUP(G779,#REF!,2,0),"")</f>
        <v>#REF!</v>
      </c>
      <c r="N779" s="38" t="e">
        <f>_xlfn.IFNA(VLOOKUP(G779,#REF!,3,0),"")</f>
        <v>#REF!</v>
      </c>
      <c r="O779" s="39">
        <v>4</v>
      </c>
      <c r="P779" s="79">
        <v>57.714285714285715</v>
      </c>
      <c r="Q779" s="39" t="s">
        <v>10</v>
      </c>
      <c r="R779" s="34">
        <v>6.6</v>
      </c>
      <c r="S779" s="38">
        <v>200</v>
      </c>
      <c r="T779" s="40">
        <v>57.142857142857146</v>
      </c>
      <c r="U779" s="41">
        <f t="shared" si="89"/>
        <v>438.05714285714288</v>
      </c>
      <c r="V779" s="42">
        <f t="shared" si="90"/>
        <v>3.4223214285714287</v>
      </c>
      <c r="W779" s="43">
        <f t="shared" si="91"/>
        <v>0.51079424307036247</v>
      </c>
      <c r="X779" s="38"/>
      <c r="Y779" s="38"/>
      <c r="Z779" s="44"/>
      <c r="AA779" s="45">
        <v>46184</v>
      </c>
      <c r="AB779" s="45">
        <v>46210</v>
      </c>
      <c r="AC779" s="45"/>
      <c r="AD779" s="44"/>
      <c r="AE779" s="44"/>
      <c r="AF779" s="45"/>
      <c r="AG779" s="78"/>
      <c r="AH779" s="45"/>
      <c r="AI779" s="39"/>
      <c r="AJ779" s="39"/>
      <c r="AK779" s="39"/>
      <c r="AL779" s="35"/>
      <c r="AM779" s="34"/>
      <c r="AN779" s="34"/>
      <c r="AO779" s="39"/>
      <c r="AP779" s="47"/>
      <c r="AQ779" s="47"/>
      <c r="AR779" s="47"/>
      <c r="AS779" s="47"/>
    </row>
    <row r="780" spans="1:45" ht="12" customHeight="1" x14ac:dyDescent="0.25">
      <c r="A780" s="33">
        <f t="shared" si="92"/>
        <v>779</v>
      </c>
      <c r="B780" s="34"/>
      <c r="C780" s="34" t="s">
        <v>833</v>
      </c>
      <c r="D780" s="35" t="s">
        <v>834</v>
      </c>
      <c r="E780" s="34" t="s">
        <v>470</v>
      </c>
      <c r="F780" s="34" t="s">
        <v>0</v>
      </c>
      <c r="G780" s="16" t="s">
        <v>239</v>
      </c>
      <c r="H780" s="34">
        <v>320</v>
      </c>
      <c r="I780" s="34" t="s">
        <v>62</v>
      </c>
      <c r="J780" s="34" t="s">
        <v>3</v>
      </c>
      <c r="K780" s="35" t="s">
        <v>11</v>
      </c>
      <c r="L780" s="36" t="e">
        <f>VLOOKUP(G780,#REF!,4,0)</f>
        <v>#REF!</v>
      </c>
      <c r="M780" s="37" t="e">
        <f>_xlfn.IFNA(VLOOKUP(G780,#REF!,2,0),"")</f>
        <v>#REF!</v>
      </c>
      <c r="N780" s="38" t="e">
        <f>_xlfn.IFNA(VLOOKUP(G780,#REF!,3,0),"")</f>
        <v>#REF!</v>
      </c>
      <c r="O780" s="39">
        <v>10</v>
      </c>
      <c r="P780" s="79">
        <v>144.28571428571428</v>
      </c>
      <c r="Q780" s="39" t="s">
        <v>10</v>
      </c>
      <c r="R780" s="34">
        <v>6.6</v>
      </c>
      <c r="S780" s="48">
        <v>200</v>
      </c>
      <c r="T780" s="40">
        <v>142.85714285714286</v>
      </c>
      <c r="U780" s="41">
        <f t="shared" si="89"/>
        <v>1095.1428571428571</v>
      </c>
      <c r="V780" s="42">
        <f t="shared" si="90"/>
        <v>3.4223214285714283</v>
      </c>
      <c r="W780" s="43">
        <f t="shared" si="91"/>
        <v>0.51079424307036236</v>
      </c>
      <c r="X780" s="38"/>
      <c r="Y780" s="38"/>
      <c r="Z780" s="44"/>
      <c r="AA780" s="45">
        <v>46184</v>
      </c>
      <c r="AB780" s="45">
        <v>46210</v>
      </c>
      <c r="AC780" s="45"/>
      <c r="AD780" s="44"/>
      <c r="AE780" s="44"/>
      <c r="AF780" s="45"/>
      <c r="AG780" s="78"/>
      <c r="AH780" s="45"/>
      <c r="AI780" s="39"/>
      <c r="AJ780" s="39"/>
      <c r="AK780" s="39"/>
      <c r="AL780" s="35"/>
      <c r="AM780" s="34"/>
      <c r="AN780" s="34"/>
      <c r="AO780" s="39"/>
      <c r="AP780" s="47"/>
      <c r="AQ780" s="47"/>
      <c r="AR780" s="47"/>
      <c r="AS780" s="47"/>
    </row>
    <row r="781" spans="1:45" ht="12" customHeight="1" x14ac:dyDescent="0.25">
      <c r="A781" s="33">
        <f t="shared" si="92"/>
        <v>780</v>
      </c>
      <c r="B781" s="34" t="s">
        <v>843</v>
      </c>
      <c r="C781" s="34" t="s">
        <v>208</v>
      </c>
      <c r="D781" s="35" t="s">
        <v>835</v>
      </c>
      <c r="E781" s="34" t="s">
        <v>61</v>
      </c>
      <c r="F781" s="34" t="s">
        <v>0</v>
      </c>
      <c r="G781" s="16" t="s">
        <v>174</v>
      </c>
      <c r="H781" s="34">
        <v>90</v>
      </c>
      <c r="I781" s="34" t="s">
        <v>218</v>
      </c>
      <c r="J781" s="34" t="s">
        <v>3</v>
      </c>
      <c r="K781" s="35" t="s">
        <v>22</v>
      </c>
      <c r="L781" s="36" t="e">
        <f>VLOOKUP(G781,#REF!,4,0)</f>
        <v>#REF!</v>
      </c>
      <c r="M781" s="37" t="e">
        <f>_xlfn.IFNA(VLOOKUP(G781,#REF!,2,0),"")</f>
        <v>#REF!</v>
      </c>
      <c r="N781" s="38" t="e">
        <f>_xlfn.IFNA(VLOOKUP(G781,#REF!,3,0),"")</f>
        <v>#REF!</v>
      </c>
      <c r="O781" s="39">
        <v>1</v>
      </c>
      <c r="P781" s="79">
        <v>7.1428571428571425E-2</v>
      </c>
      <c r="Q781" s="39" t="s">
        <v>420</v>
      </c>
      <c r="R781" s="34">
        <v>1400</v>
      </c>
      <c r="S781" s="38">
        <v>180</v>
      </c>
      <c r="T781" s="40">
        <v>25.714285714285715</v>
      </c>
      <c r="U781" s="41">
        <f t="shared" si="89"/>
        <v>125.71428571428572</v>
      </c>
      <c r="V781" s="42">
        <f t="shared" si="90"/>
        <v>1.396825396825397</v>
      </c>
      <c r="W781" s="43">
        <f t="shared" si="91"/>
        <v>0.20848140251125327</v>
      </c>
      <c r="X781" s="38"/>
      <c r="Y781" s="38"/>
      <c r="Z781" s="44"/>
      <c r="AA781" s="45">
        <v>46185</v>
      </c>
      <c r="AB781" s="45"/>
      <c r="AC781" s="45"/>
      <c r="AD781" s="44"/>
      <c r="AE781" s="44"/>
      <c r="AF781" s="45"/>
      <c r="AG781" s="78"/>
      <c r="AH781" s="45"/>
      <c r="AI781" s="39"/>
      <c r="AJ781" s="39"/>
      <c r="AK781" s="39"/>
      <c r="AL781" s="35"/>
      <c r="AM781" s="34"/>
      <c r="AN781" s="34"/>
      <c r="AO781" s="39"/>
      <c r="AP781" s="47"/>
      <c r="AQ781" s="47"/>
      <c r="AR781" s="47"/>
      <c r="AS781" s="47"/>
    </row>
    <row r="782" spans="1:45" ht="12" customHeight="1" x14ac:dyDescent="0.25">
      <c r="A782" s="33">
        <f t="shared" si="92"/>
        <v>781</v>
      </c>
      <c r="B782" s="34" t="s">
        <v>843</v>
      </c>
      <c r="C782" s="34" t="s">
        <v>208</v>
      </c>
      <c r="D782" s="35" t="s">
        <v>835</v>
      </c>
      <c r="E782" s="34" t="s">
        <v>61</v>
      </c>
      <c r="F782" s="34" t="s">
        <v>0</v>
      </c>
      <c r="G782" s="16" t="s">
        <v>175</v>
      </c>
      <c r="H782" s="34">
        <v>180</v>
      </c>
      <c r="I782" s="34" t="s">
        <v>218</v>
      </c>
      <c r="J782" s="34" t="s">
        <v>3</v>
      </c>
      <c r="K782" s="35" t="s">
        <v>22</v>
      </c>
      <c r="L782" s="36" t="e">
        <f>VLOOKUP(G782,#REF!,4,0)</f>
        <v>#REF!</v>
      </c>
      <c r="M782" s="37" t="e">
        <f>_xlfn.IFNA(VLOOKUP(G782,#REF!,2,0),"")</f>
        <v>#REF!</v>
      </c>
      <c r="N782" s="38" t="e">
        <f>_xlfn.IFNA(VLOOKUP(G782,#REF!,3,0),"")</f>
        <v>#REF!</v>
      </c>
      <c r="O782" s="39">
        <v>2</v>
      </c>
      <c r="P782" s="79">
        <v>0.14285714285714285</v>
      </c>
      <c r="Q782" s="39" t="s">
        <v>420</v>
      </c>
      <c r="R782" s="34">
        <v>1400</v>
      </c>
      <c r="S782" s="48">
        <v>180</v>
      </c>
      <c r="T782" s="40">
        <v>51.428571428571431</v>
      </c>
      <c r="U782" s="41">
        <f t="shared" si="89"/>
        <v>251.42857142857144</v>
      </c>
      <c r="V782" s="42">
        <f t="shared" si="90"/>
        <v>1.396825396825397</v>
      </c>
      <c r="W782" s="43">
        <f t="shared" si="91"/>
        <v>0.20848140251125327</v>
      </c>
      <c r="X782" s="38"/>
      <c r="Y782" s="38"/>
      <c r="Z782" s="44"/>
      <c r="AA782" s="45">
        <v>46185</v>
      </c>
      <c r="AB782" s="45"/>
      <c r="AC782" s="45"/>
      <c r="AD782" s="44"/>
      <c r="AE782" s="44"/>
      <c r="AF782" s="45"/>
      <c r="AG782" s="78"/>
      <c r="AH782" s="45"/>
      <c r="AI782" s="39"/>
      <c r="AJ782" s="39"/>
      <c r="AK782" s="39"/>
      <c r="AL782" s="35"/>
      <c r="AM782" s="34"/>
      <c r="AN782" s="34"/>
      <c r="AO782" s="39"/>
      <c r="AP782" s="47"/>
      <c r="AQ782" s="47"/>
      <c r="AR782" s="47"/>
      <c r="AS782" s="47"/>
    </row>
    <row r="783" spans="1:45" ht="12" customHeight="1" x14ac:dyDescent="0.25">
      <c r="A783" s="33">
        <f t="shared" si="92"/>
        <v>782</v>
      </c>
      <c r="B783" s="34" t="s">
        <v>843</v>
      </c>
      <c r="C783" s="34" t="s">
        <v>208</v>
      </c>
      <c r="D783" s="35" t="s">
        <v>835</v>
      </c>
      <c r="E783" s="34" t="s">
        <v>61</v>
      </c>
      <c r="F783" s="34" t="s">
        <v>0</v>
      </c>
      <c r="G783" s="16" t="s">
        <v>121</v>
      </c>
      <c r="H783" s="34">
        <v>360</v>
      </c>
      <c r="I783" s="34" t="s">
        <v>218</v>
      </c>
      <c r="J783" s="34" t="s">
        <v>3</v>
      </c>
      <c r="K783" s="35" t="s">
        <v>22</v>
      </c>
      <c r="L783" s="36" t="e">
        <f>VLOOKUP(G783,#REF!,4,0)</f>
        <v>#REF!</v>
      </c>
      <c r="M783" s="37" t="e">
        <f>_xlfn.IFNA(VLOOKUP(G783,#REF!,2,0),"")</f>
        <v>#REF!</v>
      </c>
      <c r="N783" s="38" t="e">
        <f>_xlfn.IFNA(VLOOKUP(G783,#REF!,3,0),"")</f>
        <v>#REF!</v>
      </c>
      <c r="O783" s="39">
        <v>4</v>
      </c>
      <c r="P783" s="79">
        <v>0.2857142857142857</v>
      </c>
      <c r="Q783" s="39" t="s">
        <v>420</v>
      </c>
      <c r="R783" s="34">
        <v>1400</v>
      </c>
      <c r="S783" s="38"/>
      <c r="T783" s="40">
        <v>102.85714285714286</v>
      </c>
      <c r="U783" s="41">
        <f t="shared" si="89"/>
        <v>502.85714285714289</v>
      </c>
      <c r="V783" s="42">
        <f t="shared" si="90"/>
        <v>1.396825396825397</v>
      </c>
      <c r="W783" s="43">
        <f t="shared" si="91"/>
        <v>0.20848140251125327</v>
      </c>
      <c r="X783" s="38"/>
      <c r="Y783" s="38"/>
      <c r="Z783" s="44"/>
      <c r="AA783" s="45">
        <v>46185</v>
      </c>
      <c r="AB783" s="45"/>
      <c r="AC783" s="45"/>
      <c r="AD783" s="44"/>
      <c r="AE783" s="44"/>
      <c r="AF783" s="45"/>
      <c r="AG783" s="78"/>
      <c r="AH783" s="45"/>
      <c r="AI783" s="39"/>
      <c r="AJ783" s="39"/>
      <c r="AK783" s="39"/>
      <c r="AL783" s="35"/>
      <c r="AM783" s="34"/>
      <c r="AN783" s="34"/>
      <c r="AO783" s="39"/>
      <c r="AP783" s="47"/>
      <c r="AQ783" s="47"/>
      <c r="AR783" s="47"/>
      <c r="AS783" s="47"/>
    </row>
    <row r="784" spans="1:45" ht="12" customHeight="1" x14ac:dyDescent="0.25">
      <c r="A784" s="33">
        <f t="shared" si="92"/>
        <v>783</v>
      </c>
      <c r="B784" s="34" t="s">
        <v>843</v>
      </c>
      <c r="C784" s="34" t="s">
        <v>836</v>
      </c>
      <c r="D784" s="35" t="s">
        <v>837</v>
      </c>
      <c r="E784" s="34" t="s">
        <v>470</v>
      </c>
      <c r="F784" s="34" t="s">
        <v>0</v>
      </c>
      <c r="G784" s="16" t="s">
        <v>720</v>
      </c>
      <c r="H784" s="34">
        <v>600</v>
      </c>
      <c r="I784" s="34" t="s">
        <v>218</v>
      </c>
      <c r="J784" s="34" t="s">
        <v>3</v>
      </c>
      <c r="K784" s="35" t="s">
        <v>22</v>
      </c>
      <c r="L784" s="36" t="e">
        <f>VLOOKUP(G784,#REF!,4,0)</f>
        <v>#REF!</v>
      </c>
      <c r="M784" s="37" t="e">
        <f>_xlfn.IFNA(VLOOKUP(G784,#REF!,2,0),"")</f>
        <v>#REF!</v>
      </c>
      <c r="N784" s="38" t="e">
        <f>_xlfn.IFNA(VLOOKUP(G784,#REF!,3,0),"")</f>
        <v>#REF!</v>
      </c>
      <c r="O784" s="39">
        <v>10</v>
      </c>
      <c r="P784" s="79">
        <v>0.4375</v>
      </c>
      <c r="Q784" s="39" t="s">
        <v>420</v>
      </c>
      <c r="R784" s="34">
        <v>1400</v>
      </c>
      <c r="S784" s="38">
        <v>180</v>
      </c>
      <c r="T784" s="40">
        <v>112.5</v>
      </c>
      <c r="U784" s="41">
        <f t="shared" si="89"/>
        <v>725</v>
      </c>
      <c r="V784" s="42">
        <f t="shared" si="90"/>
        <v>1.2083333333333333</v>
      </c>
      <c r="W784" s="43">
        <f t="shared" si="91"/>
        <v>0.18034825870646765</v>
      </c>
      <c r="X784" s="38"/>
      <c r="Y784" s="38"/>
      <c r="Z784" s="44"/>
      <c r="AA784" s="45">
        <v>46185</v>
      </c>
      <c r="AB784" s="45">
        <v>46207</v>
      </c>
      <c r="AC784" s="45"/>
      <c r="AD784" s="44"/>
      <c r="AE784" s="44"/>
      <c r="AF784" s="45"/>
      <c r="AG784" s="78"/>
      <c r="AH784" s="45"/>
      <c r="AI784" s="39"/>
      <c r="AJ784" s="39"/>
      <c r="AK784" s="39"/>
      <c r="AL784" s="35"/>
      <c r="AM784" s="34"/>
      <c r="AN784" s="34"/>
      <c r="AO784" s="39"/>
      <c r="AP784" s="47"/>
      <c r="AQ784" s="47"/>
      <c r="AR784" s="47"/>
      <c r="AS784" s="47"/>
    </row>
    <row r="785" spans="1:45" ht="12" customHeight="1" x14ac:dyDescent="0.25">
      <c r="A785" s="33">
        <f t="shared" si="92"/>
        <v>784</v>
      </c>
      <c r="B785" s="34" t="s">
        <v>843</v>
      </c>
      <c r="C785" s="34" t="s">
        <v>836</v>
      </c>
      <c r="D785" s="35" t="s">
        <v>837</v>
      </c>
      <c r="E785" s="34" t="s">
        <v>470</v>
      </c>
      <c r="F785" s="34" t="s">
        <v>0</v>
      </c>
      <c r="G785" s="16" t="s">
        <v>476</v>
      </c>
      <c r="H785" s="34">
        <v>384</v>
      </c>
      <c r="I785" s="34" t="s">
        <v>218</v>
      </c>
      <c r="J785" s="34" t="s">
        <v>3</v>
      </c>
      <c r="K785" s="35" t="s">
        <v>22</v>
      </c>
      <c r="L785" s="36" t="e">
        <f>VLOOKUP(G785,#REF!,4,0)</f>
        <v>#REF!</v>
      </c>
      <c r="M785" s="37" t="e">
        <f>_xlfn.IFNA(VLOOKUP(G785,#REF!,2,0),"")</f>
        <v>#REF!</v>
      </c>
      <c r="N785" s="38" t="e">
        <f>_xlfn.IFNA(VLOOKUP(G785,#REF!,3,0),"")</f>
        <v>#REF!</v>
      </c>
      <c r="O785" s="39">
        <v>6</v>
      </c>
      <c r="P785" s="79">
        <v>0.26249999999999996</v>
      </c>
      <c r="Q785" s="39" t="s">
        <v>420</v>
      </c>
      <c r="R785" s="34">
        <v>1400</v>
      </c>
      <c r="S785" s="48">
        <v>180</v>
      </c>
      <c r="T785" s="40">
        <v>67.5</v>
      </c>
      <c r="U785" s="41">
        <f t="shared" si="89"/>
        <v>434.99999999999994</v>
      </c>
      <c r="V785" s="42">
        <f t="shared" si="90"/>
        <v>1.1328124999999998</v>
      </c>
      <c r="W785" s="43">
        <f t="shared" si="91"/>
        <v>0.16907649253731338</v>
      </c>
      <c r="X785" s="38"/>
      <c r="Y785" s="38"/>
      <c r="Z785" s="44"/>
      <c r="AA785" s="45">
        <v>46185</v>
      </c>
      <c r="AB785" s="45">
        <v>46207</v>
      </c>
      <c r="AC785" s="45"/>
      <c r="AD785" s="44"/>
      <c r="AE785" s="44"/>
      <c r="AF785" s="45"/>
      <c r="AG785" s="78"/>
      <c r="AH785" s="45"/>
      <c r="AI785" s="39"/>
      <c r="AJ785" s="39"/>
      <c r="AK785" s="39"/>
      <c r="AL785" s="35"/>
      <c r="AM785" s="34"/>
      <c r="AN785" s="34"/>
      <c r="AO785" s="39"/>
      <c r="AP785" s="47"/>
      <c r="AQ785" s="47"/>
      <c r="AR785" s="47"/>
      <c r="AS785" s="47"/>
    </row>
    <row r="786" spans="1:45" ht="12" customHeight="1" x14ac:dyDescent="0.25">
      <c r="A786" s="33">
        <f t="shared" si="92"/>
        <v>785</v>
      </c>
      <c r="B786" s="34" t="s">
        <v>843</v>
      </c>
      <c r="C786" s="34" t="s">
        <v>838</v>
      </c>
      <c r="D786" s="35" t="s">
        <v>839</v>
      </c>
      <c r="E786" s="34" t="s">
        <v>61</v>
      </c>
      <c r="F786" s="34" t="s">
        <v>0</v>
      </c>
      <c r="G786" s="16" t="s">
        <v>278</v>
      </c>
      <c r="H786" s="34">
        <v>320</v>
      </c>
      <c r="I786" s="34" t="s">
        <v>218</v>
      </c>
      <c r="J786" s="34" t="s">
        <v>3</v>
      </c>
      <c r="K786" s="35" t="s">
        <v>4</v>
      </c>
      <c r="L786" s="36" t="e">
        <f>VLOOKUP(G786,#REF!,4,0)</f>
        <v>#REF!</v>
      </c>
      <c r="M786" s="37" t="e">
        <f>_xlfn.IFNA(VLOOKUP(G786,#REF!,2,0),"")</f>
        <v>#REF!</v>
      </c>
      <c r="N786" s="38" t="e">
        <f>_xlfn.IFNA(VLOOKUP(G786,#REF!,3,0),"")</f>
        <v>#REF!</v>
      </c>
      <c r="O786" s="39">
        <v>5</v>
      </c>
      <c r="P786" s="79">
        <v>0.19347826086956521</v>
      </c>
      <c r="Q786" s="39" t="s">
        <v>420</v>
      </c>
      <c r="R786" s="34">
        <v>1400</v>
      </c>
      <c r="S786" s="38">
        <v>180</v>
      </c>
      <c r="T786" s="40">
        <v>39.130434782608695</v>
      </c>
      <c r="U786" s="41">
        <f t="shared" si="89"/>
        <v>310</v>
      </c>
      <c r="V786" s="42">
        <f t="shared" si="90"/>
        <v>0.96875</v>
      </c>
      <c r="W786" s="43">
        <f t="shared" si="91"/>
        <v>0.14458955223880596</v>
      </c>
      <c r="X786" s="38"/>
      <c r="Y786" s="38"/>
      <c r="Z786" s="44"/>
      <c r="AA786" s="45">
        <v>46185</v>
      </c>
      <c r="AB786" s="45">
        <v>46207</v>
      </c>
      <c r="AC786" s="45"/>
      <c r="AD786" s="44"/>
      <c r="AE786" s="44"/>
      <c r="AF786" s="45"/>
      <c r="AG786" s="78"/>
      <c r="AH786" s="45"/>
      <c r="AI786" s="39"/>
      <c r="AJ786" s="39"/>
      <c r="AK786" s="39"/>
      <c r="AL786" s="35"/>
      <c r="AM786" s="34"/>
      <c r="AN786" s="34"/>
      <c r="AO786" s="39"/>
      <c r="AP786" s="47"/>
      <c r="AQ786" s="47"/>
      <c r="AR786" s="47"/>
      <c r="AS786" s="47"/>
    </row>
    <row r="787" spans="1:45" ht="12" customHeight="1" x14ac:dyDescent="0.25">
      <c r="A787" s="33">
        <f t="shared" si="92"/>
        <v>786</v>
      </c>
      <c r="B787" s="34" t="s">
        <v>843</v>
      </c>
      <c r="C787" s="34" t="s">
        <v>838</v>
      </c>
      <c r="D787" s="35" t="s">
        <v>839</v>
      </c>
      <c r="E787" s="34" t="s">
        <v>61</v>
      </c>
      <c r="F787" s="34" t="s">
        <v>0</v>
      </c>
      <c r="G787" s="16" t="s">
        <v>293</v>
      </c>
      <c r="H787" s="34">
        <v>832</v>
      </c>
      <c r="I787" s="34" t="s">
        <v>218</v>
      </c>
      <c r="J787" s="34" t="s">
        <v>3</v>
      </c>
      <c r="K787" s="35" t="s">
        <v>4</v>
      </c>
      <c r="L787" s="36" t="e">
        <f>VLOOKUP(G787,#REF!,4,0)</f>
        <v>#REF!</v>
      </c>
      <c r="M787" s="37" t="e">
        <f>_xlfn.IFNA(VLOOKUP(G787,#REF!,2,0),"")</f>
        <v>#REF!</v>
      </c>
      <c r="N787" s="38" t="e">
        <f>_xlfn.IFNA(VLOOKUP(G787,#REF!,3,0),"")</f>
        <v>#REF!</v>
      </c>
      <c r="O787" s="39">
        <v>13</v>
      </c>
      <c r="P787" s="79">
        <v>0.50304347826086948</v>
      </c>
      <c r="Q787" s="39" t="s">
        <v>420</v>
      </c>
      <c r="R787" s="34">
        <v>1400</v>
      </c>
      <c r="S787" s="48">
        <v>180</v>
      </c>
      <c r="T787" s="40">
        <v>101.73913043478261</v>
      </c>
      <c r="U787" s="41">
        <f t="shared" si="89"/>
        <v>805.99999999999989</v>
      </c>
      <c r="V787" s="42">
        <f t="shared" si="90"/>
        <v>0.96874999999999989</v>
      </c>
      <c r="W787" s="43">
        <f t="shared" si="91"/>
        <v>0.14458955223880596</v>
      </c>
      <c r="X787" s="38"/>
      <c r="Y787" s="38"/>
      <c r="Z787" s="44"/>
      <c r="AA787" s="45">
        <v>46185</v>
      </c>
      <c r="AB787" s="45">
        <v>46207</v>
      </c>
      <c r="AC787" s="45"/>
      <c r="AD787" s="44"/>
      <c r="AE787" s="44"/>
      <c r="AF787" s="45"/>
      <c r="AG787" s="78"/>
      <c r="AH787" s="45"/>
      <c r="AI787" s="39"/>
      <c r="AJ787" s="39"/>
      <c r="AK787" s="39"/>
      <c r="AL787" s="35"/>
      <c r="AM787" s="34"/>
      <c r="AN787" s="34"/>
      <c r="AO787" s="39"/>
      <c r="AP787" s="47"/>
      <c r="AQ787" s="47"/>
      <c r="AR787" s="47"/>
      <c r="AS787" s="47"/>
    </row>
    <row r="788" spans="1:45" ht="12" customHeight="1" x14ac:dyDescent="0.25">
      <c r="A788" s="33">
        <f t="shared" si="92"/>
        <v>787</v>
      </c>
      <c r="B788" s="34" t="s">
        <v>843</v>
      </c>
      <c r="C788" s="34" t="s">
        <v>838</v>
      </c>
      <c r="D788" s="35" t="s">
        <v>839</v>
      </c>
      <c r="E788" s="34" t="s">
        <v>61</v>
      </c>
      <c r="F788" s="34" t="s">
        <v>0</v>
      </c>
      <c r="G788" s="16" t="s">
        <v>253</v>
      </c>
      <c r="H788" s="34">
        <v>256</v>
      </c>
      <c r="I788" s="34" t="s">
        <v>218</v>
      </c>
      <c r="J788" s="34" t="s">
        <v>3</v>
      </c>
      <c r="K788" s="35" t="s">
        <v>4</v>
      </c>
      <c r="L788" s="36" t="e">
        <f>VLOOKUP(G788,#REF!,4,0)</f>
        <v>#REF!</v>
      </c>
      <c r="M788" s="37" t="e">
        <f>_xlfn.IFNA(VLOOKUP(G788,#REF!,2,0),"")</f>
        <v>#REF!</v>
      </c>
      <c r="N788" s="38" t="e">
        <f>_xlfn.IFNA(VLOOKUP(G788,#REF!,3,0),"")</f>
        <v>#REF!</v>
      </c>
      <c r="O788" s="39">
        <v>4</v>
      </c>
      <c r="P788" s="79">
        <v>0.15478260869565216</v>
      </c>
      <c r="Q788" s="39" t="s">
        <v>420</v>
      </c>
      <c r="R788" s="34">
        <v>1400</v>
      </c>
      <c r="S788" s="38"/>
      <c r="T788" s="40">
        <v>31.304347826086957</v>
      </c>
      <c r="U788" s="41">
        <f t="shared" si="89"/>
        <v>248</v>
      </c>
      <c r="V788" s="42">
        <f t="shared" si="90"/>
        <v>0.96875</v>
      </c>
      <c r="W788" s="43">
        <f t="shared" si="91"/>
        <v>0.14458955223880596</v>
      </c>
      <c r="X788" s="38"/>
      <c r="Y788" s="38"/>
      <c r="Z788" s="44"/>
      <c r="AA788" s="45">
        <v>46185</v>
      </c>
      <c r="AB788" s="45">
        <v>46207</v>
      </c>
      <c r="AC788" s="45"/>
      <c r="AD788" s="44"/>
      <c r="AE788" s="44"/>
      <c r="AF788" s="45"/>
      <c r="AG788" s="78"/>
      <c r="AH788" s="45"/>
      <c r="AI788" s="39"/>
      <c r="AJ788" s="39"/>
      <c r="AK788" s="39"/>
      <c r="AL788" s="35"/>
      <c r="AM788" s="34"/>
      <c r="AN788" s="34"/>
      <c r="AO788" s="39"/>
      <c r="AP788" s="47"/>
      <c r="AQ788" s="47"/>
      <c r="AR788" s="47"/>
      <c r="AS788" s="47"/>
    </row>
    <row r="789" spans="1:45" ht="12" customHeight="1" x14ac:dyDescent="0.25">
      <c r="A789" s="33">
        <f t="shared" si="92"/>
        <v>788</v>
      </c>
      <c r="B789" s="34" t="s">
        <v>843</v>
      </c>
      <c r="C789" s="34" t="s">
        <v>838</v>
      </c>
      <c r="D789" s="35" t="s">
        <v>839</v>
      </c>
      <c r="E789" s="34" t="s">
        <v>61</v>
      </c>
      <c r="F789" s="34" t="s">
        <v>0</v>
      </c>
      <c r="G789" s="16" t="s">
        <v>438</v>
      </c>
      <c r="H789" s="34">
        <v>64</v>
      </c>
      <c r="I789" s="34" t="s">
        <v>218</v>
      </c>
      <c r="J789" s="34" t="s">
        <v>3</v>
      </c>
      <c r="K789" s="35" t="s">
        <v>4</v>
      </c>
      <c r="L789" s="36" t="e">
        <f>VLOOKUP(G789,#REF!,4,0)</f>
        <v>#REF!</v>
      </c>
      <c r="M789" s="37" t="e">
        <f>_xlfn.IFNA(VLOOKUP(G789,#REF!,2,0),"")</f>
        <v>#REF!</v>
      </c>
      <c r="N789" s="38" t="e">
        <f>_xlfn.IFNA(VLOOKUP(G789,#REF!,3,0),"")</f>
        <v>#REF!</v>
      </c>
      <c r="O789" s="39">
        <v>1</v>
      </c>
      <c r="P789" s="79">
        <v>3.8695652173913041E-2</v>
      </c>
      <c r="Q789" s="39" t="s">
        <v>420</v>
      </c>
      <c r="R789" s="34">
        <v>1400</v>
      </c>
      <c r="S789" s="38"/>
      <c r="T789" s="40">
        <v>7.8260869565217392</v>
      </c>
      <c r="U789" s="41">
        <f t="shared" si="89"/>
        <v>62</v>
      </c>
      <c r="V789" s="42">
        <f t="shared" si="90"/>
        <v>0.96875</v>
      </c>
      <c r="W789" s="43">
        <f t="shared" si="91"/>
        <v>0.14458955223880596</v>
      </c>
      <c r="X789" s="38"/>
      <c r="Y789" s="38"/>
      <c r="Z789" s="44"/>
      <c r="AA789" s="45">
        <v>46185</v>
      </c>
      <c r="AB789" s="45">
        <v>46207</v>
      </c>
      <c r="AC789" s="45"/>
      <c r="AD789" s="44"/>
      <c r="AE789" s="44"/>
      <c r="AF789" s="45"/>
      <c r="AG789" s="78"/>
      <c r="AH789" s="45"/>
      <c r="AI789" s="39"/>
      <c r="AJ789" s="39"/>
      <c r="AK789" s="39"/>
      <c r="AL789" s="35"/>
      <c r="AM789" s="34"/>
      <c r="AN789" s="34"/>
      <c r="AO789" s="39"/>
      <c r="AP789" s="47"/>
      <c r="AQ789" s="47"/>
      <c r="AR789" s="47"/>
      <c r="AS789" s="47"/>
    </row>
    <row r="790" spans="1:45" ht="12" customHeight="1" x14ac:dyDescent="0.25">
      <c r="A790" s="33">
        <f t="shared" si="92"/>
        <v>789</v>
      </c>
      <c r="B790" s="34" t="s">
        <v>843</v>
      </c>
      <c r="C790" s="34" t="s">
        <v>840</v>
      </c>
      <c r="D790" s="35" t="s">
        <v>841</v>
      </c>
      <c r="E790" s="34" t="s">
        <v>470</v>
      </c>
      <c r="F790" s="34" t="s">
        <v>0</v>
      </c>
      <c r="G790" s="16" t="s">
        <v>477</v>
      </c>
      <c r="H790" s="34">
        <v>992</v>
      </c>
      <c r="I790" s="34" t="s">
        <v>218</v>
      </c>
      <c r="J790" s="34" t="s">
        <v>3</v>
      </c>
      <c r="K790" s="35" t="s">
        <v>5</v>
      </c>
      <c r="L790" s="36" t="e">
        <f>VLOOKUP(G790,#REF!,4,0)</f>
        <v>#REF!</v>
      </c>
      <c r="M790" s="37" t="e">
        <f>_xlfn.IFNA(VLOOKUP(G790,#REF!,2,0),"")</f>
        <v>#REF!</v>
      </c>
      <c r="N790" s="38" t="e">
        <f>_xlfn.IFNA(VLOOKUP(G790,#REF!,3,0),"")</f>
        <v>#REF!</v>
      </c>
      <c r="O790" s="39">
        <v>62</v>
      </c>
      <c r="P790" s="79">
        <v>2.78</v>
      </c>
      <c r="Q790" s="39" t="s">
        <v>420</v>
      </c>
      <c r="R790" s="34">
        <v>1200</v>
      </c>
      <c r="S790" s="38">
        <v>180</v>
      </c>
      <c r="T790" s="40">
        <v>180</v>
      </c>
      <c r="U790" s="41">
        <f t="shared" si="89"/>
        <v>3515.9999999999995</v>
      </c>
      <c r="V790" s="42">
        <f t="shared" si="90"/>
        <v>3.544354838709677</v>
      </c>
      <c r="W790" s="43">
        <f t="shared" si="91"/>
        <v>0.52900818488204138</v>
      </c>
      <c r="X790" s="38"/>
      <c r="Y790" s="38"/>
      <c r="Z790" s="44"/>
      <c r="AA790" s="45">
        <v>46186</v>
      </c>
      <c r="AB790" s="45">
        <v>46207</v>
      </c>
      <c r="AC790" s="45"/>
      <c r="AD790" s="44"/>
      <c r="AE790" s="44"/>
      <c r="AF790" s="45"/>
      <c r="AG790" s="78"/>
      <c r="AH790" s="45"/>
      <c r="AI790" s="39"/>
      <c r="AJ790" s="39"/>
      <c r="AK790" s="39"/>
      <c r="AL790" s="35"/>
      <c r="AM790" s="34"/>
      <c r="AN790" s="34"/>
      <c r="AO790" s="39"/>
      <c r="AP790" s="47"/>
      <c r="AQ790" s="47"/>
      <c r="AR790" s="47"/>
      <c r="AS790" s="47"/>
    </row>
    <row r="791" spans="1:45" ht="12" customHeight="1" x14ac:dyDescent="0.25">
      <c r="A791" s="33">
        <f t="shared" si="92"/>
        <v>790</v>
      </c>
      <c r="B791" s="34"/>
      <c r="C791" s="34" t="s">
        <v>844</v>
      </c>
      <c r="D791" s="35" t="s">
        <v>845</v>
      </c>
      <c r="E791" s="34" t="s">
        <v>61</v>
      </c>
      <c r="F791" s="34" t="s">
        <v>0</v>
      </c>
      <c r="G791" s="16" t="s">
        <v>68</v>
      </c>
      <c r="H791" s="34">
        <v>210</v>
      </c>
      <c r="I791" s="34" t="s">
        <v>54</v>
      </c>
      <c r="J791" s="34" t="s">
        <v>3</v>
      </c>
      <c r="K791" s="35" t="s">
        <v>22</v>
      </c>
      <c r="L791" s="36" t="e">
        <f>VLOOKUP(G791,#REF!,4,0)</f>
        <v>#REF!</v>
      </c>
      <c r="M791" s="37" t="e">
        <f>_xlfn.IFNA(VLOOKUP(G791,#REF!,2,0),"")</f>
        <v>#REF!</v>
      </c>
      <c r="N791" s="38" t="e">
        <f>_xlfn.IFNA(VLOOKUP(G791,#REF!,3,0),"")</f>
        <v>#REF!</v>
      </c>
      <c r="O791" s="39">
        <v>7</v>
      </c>
      <c r="P791" s="79">
        <v>92.1786046511628</v>
      </c>
      <c r="Q791" s="39" t="s">
        <v>10</v>
      </c>
      <c r="R791" s="34">
        <v>5.3</v>
      </c>
      <c r="S791" s="38">
        <v>200</v>
      </c>
      <c r="T791" s="40">
        <v>13.861386138613861</v>
      </c>
      <c r="U791" s="41">
        <f t="shared" ref="U791:U811" si="93">R791*P791+T791</f>
        <v>502.4079907897767</v>
      </c>
      <c r="V791" s="42">
        <f t="shared" ref="V791:V811" si="94">U791/H791</f>
        <v>2.3924190037608413</v>
      </c>
      <c r="W791" s="43">
        <f t="shared" ref="W791:W811" si="95">V791/6.7</f>
        <v>0.35707746324788675</v>
      </c>
      <c r="X791" s="38"/>
      <c r="Y791" s="38"/>
      <c r="Z791" s="44"/>
      <c r="AA791" s="45">
        <v>46191</v>
      </c>
      <c r="AB791" s="45"/>
      <c r="AC791" s="45"/>
      <c r="AD791" s="44"/>
      <c r="AE791" s="44"/>
      <c r="AF791" s="45"/>
      <c r="AG791" s="78"/>
      <c r="AH791" s="45"/>
      <c r="AI791" s="39"/>
      <c r="AJ791" s="39"/>
      <c r="AK791" s="39"/>
      <c r="AL791" s="35"/>
      <c r="AM791" s="34"/>
      <c r="AN791" s="34"/>
      <c r="AO791" s="39"/>
      <c r="AP791" s="47"/>
      <c r="AQ791" s="47"/>
      <c r="AR791" s="47"/>
      <c r="AS791" s="47"/>
    </row>
    <row r="792" spans="1:45" ht="12" customHeight="1" x14ac:dyDescent="0.25">
      <c r="A792" s="33">
        <f t="shared" si="92"/>
        <v>791</v>
      </c>
      <c r="B792" s="34"/>
      <c r="C792" s="34" t="s">
        <v>844</v>
      </c>
      <c r="D792" s="35" t="s">
        <v>845</v>
      </c>
      <c r="E792" s="34" t="s">
        <v>61</v>
      </c>
      <c r="F792" s="34" t="s">
        <v>0</v>
      </c>
      <c r="G792" s="16" t="s">
        <v>242</v>
      </c>
      <c r="H792" s="34">
        <v>1240</v>
      </c>
      <c r="I792" s="34" t="s">
        <v>54</v>
      </c>
      <c r="J792" s="34" t="s">
        <v>3</v>
      </c>
      <c r="K792" s="35" t="s">
        <v>22</v>
      </c>
      <c r="L792" s="36" t="e">
        <f>VLOOKUP(G792,#REF!,4,0)</f>
        <v>#REF!</v>
      </c>
      <c r="M792" s="37" t="e">
        <f>_xlfn.IFNA(VLOOKUP(G792,#REF!,2,0),"")</f>
        <v>#REF!</v>
      </c>
      <c r="N792" s="38" t="e">
        <f>_xlfn.IFNA(VLOOKUP(G792,#REF!,3,0),"")</f>
        <v>#REF!</v>
      </c>
      <c r="O792" s="39">
        <v>31</v>
      </c>
      <c r="P792" s="79">
        <v>408.21953488372094</v>
      </c>
      <c r="Q792" s="39" t="s">
        <v>10</v>
      </c>
      <c r="R792" s="34">
        <v>5.3</v>
      </c>
      <c r="S792" s="48">
        <v>200</v>
      </c>
      <c r="T792" s="40">
        <v>61.386138613861384</v>
      </c>
      <c r="U792" s="41">
        <f t="shared" si="93"/>
        <v>2224.9496734975824</v>
      </c>
      <c r="V792" s="42">
        <f t="shared" si="94"/>
        <v>1.7943142528206308</v>
      </c>
      <c r="W792" s="43">
        <f t="shared" si="95"/>
        <v>0.26780809743591505</v>
      </c>
      <c r="X792" s="38"/>
      <c r="Y792" s="38"/>
      <c r="Z792" s="44"/>
      <c r="AA792" s="45">
        <v>46191</v>
      </c>
      <c r="AB792" s="45"/>
      <c r="AC792" s="45"/>
      <c r="AD792" s="44"/>
      <c r="AE792" s="44"/>
      <c r="AF792" s="45"/>
      <c r="AG792" s="78"/>
      <c r="AH792" s="45"/>
      <c r="AI792" s="39"/>
      <c r="AJ792" s="39"/>
      <c r="AK792" s="39"/>
      <c r="AL792" s="35"/>
      <c r="AM792" s="34"/>
      <c r="AN792" s="34"/>
      <c r="AO792" s="39"/>
      <c r="AP792" s="47"/>
      <c r="AQ792" s="47"/>
      <c r="AR792" s="47"/>
      <c r="AS792" s="47"/>
    </row>
    <row r="793" spans="1:45" ht="12" customHeight="1" x14ac:dyDescent="0.25">
      <c r="A793" s="33">
        <f t="shared" si="92"/>
        <v>792</v>
      </c>
      <c r="B793" s="34"/>
      <c r="C793" s="34" t="s">
        <v>844</v>
      </c>
      <c r="D793" s="35" t="s">
        <v>845</v>
      </c>
      <c r="E793" s="34" t="s">
        <v>61</v>
      </c>
      <c r="F793" s="34" t="s">
        <v>0</v>
      </c>
      <c r="G793" s="16" t="s">
        <v>243</v>
      </c>
      <c r="H793" s="34">
        <v>200</v>
      </c>
      <c r="I793" s="34" t="s">
        <v>54</v>
      </c>
      <c r="J793" s="34" t="s">
        <v>3</v>
      </c>
      <c r="K793" s="35" t="s">
        <v>22</v>
      </c>
      <c r="L793" s="36" t="e">
        <f>VLOOKUP(G793,#REF!,4,0)</f>
        <v>#REF!</v>
      </c>
      <c r="M793" s="37" t="e">
        <f>_xlfn.IFNA(VLOOKUP(G793,#REF!,2,0),"")</f>
        <v>#REF!</v>
      </c>
      <c r="N793" s="38" t="e">
        <f>_xlfn.IFNA(VLOOKUP(G793,#REF!,3,0),"")</f>
        <v>#REF!</v>
      </c>
      <c r="O793" s="39">
        <v>5</v>
      </c>
      <c r="P793" s="79">
        <v>65.841860465116284</v>
      </c>
      <c r="Q793" s="39" t="s">
        <v>10</v>
      </c>
      <c r="R793" s="34">
        <v>5.3</v>
      </c>
      <c r="S793" s="38"/>
      <c r="T793" s="40">
        <v>9.9009900990099009</v>
      </c>
      <c r="U793" s="41">
        <f t="shared" si="93"/>
        <v>358.86285056412618</v>
      </c>
      <c r="V793" s="42">
        <f t="shared" si="94"/>
        <v>1.7943142528206308</v>
      </c>
      <c r="W793" s="43">
        <f t="shared" si="95"/>
        <v>0.26780809743591505</v>
      </c>
      <c r="X793" s="38"/>
      <c r="Y793" s="38"/>
      <c r="Z793" s="44"/>
      <c r="AA793" s="45">
        <v>46191</v>
      </c>
      <c r="AB793" s="45"/>
      <c r="AC793" s="45"/>
      <c r="AD793" s="44"/>
      <c r="AE793" s="44"/>
      <c r="AF793" s="45"/>
      <c r="AG793" s="78"/>
      <c r="AH793" s="45"/>
      <c r="AI793" s="39"/>
      <c r="AJ793" s="39"/>
      <c r="AK793" s="39"/>
      <c r="AL793" s="35"/>
      <c r="AM793" s="34"/>
      <c r="AN793" s="34"/>
      <c r="AO793" s="39"/>
      <c r="AP793" s="47"/>
      <c r="AQ793" s="47"/>
      <c r="AR793" s="47"/>
      <c r="AS793" s="47"/>
    </row>
    <row r="794" spans="1:45" ht="12" customHeight="1" x14ac:dyDescent="0.25">
      <c r="A794" s="33">
        <f t="shared" si="92"/>
        <v>793</v>
      </c>
      <c r="B794" s="34"/>
      <c r="C794" s="34" t="s">
        <v>211</v>
      </c>
      <c r="D794" s="35" t="s">
        <v>846</v>
      </c>
      <c r="E794" s="34" t="s">
        <v>470</v>
      </c>
      <c r="F794" s="34" t="s">
        <v>0</v>
      </c>
      <c r="G794" s="16" t="s">
        <v>285</v>
      </c>
      <c r="H794" s="34">
        <v>210</v>
      </c>
      <c r="I794" s="34" t="s">
        <v>66</v>
      </c>
      <c r="J794" s="34" t="s">
        <v>3</v>
      </c>
      <c r="K794" s="35" t="s">
        <v>4</v>
      </c>
      <c r="L794" s="36" t="e">
        <f>VLOOKUP(G794,#REF!,4,0)</f>
        <v>#REF!</v>
      </c>
      <c r="M794" s="37" t="e">
        <f>_xlfn.IFNA(VLOOKUP(G794,#REF!,2,0),"")</f>
        <v>#REF!</v>
      </c>
      <c r="N794" s="38" t="e">
        <f>_xlfn.IFNA(VLOOKUP(G794,#REF!,3,0),"")</f>
        <v>#REF!</v>
      </c>
      <c r="O794" s="39">
        <v>7</v>
      </c>
      <c r="P794" s="79">
        <v>114.11926605504587</v>
      </c>
      <c r="Q794" s="39" t="s">
        <v>10</v>
      </c>
      <c r="R794" s="34">
        <v>6.3</v>
      </c>
      <c r="S794" s="38">
        <v>200</v>
      </c>
      <c r="T794" s="40">
        <v>9.2105263157894743</v>
      </c>
      <c r="U794" s="41">
        <f t="shared" si="93"/>
        <v>728.16190246257838</v>
      </c>
      <c r="V794" s="42">
        <f t="shared" si="94"/>
        <v>3.467437630774183</v>
      </c>
      <c r="W794" s="43">
        <f t="shared" si="95"/>
        <v>0.51752800459316162</v>
      </c>
      <c r="X794" s="38"/>
      <c r="Y794" s="38"/>
      <c r="Z794" s="44"/>
      <c r="AA794" s="45">
        <v>46191</v>
      </c>
      <c r="AB794" s="45">
        <v>46213</v>
      </c>
      <c r="AC794" s="45"/>
      <c r="AD794" s="44"/>
      <c r="AE794" s="44"/>
      <c r="AF794" s="45"/>
      <c r="AG794" s="78"/>
      <c r="AH794" s="45"/>
      <c r="AI794" s="39"/>
      <c r="AJ794" s="39"/>
      <c r="AK794" s="39"/>
      <c r="AL794" s="35"/>
      <c r="AM794" s="34"/>
      <c r="AN794" s="34"/>
      <c r="AO794" s="39"/>
      <c r="AP794" s="47"/>
      <c r="AQ794" s="47"/>
      <c r="AR794" s="47"/>
      <c r="AS794" s="47"/>
    </row>
    <row r="795" spans="1:45" ht="12" customHeight="1" x14ac:dyDescent="0.25">
      <c r="A795" s="33">
        <f t="shared" si="92"/>
        <v>794</v>
      </c>
      <c r="B795" s="34"/>
      <c r="C795" s="34" t="s">
        <v>211</v>
      </c>
      <c r="D795" s="35" t="s">
        <v>846</v>
      </c>
      <c r="E795" s="34" t="s">
        <v>470</v>
      </c>
      <c r="F795" s="34" t="s">
        <v>0</v>
      </c>
      <c r="G795" s="16" t="s">
        <v>222</v>
      </c>
      <c r="H795" s="34">
        <v>300</v>
      </c>
      <c r="I795" s="34" t="s">
        <v>66</v>
      </c>
      <c r="J795" s="34" t="s">
        <v>3</v>
      </c>
      <c r="K795" s="35" t="s">
        <v>4</v>
      </c>
      <c r="L795" s="36" t="e">
        <f>VLOOKUP(G795,#REF!,4,0)</f>
        <v>#REF!</v>
      </c>
      <c r="M795" s="37" t="e">
        <f>_xlfn.IFNA(VLOOKUP(G795,#REF!,2,0),"")</f>
        <v>#REF!</v>
      </c>
      <c r="N795" s="38" t="e">
        <f>_xlfn.IFNA(VLOOKUP(G795,#REF!,3,0),"")</f>
        <v>#REF!</v>
      </c>
      <c r="O795" s="39">
        <v>10</v>
      </c>
      <c r="P795" s="79">
        <v>163.02752293577981</v>
      </c>
      <c r="Q795" s="39" t="s">
        <v>10</v>
      </c>
      <c r="R795" s="34">
        <v>6.3</v>
      </c>
      <c r="S795" s="48">
        <v>200</v>
      </c>
      <c r="T795" s="40">
        <v>13.157894736842104</v>
      </c>
      <c r="U795" s="41">
        <f t="shared" si="93"/>
        <v>1040.2312892322548</v>
      </c>
      <c r="V795" s="42">
        <f t="shared" si="94"/>
        <v>3.4674376307741825</v>
      </c>
      <c r="W795" s="43">
        <f t="shared" si="95"/>
        <v>0.51752800459316151</v>
      </c>
      <c r="X795" s="38"/>
      <c r="Y795" s="38"/>
      <c r="Z795" s="44"/>
      <c r="AA795" s="45">
        <v>46191</v>
      </c>
      <c r="AB795" s="45">
        <v>46213</v>
      </c>
      <c r="AC795" s="45"/>
      <c r="AD795" s="44"/>
      <c r="AE795" s="44"/>
      <c r="AF795" s="45"/>
      <c r="AG795" s="78"/>
      <c r="AH795" s="45"/>
      <c r="AI795" s="39"/>
      <c r="AJ795" s="39"/>
      <c r="AK795" s="39"/>
      <c r="AL795" s="35"/>
      <c r="AM795" s="34"/>
      <c r="AN795" s="34"/>
      <c r="AO795" s="39"/>
      <c r="AP795" s="47"/>
      <c r="AQ795" s="47"/>
      <c r="AR795" s="47"/>
      <c r="AS795" s="47"/>
    </row>
    <row r="796" spans="1:45" ht="12" customHeight="1" x14ac:dyDescent="0.25">
      <c r="A796" s="33">
        <f t="shared" si="92"/>
        <v>795</v>
      </c>
      <c r="B796" s="34"/>
      <c r="C796" s="34" t="s">
        <v>211</v>
      </c>
      <c r="D796" s="35" t="s">
        <v>846</v>
      </c>
      <c r="E796" s="34" t="s">
        <v>470</v>
      </c>
      <c r="F796" s="34" t="s">
        <v>0</v>
      </c>
      <c r="G796" s="16" t="s">
        <v>514</v>
      </c>
      <c r="H796" s="34">
        <v>2100</v>
      </c>
      <c r="I796" s="34" t="s">
        <v>66</v>
      </c>
      <c r="J796" s="34" t="s">
        <v>3</v>
      </c>
      <c r="K796" s="35" t="s">
        <v>4</v>
      </c>
      <c r="L796" s="36" t="e">
        <f>VLOOKUP(G796,#REF!,4,0)</f>
        <v>#REF!</v>
      </c>
      <c r="M796" s="37" t="e">
        <f>_xlfn.IFNA(VLOOKUP(G796,#REF!,2,0),"")</f>
        <v>#REF!</v>
      </c>
      <c r="N796" s="38" t="e">
        <f>_xlfn.IFNA(VLOOKUP(G796,#REF!,3,0),"")</f>
        <v>#REF!</v>
      </c>
      <c r="O796" s="39">
        <v>70</v>
      </c>
      <c r="P796" s="79">
        <v>1141.1926605504586</v>
      </c>
      <c r="Q796" s="39" t="s">
        <v>10</v>
      </c>
      <c r="R796" s="34">
        <v>6.3</v>
      </c>
      <c r="S796" s="38"/>
      <c r="T796" s="40">
        <v>92.10526315789474</v>
      </c>
      <c r="U796" s="41">
        <f t="shared" si="93"/>
        <v>7281.6190246257838</v>
      </c>
      <c r="V796" s="42">
        <f t="shared" si="94"/>
        <v>3.467437630774183</v>
      </c>
      <c r="W796" s="43">
        <f t="shared" si="95"/>
        <v>0.51752800459316162</v>
      </c>
      <c r="X796" s="38"/>
      <c r="Y796" s="38"/>
      <c r="Z796" s="44"/>
      <c r="AA796" s="45">
        <v>46191</v>
      </c>
      <c r="AB796" s="45">
        <v>46213</v>
      </c>
      <c r="AC796" s="45"/>
      <c r="AD796" s="44"/>
      <c r="AE796" s="44"/>
      <c r="AF796" s="45"/>
      <c r="AG796" s="78"/>
      <c r="AH796" s="45"/>
      <c r="AI796" s="39"/>
      <c r="AJ796" s="39"/>
      <c r="AK796" s="39"/>
      <c r="AL796" s="35"/>
      <c r="AM796" s="34"/>
      <c r="AN796" s="34"/>
      <c r="AO796" s="39"/>
      <c r="AP796" s="47"/>
      <c r="AQ796" s="47"/>
      <c r="AR796" s="47"/>
      <c r="AS796" s="47"/>
    </row>
    <row r="797" spans="1:45" ht="12" customHeight="1" x14ac:dyDescent="0.25">
      <c r="A797" s="33">
        <f t="shared" si="92"/>
        <v>796</v>
      </c>
      <c r="B797" s="34"/>
      <c r="C797" s="34" t="s">
        <v>211</v>
      </c>
      <c r="D797" s="35" t="s">
        <v>846</v>
      </c>
      <c r="E797" s="34" t="s">
        <v>470</v>
      </c>
      <c r="F797" s="34" t="s">
        <v>0</v>
      </c>
      <c r="G797" s="16" t="s">
        <v>486</v>
      </c>
      <c r="H797" s="34">
        <v>660</v>
      </c>
      <c r="I797" s="34" t="s">
        <v>66</v>
      </c>
      <c r="J797" s="34" t="s">
        <v>3</v>
      </c>
      <c r="K797" s="35" t="s">
        <v>4</v>
      </c>
      <c r="L797" s="36" t="e">
        <f>VLOOKUP(G797,#REF!,4,0)</f>
        <v>#REF!</v>
      </c>
      <c r="M797" s="37" t="e">
        <f>_xlfn.IFNA(VLOOKUP(G797,#REF!,2,0),"")</f>
        <v>#REF!</v>
      </c>
      <c r="N797" s="38" t="e">
        <f>_xlfn.IFNA(VLOOKUP(G797,#REF!,3,0),"")</f>
        <v>#REF!</v>
      </c>
      <c r="O797" s="39">
        <v>22</v>
      </c>
      <c r="P797" s="79">
        <v>358.66055045871559</v>
      </c>
      <c r="Q797" s="39" t="s">
        <v>10</v>
      </c>
      <c r="R797" s="34">
        <v>6.3</v>
      </c>
      <c r="S797" s="38"/>
      <c r="T797" s="40">
        <v>28.94736842105263</v>
      </c>
      <c r="U797" s="41">
        <f t="shared" si="93"/>
        <v>2288.5088363109608</v>
      </c>
      <c r="V797" s="42">
        <f t="shared" si="94"/>
        <v>3.467437630774183</v>
      </c>
      <c r="W797" s="43">
        <f t="shared" si="95"/>
        <v>0.51752800459316162</v>
      </c>
      <c r="X797" s="38"/>
      <c r="Y797" s="38"/>
      <c r="Z797" s="44"/>
      <c r="AA797" s="45">
        <v>46191</v>
      </c>
      <c r="AB797" s="45">
        <v>46213</v>
      </c>
      <c r="AC797" s="45"/>
      <c r="AD797" s="44"/>
      <c r="AE797" s="44"/>
      <c r="AF797" s="45"/>
      <c r="AG797" s="78"/>
      <c r="AH797" s="45"/>
      <c r="AI797" s="39"/>
      <c r="AJ797" s="39"/>
      <c r="AK797" s="39"/>
      <c r="AL797" s="35"/>
      <c r="AM797" s="34"/>
      <c r="AN797" s="34"/>
      <c r="AO797" s="39"/>
      <c r="AP797" s="47"/>
      <c r="AQ797" s="47"/>
      <c r="AR797" s="47"/>
      <c r="AS797" s="47"/>
    </row>
    <row r="798" spans="1:45" ht="12" customHeight="1" x14ac:dyDescent="0.25">
      <c r="A798" s="33">
        <f t="shared" si="92"/>
        <v>797</v>
      </c>
      <c r="B798" s="34"/>
      <c r="C798" s="34" t="s">
        <v>844</v>
      </c>
      <c r="D798" s="35" t="s">
        <v>847</v>
      </c>
      <c r="E798" s="34" t="s">
        <v>58</v>
      </c>
      <c r="F798" s="34" t="s">
        <v>0</v>
      </c>
      <c r="G798" s="16" t="s">
        <v>63</v>
      </c>
      <c r="H798" s="34">
        <v>96</v>
      </c>
      <c r="I798" s="34" t="s">
        <v>54</v>
      </c>
      <c r="J798" s="34" t="s">
        <v>3</v>
      </c>
      <c r="K798" s="35" t="s">
        <v>22</v>
      </c>
      <c r="L798" s="36" t="e">
        <f>VLOOKUP(G798,#REF!,4,0)</f>
        <v>#REF!</v>
      </c>
      <c r="M798" s="37" t="e">
        <f>_xlfn.IFNA(VLOOKUP(G798,#REF!,2,0),"")</f>
        <v>#REF!</v>
      </c>
      <c r="N798" s="38" t="e">
        <f>_xlfn.IFNA(VLOOKUP(G798,#REF!,3,0),"")</f>
        <v>#REF!</v>
      </c>
      <c r="O798" s="39">
        <v>3</v>
      </c>
      <c r="P798" s="79">
        <v>39.504827586206893</v>
      </c>
      <c r="Q798" s="39" t="s">
        <v>10</v>
      </c>
      <c r="R798" s="34">
        <v>5.3</v>
      </c>
      <c r="S798" s="38">
        <v>200</v>
      </c>
      <c r="T798" s="40">
        <v>5.9405940594059405</v>
      </c>
      <c r="U798" s="41">
        <f t="shared" si="93"/>
        <v>215.31618026630247</v>
      </c>
      <c r="V798" s="42">
        <f t="shared" si="94"/>
        <v>2.242876877773984</v>
      </c>
      <c r="W798" s="43">
        <f t="shared" si="95"/>
        <v>0.33475774295134086</v>
      </c>
      <c r="X798" s="38"/>
      <c r="Y798" s="38"/>
      <c r="Z798" s="44"/>
      <c r="AA798" s="45">
        <v>46191</v>
      </c>
      <c r="AB798" s="45"/>
      <c r="AC798" s="45"/>
      <c r="AD798" s="44"/>
      <c r="AE798" s="44"/>
      <c r="AF798" s="45"/>
      <c r="AG798" s="78"/>
      <c r="AH798" s="45"/>
      <c r="AI798" s="39"/>
      <c r="AJ798" s="39"/>
      <c r="AK798" s="39"/>
      <c r="AL798" s="35"/>
      <c r="AM798" s="34"/>
      <c r="AN798" s="34"/>
      <c r="AO798" s="39"/>
      <c r="AP798" s="47"/>
      <c r="AQ798" s="47"/>
      <c r="AR798" s="47"/>
      <c r="AS798" s="47"/>
    </row>
    <row r="799" spans="1:45" ht="12" customHeight="1" x14ac:dyDescent="0.25">
      <c r="A799" s="33">
        <f t="shared" si="92"/>
        <v>798</v>
      </c>
      <c r="B799" s="34"/>
      <c r="C799" s="34" t="s">
        <v>844</v>
      </c>
      <c r="D799" s="35" t="s">
        <v>847</v>
      </c>
      <c r="E799" s="34" t="s">
        <v>58</v>
      </c>
      <c r="F799" s="34" t="s">
        <v>0</v>
      </c>
      <c r="G799" s="16" t="s">
        <v>64</v>
      </c>
      <c r="H799" s="34">
        <v>1600</v>
      </c>
      <c r="I799" s="34" t="s">
        <v>54</v>
      </c>
      <c r="J799" s="34" t="s">
        <v>3</v>
      </c>
      <c r="K799" s="35" t="s">
        <v>22</v>
      </c>
      <c r="L799" s="36" t="e">
        <f>VLOOKUP(G799,#REF!,4,0)</f>
        <v>#REF!</v>
      </c>
      <c r="M799" s="37" t="e">
        <f>_xlfn.IFNA(VLOOKUP(G799,#REF!,2,0),"")</f>
        <v>#REF!</v>
      </c>
      <c r="N799" s="38" t="e">
        <f>_xlfn.IFNA(VLOOKUP(G799,#REF!,3,0),"")</f>
        <v>#REF!</v>
      </c>
      <c r="O799" s="39">
        <v>40</v>
      </c>
      <c r="P799" s="79">
        <v>526.73103448275856</v>
      </c>
      <c r="Q799" s="39" t="s">
        <v>10</v>
      </c>
      <c r="R799" s="34">
        <v>5.3</v>
      </c>
      <c r="S799" s="48">
        <v>200</v>
      </c>
      <c r="T799" s="40">
        <v>79.207920792079207</v>
      </c>
      <c r="U799" s="41">
        <f t="shared" si="93"/>
        <v>2870.8824035506996</v>
      </c>
      <c r="V799" s="42">
        <f t="shared" si="94"/>
        <v>1.7943015022191873</v>
      </c>
      <c r="W799" s="43">
        <f t="shared" si="95"/>
        <v>0.26780619436107272</v>
      </c>
      <c r="X799" s="38"/>
      <c r="Y799" s="38"/>
      <c r="Z799" s="44"/>
      <c r="AA799" s="45">
        <v>46191</v>
      </c>
      <c r="AB799" s="45"/>
      <c r="AC799" s="45"/>
      <c r="AD799" s="44"/>
      <c r="AE799" s="44"/>
      <c r="AF799" s="45"/>
      <c r="AG799" s="78"/>
      <c r="AH799" s="45"/>
      <c r="AI799" s="39"/>
      <c r="AJ799" s="39"/>
      <c r="AK799" s="39"/>
      <c r="AL799" s="35"/>
      <c r="AM799" s="34"/>
      <c r="AN799" s="34"/>
      <c r="AO799" s="39"/>
      <c r="AP799" s="47"/>
      <c r="AQ799" s="47"/>
      <c r="AR799" s="47"/>
      <c r="AS799" s="47"/>
    </row>
    <row r="800" spans="1:45" ht="12" customHeight="1" x14ac:dyDescent="0.25">
      <c r="A800" s="33">
        <f t="shared" si="92"/>
        <v>799</v>
      </c>
      <c r="B800" s="34"/>
      <c r="C800" s="34" t="s">
        <v>844</v>
      </c>
      <c r="D800" s="35" t="s">
        <v>847</v>
      </c>
      <c r="E800" s="34" t="s">
        <v>58</v>
      </c>
      <c r="F800" s="34" t="s">
        <v>0</v>
      </c>
      <c r="G800" s="16" t="s">
        <v>65</v>
      </c>
      <c r="H800" s="34">
        <v>600</v>
      </c>
      <c r="I800" s="34" t="s">
        <v>54</v>
      </c>
      <c r="J800" s="34" t="s">
        <v>3</v>
      </c>
      <c r="K800" s="35" t="s">
        <v>22</v>
      </c>
      <c r="L800" s="36" t="e">
        <f>VLOOKUP(G800,#REF!,4,0)</f>
        <v>#REF!</v>
      </c>
      <c r="M800" s="37" t="e">
        <f>_xlfn.IFNA(VLOOKUP(G800,#REF!,2,0),"")</f>
        <v>#REF!</v>
      </c>
      <c r="N800" s="38" t="e">
        <f>_xlfn.IFNA(VLOOKUP(G800,#REF!,3,0),"")</f>
        <v>#REF!</v>
      </c>
      <c r="O800" s="39">
        <v>15</v>
      </c>
      <c r="P800" s="79">
        <v>197.52413793103449</v>
      </c>
      <c r="Q800" s="39" t="s">
        <v>10</v>
      </c>
      <c r="R800" s="34">
        <v>5.3</v>
      </c>
      <c r="S800" s="38"/>
      <c r="T800" s="40">
        <v>29.702970297029704</v>
      </c>
      <c r="U800" s="41">
        <f t="shared" si="93"/>
        <v>1076.5809013315125</v>
      </c>
      <c r="V800" s="42">
        <f t="shared" si="94"/>
        <v>1.7943015022191875</v>
      </c>
      <c r="W800" s="43">
        <f t="shared" si="95"/>
        <v>0.26780619436107278</v>
      </c>
      <c r="X800" s="38"/>
      <c r="Y800" s="38"/>
      <c r="Z800" s="44"/>
      <c r="AA800" s="45">
        <v>46191</v>
      </c>
      <c r="AB800" s="45"/>
      <c r="AC800" s="45"/>
      <c r="AD800" s="44"/>
      <c r="AE800" s="44"/>
      <c r="AF800" s="45"/>
      <c r="AG800" s="78"/>
      <c r="AH800" s="45"/>
      <c r="AI800" s="39"/>
      <c r="AJ800" s="39"/>
      <c r="AK800" s="39"/>
      <c r="AL800" s="35"/>
      <c r="AM800" s="34"/>
      <c r="AN800" s="34"/>
      <c r="AO800" s="39"/>
      <c r="AP800" s="47"/>
      <c r="AQ800" s="47"/>
      <c r="AR800" s="47"/>
      <c r="AS800" s="47"/>
    </row>
    <row r="801" spans="1:45" ht="12" customHeight="1" x14ac:dyDescent="0.25">
      <c r="A801" s="33">
        <f t="shared" si="92"/>
        <v>800</v>
      </c>
      <c r="B801" s="34"/>
      <c r="C801" s="34" t="s">
        <v>210</v>
      </c>
      <c r="D801" s="35" t="s">
        <v>848</v>
      </c>
      <c r="E801" s="34" t="s">
        <v>61</v>
      </c>
      <c r="F801" s="34" t="s">
        <v>0</v>
      </c>
      <c r="G801" s="16" t="s">
        <v>354</v>
      </c>
      <c r="H801" s="34">
        <v>30</v>
      </c>
      <c r="I801" s="34" t="s">
        <v>66</v>
      </c>
      <c r="J801" s="34" t="s">
        <v>3</v>
      </c>
      <c r="K801" s="35" t="s">
        <v>5</v>
      </c>
      <c r="L801" s="36" t="e">
        <f>VLOOKUP(G801,#REF!,4,0)</f>
        <v>#REF!</v>
      </c>
      <c r="M801" s="37" t="e">
        <f>_xlfn.IFNA(VLOOKUP(G801,#REF!,2,0),"")</f>
        <v>#REF!</v>
      </c>
      <c r="N801" s="38" t="e">
        <f>_xlfn.IFNA(VLOOKUP(G801,#REF!,3,0),"")</f>
        <v>#REF!</v>
      </c>
      <c r="O801" s="39">
        <v>1</v>
      </c>
      <c r="P801" s="79">
        <v>14.058823529411764</v>
      </c>
      <c r="Q801" s="39" t="s">
        <v>10</v>
      </c>
      <c r="R801" s="34">
        <v>6.8</v>
      </c>
      <c r="S801" s="38">
        <v>200</v>
      </c>
      <c r="T801" s="40">
        <v>3.7037037037037037</v>
      </c>
      <c r="U801" s="41">
        <f t="shared" si="93"/>
        <v>99.303703703703704</v>
      </c>
      <c r="V801" s="42">
        <f t="shared" si="94"/>
        <v>3.3101234567901234</v>
      </c>
      <c r="W801" s="43">
        <f t="shared" si="95"/>
        <v>0.49404827713285421</v>
      </c>
      <c r="X801" s="38"/>
      <c r="Y801" s="38"/>
      <c r="Z801" s="44"/>
      <c r="AA801" s="45">
        <v>46191</v>
      </c>
      <c r="AB801" s="45">
        <v>46213</v>
      </c>
      <c r="AC801" s="45"/>
      <c r="AD801" s="44"/>
      <c r="AE801" s="44"/>
      <c r="AF801" s="45"/>
      <c r="AG801" s="78"/>
      <c r="AH801" s="45"/>
      <c r="AI801" s="39"/>
      <c r="AJ801" s="39"/>
      <c r="AK801" s="39"/>
      <c r="AL801" s="35"/>
      <c r="AM801" s="34"/>
      <c r="AN801" s="34"/>
      <c r="AO801" s="39"/>
      <c r="AP801" s="47"/>
      <c r="AQ801" s="47"/>
      <c r="AR801" s="47"/>
      <c r="AS801" s="47"/>
    </row>
    <row r="802" spans="1:45" ht="12" customHeight="1" x14ac:dyDescent="0.25">
      <c r="A802" s="33">
        <f t="shared" si="92"/>
        <v>801</v>
      </c>
      <c r="B802" s="34"/>
      <c r="C802" s="34" t="s">
        <v>210</v>
      </c>
      <c r="D802" s="35" t="s">
        <v>848</v>
      </c>
      <c r="E802" s="34" t="s">
        <v>61</v>
      </c>
      <c r="F802" s="34" t="s">
        <v>0</v>
      </c>
      <c r="G802" s="16" t="s">
        <v>148</v>
      </c>
      <c r="H802" s="34">
        <v>480</v>
      </c>
      <c r="I802" s="34" t="s">
        <v>66</v>
      </c>
      <c r="J802" s="34" t="s">
        <v>3</v>
      </c>
      <c r="K802" s="35" t="s">
        <v>5</v>
      </c>
      <c r="L802" s="36" t="e">
        <f>VLOOKUP(G802,#REF!,4,0)</f>
        <v>#REF!</v>
      </c>
      <c r="M802" s="37" t="e">
        <f>_xlfn.IFNA(VLOOKUP(G802,#REF!,2,0),"")</f>
        <v>#REF!</v>
      </c>
      <c r="N802" s="38" t="e">
        <f>_xlfn.IFNA(VLOOKUP(G802,#REF!,3,0),"")</f>
        <v>#REF!</v>
      </c>
      <c r="O802" s="39">
        <v>16</v>
      </c>
      <c r="P802" s="79">
        <v>224.94117647058823</v>
      </c>
      <c r="Q802" s="39" t="s">
        <v>10</v>
      </c>
      <c r="R802" s="34">
        <v>6.8</v>
      </c>
      <c r="S802" s="48">
        <v>200</v>
      </c>
      <c r="T802" s="40">
        <v>59.25925925925926</v>
      </c>
      <c r="U802" s="41">
        <f t="shared" si="93"/>
        <v>1588.8592592592593</v>
      </c>
      <c r="V802" s="42">
        <f t="shared" si="94"/>
        <v>3.3101234567901234</v>
      </c>
      <c r="W802" s="43">
        <f t="shared" si="95"/>
        <v>0.49404827713285421</v>
      </c>
      <c r="X802" s="38"/>
      <c r="Y802" s="38"/>
      <c r="Z802" s="44"/>
      <c r="AA802" s="45">
        <v>46191</v>
      </c>
      <c r="AB802" s="45">
        <v>46213</v>
      </c>
      <c r="AC802" s="45"/>
      <c r="AD802" s="44"/>
      <c r="AE802" s="44"/>
      <c r="AF802" s="45"/>
      <c r="AG802" s="78"/>
      <c r="AH802" s="45"/>
      <c r="AI802" s="39"/>
      <c r="AJ802" s="39"/>
      <c r="AK802" s="39"/>
      <c r="AL802" s="35"/>
      <c r="AM802" s="34"/>
      <c r="AN802" s="34"/>
      <c r="AO802" s="39"/>
      <c r="AP802" s="47"/>
      <c r="AQ802" s="47"/>
      <c r="AR802" s="47"/>
      <c r="AS802" s="47"/>
    </row>
    <row r="803" spans="1:45" ht="12" customHeight="1" x14ac:dyDescent="0.25">
      <c r="A803" s="33">
        <f t="shared" si="92"/>
        <v>802</v>
      </c>
      <c r="B803" s="34"/>
      <c r="C803" s="34" t="s">
        <v>849</v>
      </c>
      <c r="D803" s="35" t="s">
        <v>850</v>
      </c>
      <c r="E803" s="34" t="s">
        <v>470</v>
      </c>
      <c r="F803" s="34" t="s">
        <v>0</v>
      </c>
      <c r="G803" s="16" t="s">
        <v>247</v>
      </c>
      <c r="H803" s="34">
        <v>600</v>
      </c>
      <c r="I803" s="34" t="s">
        <v>54</v>
      </c>
      <c r="J803" s="34" t="s">
        <v>3</v>
      </c>
      <c r="K803" s="35" t="s">
        <v>22</v>
      </c>
      <c r="L803" s="36" t="e">
        <f>VLOOKUP(G803,#REF!,4,0)</f>
        <v>#REF!</v>
      </c>
      <c r="M803" s="37" t="e">
        <f>_xlfn.IFNA(VLOOKUP(G803,#REF!,2,0),"")</f>
        <v>#REF!</v>
      </c>
      <c r="N803" s="38" t="e">
        <f>_xlfn.IFNA(VLOOKUP(G803,#REF!,3,0),"")</f>
        <v>#REF!</v>
      </c>
      <c r="O803" s="39">
        <v>20</v>
      </c>
      <c r="P803" s="79">
        <v>291</v>
      </c>
      <c r="Q803" s="39" t="s">
        <v>10</v>
      </c>
      <c r="R803" s="34">
        <v>5.3</v>
      </c>
      <c r="S803" s="38">
        <v>200</v>
      </c>
      <c r="T803" s="40">
        <v>200</v>
      </c>
      <c r="U803" s="41">
        <f t="shared" si="93"/>
        <v>1742.3</v>
      </c>
      <c r="V803" s="42">
        <f t="shared" si="94"/>
        <v>2.903833333333333</v>
      </c>
      <c r="W803" s="43">
        <f t="shared" si="95"/>
        <v>0.4334079601990049</v>
      </c>
      <c r="X803" s="38"/>
      <c r="Y803" s="38"/>
      <c r="Z803" s="44"/>
      <c r="AA803" s="45">
        <v>46191</v>
      </c>
      <c r="AB803" s="45"/>
      <c r="AC803" s="45"/>
      <c r="AD803" s="44"/>
      <c r="AE803" s="44"/>
      <c r="AF803" s="45"/>
      <c r="AG803" s="78"/>
      <c r="AH803" s="45"/>
      <c r="AI803" s="39"/>
      <c r="AJ803" s="39"/>
      <c r="AK803" s="39"/>
      <c r="AL803" s="35"/>
      <c r="AM803" s="34"/>
      <c r="AN803" s="34"/>
      <c r="AO803" s="39"/>
      <c r="AP803" s="47"/>
      <c r="AQ803" s="47"/>
      <c r="AR803" s="47"/>
      <c r="AS803" s="47"/>
    </row>
    <row r="804" spans="1:45" ht="12" customHeight="1" x14ac:dyDescent="0.25">
      <c r="A804" s="33">
        <f t="shared" si="92"/>
        <v>803</v>
      </c>
      <c r="B804" s="34"/>
      <c r="C804" s="34" t="s">
        <v>209</v>
      </c>
      <c r="D804" s="35" t="s">
        <v>851</v>
      </c>
      <c r="E804" s="34" t="s">
        <v>172</v>
      </c>
      <c r="F804" s="34" t="s">
        <v>0</v>
      </c>
      <c r="G804" s="16" t="s">
        <v>213</v>
      </c>
      <c r="H804" s="34">
        <v>324</v>
      </c>
      <c r="I804" s="34" t="s">
        <v>62</v>
      </c>
      <c r="J804" s="34" t="s">
        <v>3</v>
      </c>
      <c r="K804" s="35" t="s">
        <v>22</v>
      </c>
      <c r="L804" s="36" t="e">
        <f>VLOOKUP(G804,#REF!,4,0)</f>
        <v>#REF!</v>
      </c>
      <c r="M804" s="37" t="e">
        <f>_xlfn.IFNA(VLOOKUP(G804,#REF!,2,0),"")</f>
        <v>#REF!</v>
      </c>
      <c r="N804" s="38" t="e">
        <f>_xlfn.IFNA(VLOOKUP(G804,#REF!,3,0),"")</f>
        <v>#REF!</v>
      </c>
      <c r="O804" s="39">
        <v>27</v>
      </c>
      <c r="P804" s="79">
        <v>398.5</v>
      </c>
      <c r="Q804" s="39" t="s">
        <v>10</v>
      </c>
      <c r="R804" s="34">
        <v>6.1</v>
      </c>
      <c r="S804" s="38">
        <v>200</v>
      </c>
      <c r="T804" s="40">
        <v>57.446808510638299</v>
      </c>
      <c r="U804" s="41">
        <f t="shared" si="93"/>
        <v>2488.2968085106381</v>
      </c>
      <c r="V804" s="42">
        <f t="shared" si="94"/>
        <v>7.6799284213291301</v>
      </c>
      <c r="W804" s="43">
        <f t="shared" si="95"/>
        <v>1.1462579733327058</v>
      </c>
      <c r="X804" s="38"/>
      <c r="Y804" s="38"/>
      <c r="Z804" s="44"/>
      <c r="AA804" s="45">
        <v>46191</v>
      </c>
      <c r="AB804" s="45"/>
      <c r="AC804" s="45"/>
      <c r="AD804" s="44"/>
      <c r="AE804" s="44"/>
      <c r="AF804" s="45"/>
      <c r="AG804" s="78"/>
      <c r="AH804" s="45"/>
      <c r="AI804" s="39"/>
      <c r="AJ804" s="39"/>
      <c r="AK804" s="39"/>
      <c r="AL804" s="35"/>
      <c r="AM804" s="34"/>
      <c r="AN804" s="34"/>
      <c r="AO804" s="39"/>
      <c r="AP804" s="47"/>
      <c r="AQ804" s="47"/>
      <c r="AR804" s="47"/>
      <c r="AS804" s="47"/>
    </row>
    <row r="805" spans="1:45" ht="12" customHeight="1" x14ac:dyDescent="0.25">
      <c r="A805" s="33">
        <f t="shared" si="92"/>
        <v>804</v>
      </c>
      <c r="B805" s="34"/>
      <c r="C805" s="34" t="s">
        <v>209</v>
      </c>
      <c r="D805" s="35" t="s">
        <v>851</v>
      </c>
      <c r="E805" s="34" t="s">
        <v>172</v>
      </c>
      <c r="F805" s="34" t="s">
        <v>0</v>
      </c>
      <c r="G805" s="16" t="s">
        <v>214</v>
      </c>
      <c r="H805" s="34">
        <v>324</v>
      </c>
      <c r="I805" s="34" t="s">
        <v>62</v>
      </c>
      <c r="J805" s="34" t="s">
        <v>3</v>
      </c>
      <c r="K805" s="35" t="s">
        <v>22</v>
      </c>
      <c r="L805" s="36" t="e">
        <f>VLOOKUP(G805,#REF!,4,0)</f>
        <v>#REF!</v>
      </c>
      <c r="M805" s="37" t="e">
        <f>_xlfn.IFNA(VLOOKUP(G805,#REF!,2,0),"")</f>
        <v>#REF!</v>
      </c>
      <c r="N805" s="38" t="e">
        <f>_xlfn.IFNA(VLOOKUP(G805,#REF!,3,0),"")</f>
        <v>#REF!</v>
      </c>
      <c r="O805" s="39">
        <v>27</v>
      </c>
      <c r="P805" s="79">
        <v>398.5</v>
      </c>
      <c r="Q805" s="39" t="s">
        <v>10</v>
      </c>
      <c r="R805" s="34">
        <v>6.1</v>
      </c>
      <c r="S805" s="48">
        <v>200</v>
      </c>
      <c r="T805" s="40">
        <v>57.446808510638299</v>
      </c>
      <c r="U805" s="41">
        <f t="shared" si="93"/>
        <v>2488.2968085106381</v>
      </c>
      <c r="V805" s="42">
        <f t="shared" si="94"/>
        <v>7.6799284213291301</v>
      </c>
      <c r="W805" s="43">
        <f t="shared" si="95"/>
        <v>1.1462579733327058</v>
      </c>
      <c r="X805" s="38"/>
      <c r="Y805" s="38"/>
      <c r="Z805" s="44"/>
      <c r="AA805" s="45">
        <v>46191</v>
      </c>
      <c r="AB805" s="45"/>
      <c r="AC805" s="45"/>
      <c r="AD805" s="44"/>
      <c r="AE805" s="44"/>
      <c r="AF805" s="45"/>
      <c r="AG805" s="78"/>
      <c r="AH805" s="45"/>
      <c r="AI805" s="39"/>
      <c r="AJ805" s="39"/>
      <c r="AK805" s="39"/>
      <c r="AL805" s="35"/>
      <c r="AM805" s="34"/>
      <c r="AN805" s="34"/>
      <c r="AO805" s="39"/>
      <c r="AP805" s="47"/>
      <c r="AQ805" s="47"/>
      <c r="AR805" s="47"/>
      <c r="AS805" s="47"/>
    </row>
    <row r="806" spans="1:45" ht="12" customHeight="1" x14ac:dyDescent="0.25">
      <c r="A806" s="33">
        <f t="shared" si="92"/>
        <v>805</v>
      </c>
      <c r="B806" s="34"/>
      <c r="C806" s="34" t="s">
        <v>210</v>
      </c>
      <c r="D806" s="35" t="s">
        <v>852</v>
      </c>
      <c r="E806" s="34" t="s">
        <v>172</v>
      </c>
      <c r="F806" s="34" t="s">
        <v>0</v>
      </c>
      <c r="G806" s="16" t="s">
        <v>257</v>
      </c>
      <c r="H806" s="34">
        <v>132</v>
      </c>
      <c r="I806" s="34" t="s">
        <v>66</v>
      </c>
      <c r="J806" s="34" t="s">
        <v>3</v>
      </c>
      <c r="K806" s="35" t="s">
        <v>22</v>
      </c>
      <c r="L806" s="36" t="e">
        <f>VLOOKUP(G806,#REF!,4,0)</f>
        <v>#REF!</v>
      </c>
      <c r="M806" s="37" t="e">
        <f>_xlfn.IFNA(VLOOKUP(G806,#REF!,2,0),"")</f>
        <v>#REF!</v>
      </c>
      <c r="N806" s="38" t="e">
        <f>_xlfn.IFNA(VLOOKUP(G806,#REF!,3,0),"")</f>
        <v>#REF!</v>
      </c>
      <c r="O806" s="39">
        <v>11</v>
      </c>
      <c r="P806" s="79">
        <v>191.71428571428569</v>
      </c>
      <c r="Q806" s="39" t="s">
        <v>10</v>
      </c>
      <c r="R806" s="34">
        <v>6.8</v>
      </c>
      <c r="S806" s="38">
        <v>200</v>
      </c>
      <c r="T806" s="40">
        <v>40.74074074074074</v>
      </c>
      <c r="U806" s="41">
        <f t="shared" si="93"/>
        <v>1344.3978835978833</v>
      </c>
      <c r="V806" s="42">
        <f t="shared" si="94"/>
        <v>10.184832451499116</v>
      </c>
      <c r="W806" s="43">
        <f t="shared" si="95"/>
        <v>1.5201242464924052</v>
      </c>
      <c r="X806" s="38"/>
      <c r="Y806" s="38"/>
      <c r="Z806" s="44"/>
      <c r="AA806" s="45">
        <v>46191</v>
      </c>
      <c r="AB806" s="45">
        <v>46213</v>
      </c>
      <c r="AC806" s="45"/>
      <c r="AD806" s="44"/>
      <c r="AE806" s="44"/>
      <c r="AF806" s="45"/>
      <c r="AG806" s="78"/>
      <c r="AH806" s="45"/>
      <c r="AI806" s="39"/>
      <c r="AJ806" s="39"/>
      <c r="AK806" s="39"/>
      <c r="AL806" s="35"/>
      <c r="AM806" s="34"/>
      <c r="AN806" s="34"/>
      <c r="AO806" s="39"/>
      <c r="AP806" s="47"/>
      <c r="AQ806" s="47"/>
      <c r="AR806" s="47"/>
      <c r="AS806" s="47"/>
    </row>
    <row r="807" spans="1:45" ht="12" customHeight="1" x14ac:dyDescent="0.25">
      <c r="A807" s="33">
        <f t="shared" si="92"/>
        <v>806</v>
      </c>
      <c r="B807" s="34"/>
      <c r="C807" s="34" t="s">
        <v>210</v>
      </c>
      <c r="D807" s="35" t="s">
        <v>852</v>
      </c>
      <c r="E807" s="34" t="s">
        <v>172</v>
      </c>
      <c r="F807" s="34" t="s">
        <v>0</v>
      </c>
      <c r="G807" s="16" t="s">
        <v>258</v>
      </c>
      <c r="H807" s="34">
        <v>120</v>
      </c>
      <c r="I807" s="34" t="s">
        <v>66</v>
      </c>
      <c r="J807" s="34" t="s">
        <v>3</v>
      </c>
      <c r="K807" s="35" t="s">
        <v>22</v>
      </c>
      <c r="L807" s="36" t="e">
        <f>VLOOKUP(G807,#REF!,4,0)</f>
        <v>#REF!</v>
      </c>
      <c r="M807" s="37" t="e">
        <f>_xlfn.IFNA(VLOOKUP(G807,#REF!,2,0),"")</f>
        <v>#REF!</v>
      </c>
      <c r="N807" s="38" t="e">
        <f>_xlfn.IFNA(VLOOKUP(G807,#REF!,3,0),"")</f>
        <v>#REF!</v>
      </c>
      <c r="O807" s="39">
        <v>10</v>
      </c>
      <c r="P807" s="79">
        <v>174.28571428571428</v>
      </c>
      <c r="Q807" s="39" t="s">
        <v>10</v>
      </c>
      <c r="R807" s="34">
        <v>6.8</v>
      </c>
      <c r="S807" s="48">
        <v>200</v>
      </c>
      <c r="T807" s="40">
        <v>37.037037037037038</v>
      </c>
      <c r="U807" s="41">
        <f t="shared" si="93"/>
        <v>1222.1798941798941</v>
      </c>
      <c r="V807" s="42">
        <f t="shared" si="94"/>
        <v>10.184832451499117</v>
      </c>
      <c r="W807" s="43">
        <f t="shared" si="95"/>
        <v>1.5201242464924056</v>
      </c>
      <c r="X807" s="38"/>
      <c r="Y807" s="38"/>
      <c r="Z807" s="44"/>
      <c r="AA807" s="45">
        <v>46191</v>
      </c>
      <c r="AB807" s="45">
        <v>46213</v>
      </c>
      <c r="AC807" s="45"/>
      <c r="AD807" s="44"/>
      <c r="AE807" s="44"/>
      <c r="AF807" s="45"/>
      <c r="AG807" s="78"/>
      <c r="AH807" s="45"/>
      <c r="AI807" s="39"/>
      <c r="AJ807" s="39"/>
      <c r="AK807" s="39"/>
      <c r="AL807" s="35"/>
      <c r="AM807" s="34"/>
      <c r="AN807" s="34"/>
      <c r="AO807" s="39"/>
      <c r="AP807" s="47"/>
      <c r="AQ807" s="47"/>
      <c r="AR807" s="47"/>
      <c r="AS807" s="47"/>
    </row>
    <row r="808" spans="1:45" ht="12" customHeight="1" x14ac:dyDescent="0.25">
      <c r="A808" s="33">
        <f t="shared" si="92"/>
        <v>807</v>
      </c>
      <c r="B808" s="34"/>
      <c r="C808" s="34" t="s">
        <v>211</v>
      </c>
      <c r="D808" s="35" t="s">
        <v>853</v>
      </c>
      <c r="E808" s="34" t="s">
        <v>470</v>
      </c>
      <c r="F808" s="34" t="s">
        <v>0</v>
      </c>
      <c r="G808" s="16" t="s">
        <v>332</v>
      </c>
      <c r="H808" s="34">
        <v>96</v>
      </c>
      <c r="I808" s="34" t="s">
        <v>66</v>
      </c>
      <c r="J808" s="34" t="s">
        <v>3</v>
      </c>
      <c r="K808" s="35" t="s">
        <v>4</v>
      </c>
      <c r="L808" s="36" t="e">
        <f>VLOOKUP(G808,#REF!,4,0)</f>
        <v>#REF!</v>
      </c>
      <c r="M808" s="37" t="e">
        <f>_xlfn.IFNA(VLOOKUP(G808,#REF!,2,0),"")</f>
        <v>#REF!</v>
      </c>
      <c r="N808" s="38" t="e">
        <f>_xlfn.IFNA(VLOOKUP(G808,#REF!,3,0),"")</f>
        <v>#REF!</v>
      </c>
      <c r="O808" s="39">
        <v>3</v>
      </c>
      <c r="P808" s="79">
        <v>50.441860465116278</v>
      </c>
      <c r="Q808" s="39" t="s">
        <v>10</v>
      </c>
      <c r="R808" s="34">
        <v>6.8</v>
      </c>
      <c r="S808" s="38">
        <v>200</v>
      </c>
      <c r="T808" s="40">
        <v>3.9473684210526314</v>
      </c>
      <c r="U808" s="41">
        <f t="shared" si="93"/>
        <v>346.95201958384337</v>
      </c>
      <c r="V808" s="42">
        <f t="shared" si="94"/>
        <v>3.6140835373317017</v>
      </c>
      <c r="W808" s="43">
        <f t="shared" si="95"/>
        <v>0.53941545333308982</v>
      </c>
      <c r="X808" s="38"/>
      <c r="Y808" s="38"/>
      <c r="Z808" s="44"/>
      <c r="AA808" s="45">
        <v>46191</v>
      </c>
      <c r="AB808" s="45">
        <v>46213</v>
      </c>
      <c r="AC808" s="45"/>
      <c r="AD808" s="44"/>
      <c r="AE808" s="44"/>
      <c r="AF808" s="45"/>
      <c r="AG808" s="78"/>
      <c r="AH808" s="45"/>
      <c r="AI808" s="39"/>
      <c r="AJ808" s="39"/>
      <c r="AK808" s="39"/>
      <c r="AL808" s="35"/>
      <c r="AM808" s="34"/>
      <c r="AN808" s="34"/>
      <c r="AO808" s="39"/>
      <c r="AP808" s="47"/>
      <c r="AQ808" s="47"/>
      <c r="AR808" s="47"/>
      <c r="AS808" s="47"/>
    </row>
    <row r="809" spans="1:45" ht="12" customHeight="1" x14ac:dyDescent="0.25">
      <c r="A809" s="33">
        <f t="shared" si="92"/>
        <v>808</v>
      </c>
      <c r="B809" s="34"/>
      <c r="C809" s="34" t="s">
        <v>211</v>
      </c>
      <c r="D809" s="35" t="s">
        <v>853</v>
      </c>
      <c r="E809" s="34" t="s">
        <v>470</v>
      </c>
      <c r="F809" s="34" t="s">
        <v>0</v>
      </c>
      <c r="G809" s="16" t="s">
        <v>677</v>
      </c>
      <c r="H809" s="34">
        <v>360</v>
      </c>
      <c r="I809" s="34" t="s">
        <v>66</v>
      </c>
      <c r="J809" s="34" t="s">
        <v>3</v>
      </c>
      <c r="K809" s="35" t="s">
        <v>4</v>
      </c>
      <c r="L809" s="36" t="e">
        <f>VLOOKUP(G809,#REF!,4,0)</f>
        <v>#REF!</v>
      </c>
      <c r="M809" s="37" t="e">
        <f>_xlfn.IFNA(VLOOKUP(G809,#REF!,2,0),"")</f>
        <v>#REF!</v>
      </c>
      <c r="N809" s="38" t="e">
        <f>_xlfn.IFNA(VLOOKUP(G809,#REF!,3,0),"")</f>
        <v>#REF!</v>
      </c>
      <c r="O809" s="39">
        <v>40</v>
      </c>
      <c r="P809" s="79">
        <v>672.55813953488371</v>
      </c>
      <c r="Q809" s="39" t="s">
        <v>10</v>
      </c>
      <c r="R809" s="34">
        <v>6.8</v>
      </c>
      <c r="S809" s="48">
        <v>200</v>
      </c>
      <c r="T809" s="40">
        <v>52.631578947368418</v>
      </c>
      <c r="U809" s="41">
        <f t="shared" si="93"/>
        <v>4626.0269277845773</v>
      </c>
      <c r="V809" s="42">
        <f t="shared" si="94"/>
        <v>12.850074799401604</v>
      </c>
      <c r="W809" s="43">
        <f t="shared" si="95"/>
        <v>1.9179216118509856</v>
      </c>
      <c r="X809" s="38"/>
      <c r="Y809" s="38"/>
      <c r="Z809" s="44"/>
      <c r="AA809" s="45">
        <v>46191</v>
      </c>
      <c r="AB809" s="45">
        <v>46213</v>
      </c>
      <c r="AC809" s="45"/>
      <c r="AD809" s="44"/>
      <c r="AE809" s="44"/>
      <c r="AF809" s="45"/>
      <c r="AG809" s="78"/>
      <c r="AH809" s="45"/>
      <c r="AI809" s="39"/>
      <c r="AJ809" s="39"/>
      <c r="AK809" s="39"/>
      <c r="AL809" s="35"/>
      <c r="AM809" s="34"/>
      <c r="AN809" s="34"/>
      <c r="AO809" s="39"/>
      <c r="AP809" s="47"/>
      <c r="AQ809" s="47"/>
      <c r="AR809" s="47"/>
      <c r="AS809" s="47"/>
    </row>
    <row r="810" spans="1:45" ht="12" customHeight="1" x14ac:dyDescent="0.25">
      <c r="A810" s="33">
        <f t="shared" si="92"/>
        <v>809</v>
      </c>
      <c r="B810" s="34"/>
      <c r="C810" s="34" t="s">
        <v>210</v>
      </c>
      <c r="D810" s="35" t="s">
        <v>854</v>
      </c>
      <c r="E810" s="34" t="s">
        <v>58</v>
      </c>
      <c r="F810" s="34" t="s">
        <v>0</v>
      </c>
      <c r="G810" s="16" t="s">
        <v>241</v>
      </c>
      <c r="H810" s="34">
        <v>192</v>
      </c>
      <c r="I810" s="34" t="s">
        <v>66</v>
      </c>
      <c r="J810" s="34" t="s">
        <v>3</v>
      </c>
      <c r="K810" s="35" t="s">
        <v>15</v>
      </c>
      <c r="L810" s="36" t="e">
        <f>VLOOKUP(G810,#REF!,4,0)</f>
        <v>#REF!</v>
      </c>
      <c r="M810" s="37" t="e">
        <f>_xlfn.IFNA(VLOOKUP(G810,#REF!,2,0),"")</f>
        <v>#REF!</v>
      </c>
      <c r="N810" s="38" t="e">
        <f>_xlfn.IFNA(VLOOKUP(G810,#REF!,3,0),"")</f>
        <v>#REF!</v>
      </c>
      <c r="O810" s="39">
        <v>16</v>
      </c>
      <c r="P810" s="79">
        <v>280</v>
      </c>
      <c r="Q810" s="39" t="s">
        <v>10</v>
      </c>
      <c r="R810" s="34">
        <v>6.8</v>
      </c>
      <c r="S810" s="38">
        <v>200</v>
      </c>
      <c r="T810" s="40">
        <v>59.25925925925926</v>
      </c>
      <c r="U810" s="41">
        <f t="shared" si="93"/>
        <v>1963.2592592592594</v>
      </c>
      <c r="V810" s="42">
        <f t="shared" si="94"/>
        <v>10.225308641975309</v>
      </c>
      <c r="W810" s="43">
        <f t="shared" si="95"/>
        <v>1.5261654689515385</v>
      </c>
      <c r="X810" s="38"/>
      <c r="Y810" s="38"/>
      <c r="Z810" s="44"/>
      <c r="AA810" s="45">
        <v>46191</v>
      </c>
      <c r="AB810" s="45">
        <v>46213</v>
      </c>
      <c r="AC810" s="45"/>
      <c r="AD810" s="44"/>
      <c r="AE810" s="44"/>
      <c r="AF810" s="45"/>
      <c r="AG810" s="78"/>
      <c r="AH810" s="45"/>
      <c r="AI810" s="39"/>
      <c r="AJ810" s="39"/>
      <c r="AK810" s="39"/>
      <c r="AL810" s="35"/>
      <c r="AM810" s="34"/>
      <c r="AN810" s="34"/>
      <c r="AO810" s="39"/>
      <c r="AP810" s="47"/>
      <c r="AQ810" s="47"/>
      <c r="AR810" s="47"/>
      <c r="AS810" s="47"/>
    </row>
    <row r="811" spans="1:45" ht="12" customHeight="1" x14ac:dyDescent="0.25">
      <c r="A811" s="33">
        <f t="shared" si="92"/>
        <v>810</v>
      </c>
      <c r="B811" s="34"/>
      <c r="C811" s="34" t="s">
        <v>209</v>
      </c>
      <c r="D811" s="35" t="s">
        <v>855</v>
      </c>
      <c r="E811" s="34" t="s">
        <v>58</v>
      </c>
      <c r="F811" s="34" t="s">
        <v>0</v>
      </c>
      <c r="G811" s="16" t="s">
        <v>57</v>
      </c>
      <c r="H811" s="34">
        <v>480</v>
      </c>
      <c r="I811" s="34" t="s">
        <v>62</v>
      </c>
      <c r="J811" s="34" t="s">
        <v>3</v>
      </c>
      <c r="K811" s="35" t="s">
        <v>15</v>
      </c>
      <c r="L811" s="36" t="e">
        <f>VLOOKUP(G811,#REF!,4,0)</f>
        <v>#REF!</v>
      </c>
      <c r="M811" s="37" t="e">
        <f>_xlfn.IFNA(VLOOKUP(G811,#REF!,2,0),"")</f>
        <v>#REF!</v>
      </c>
      <c r="N811" s="38" t="e">
        <f>_xlfn.IFNA(VLOOKUP(G811,#REF!,3,0),"")</f>
        <v>#REF!</v>
      </c>
      <c r="O811" s="39">
        <v>40</v>
      </c>
      <c r="P811" s="79">
        <v>580</v>
      </c>
      <c r="Q811" s="39" t="s">
        <v>10</v>
      </c>
      <c r="R811" s="34">
        <v>6.3</v>
      </c>
      <c r="S811" s="38"/>
      <c r="T811" s="40">
        <v>85.106382978723403</v>
      </c>
      <c r="U811" s="41">
        <f t="shared" si="93"/>
        <v>3739.1063829787236</v>
      </c>
      <c r="V811" s="42">
        <f t="shared" si="94"/>
        <v>7.7898049645390071</v>
      </c>
      <c r="W811" s="43">
        <f t="shared" si="95"/>
        <v>1.1626574573938817</v>
      </c>
      <c r="X811" s="38"/>
      <c r="Y811" s="38"/>
      <c r="Z811" s="44"/>
      <c r="AA811" s="45">
        <v>46191</v>
      </c>
      <c r="AB811" s="45"/>
      <c r="AC811" s="45"/>
      <c r="AD811" s="44"/>
      <c r="AE811" s="44"/>
      <c r="AF811" s="45"/>
      <c r="AG811" s="78"/>
      <c r="AH811" s="45"/>
      <c r="AI811" s="39"/>
      <c r="AJ811" s="39"/>
      <c r="AK811" s="39"/>
      <c r="AL811" s="35"/>
      <c r="AM811" s="34"/>
      <c r="AN811" s="34"/>
      <c r="AO811" s="39"/>
      <c r="AP811" s="47"/>
      <c r="AQ811" s="47"/>
      <c r="AR811" s="47"/>
      <c r="AS811" s="47"/>
    </row>
  </sheetData>
  <autoFilter ref="A1:AN811" xr:uid="{6F3849BB-D6F2-4781-88DB-6A8325395F46}"/>
  <phoneticPr fontId="13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亚马逊头程2026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Fan</dc:creator>
  <cp:lastModifiedBy>相丞 龙</cp:lastModifiedBy>
  <cp:lastPrinted>2025-10-08T04:24:00Z</cp:lastPrinted>
  <dcterms:created xsi:type="dcterms:W3CDTF">2006-09-16T00:00:00Z</dcterms:created>
  <dcterms:modified xsi:type="dcterms:W3CDTF">2026-06-25T08:55:59Z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8834714091714770AA5529CBFD5EA5A8</vt:lpwstr>
  </property>
  <property fmtid="{D5CDD505-2E9C-101B-9397-08002B2CF9AE}" pid="3" name="KSOProductBuildVer">
    <vt:lpwstr>2052-12.1.0.24034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